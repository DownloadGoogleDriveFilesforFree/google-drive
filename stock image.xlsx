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image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 t="shared" ref="A1:A2" si="1">HYPERLINK("https://docs.google.com/spreadsheets/d/1kJdfUpdyip1KosObL2uTZ-DD3Svyrtdt2v4RgKZjMRE","jeff brown stock picks for 2021")</f>
        <v>jeff brown stock picks for 2021</v>
      </c>
      <c r="B1" s="1" t="str">
        <f t="shared" ref="B1:B4" si="2">HYPERLINK("https://docs.google.com/spreadsheets/d/1kJdfUpdyip1KosObL2uTZ-DD3Svyrtdt2v4RgKZjMRE","https://docs.google.com/spreadsheets/d/1kJdfUpdyip1KosObL2uTZ-DD3Svyrtdt2v4RgKZjMRE")</f>
        <v>https://docs.google.com/spreadsheets/d/1kJdfUpdyip1KosObL2uTZ-DD3Svyrtdt2v4RgKZjMRE</v>
      </c>
      <c r="C1" s="1" t="str">
        <f>HYPERLINK("https://docs.google.com/spreadsheets/d/1kJdfUpdyip1KosObL2uTZ-DD3Svyrtdt2v4RgKZjMRE","jeff brown tech investor")</f>
        <v>jeff brown tech investor</v>
      </c>
    </row>
    <row r="2">
      <c r="A2" s="1" t="str">
        <f t="shared" si="1"/>
        <v>jeff brown stock picks for 2021</v>
      </c>
      <c r="B2" s="1" t="str">
        <f t="shared" si="2"/>
        <v>https://docs.google.com/spreadsheets/d/1kJdfUpdyip1KosObL2uTZ-DD3Svyrtdt2v4RgKZjMRE</v>
      </c>
      <c r="C2" s="1" t="str">
        <f>HYPERLINK("https://docs.google.com/spreadsheets/d/1kJdfUpdyip1KosObL2uTZ-DD3Svyrtdt2v4RgKZjMRE","bill5g.com")</f>
        <v>bill5g.com</v>
      </c>
    </row>
    <row r="3">
      <c r="A3" s="1" t="str">
        <f t="shared" ref="A3:A4" si="3">HYPERLINK("https://docs.google.com/spreadsheets/d/1kJdfUpdyip1KosObL2uTZ-DD3Svyrtdt2v4RgKZjMRE","jeff brown investor")</f>
        <v>jeff brown investor</v>
      </c>
      <c r="B3" s="1" t="str">
        <f t="shared" si="2"/>
        <v>https://docs.google.com/spreadsheets/d/1kJdfUpdyip1KosObL2uTZ-DD3Svyrtdt2v4RgKZjMRE</v>
      </c>
      <c r="C3" s="1" t="str">
        <f>HYPERLINK("https://docs.google.com/spreadsheets/d/1kJdfUpdyip1KosObL2uTZ-DD3Svyrtdt2v4RgKZjMRE","jeff brown tech investor")</f>
        <v>jeff brown tech investor</v>
      </c>
    </row>
    <row r="4">
      <c r="A4" s="1" t="str">
        <f t="shared" si="3"/>
        <v>jeff brown investor</v>
      </c>
      <c r="B4" s="1" t="str">
        <f t="shared" si="2"/>
        <v>https://docs.google.com/spreadsheets/d/1kJdfUpdyip1KosObL2uTZ-DD3Svyrtdt2v4RgKZjMRE</v>
      </c>
      <c r="C4" s="1" t="str">
        <f>HYPERLINK("https://docs.google.com/spreadsheets/d/1kJdfUpdyip1KosObL2uTZ-DD3Svyrtdt2v4RgKZjMRE","bill5g.com")</f>
        <v>bill5g.com</v>
      </c>
    </row>
    <row r="5">
      <c r="A5" s="1" t="str">
        <f t="shared" ref="A5:A6" si="4">HYPERLINK("https://docs.google.com/spreadsheets/d/1Ki_r1_pY3x2XM5AruUzBaWvsV0vS4-lekhiHZUhKRRE","jeff brown stock picks for 2021")</f>
        <v>jeff brown stock picks for 2021</v>
      </c>
      <c r="B5" s="1" t="str">
        <f t="shared" ref="B5:B8" si="5">HYPERLINK("https://docs.google.com/spreadsheets/d/1Ki_r1_pY3x2XM5AruUzBaWvsV0vS4-lekhiHZUhKRRE","https://docs.google.com/spreadsheets/d/1Ki_r1_pY3x2XM5AruUzBaWvsV0vS4-lekhiHZUhKRRE")</f>
        <v>https://docs.google.com/spreadsheets/d/1Ki_r1_pY3x2XM5AruUzBaWvsV0vS4-lekhiHZUhKRRE</v>
      </c>
      <c r="C5" s="1" t="str">
        <f>HYPERLINK("https://docs.google.com/spreadsheets/d/1Ki_r1_pY3x2XM5AruUzBaWvsV0vS4-lekhiHZUhKRRE","jeff brown tech investor")</f>
        <v>jeff brown tech investor</v>
      </c>
    </row>
    <row r="6">
      <c r="A6" s="1" t="str">
        <f t="shared" si="4"/>
        <v>jeff brown stock picks for 2021</v>
      </c>
      <c r="B6" s="1" t="str">
        <f t="shared" si="5"/>
        <v>https://docs.google.com/spreadsheets/d/1Ki_r1_pY3x2XM5AruUzBaWvsV0vS4-lekhiHZUhKRRE</v>
      </c>
      <c r="C6" s="1" t="str">
        <f>HYPERLINK("https://docs.google.com/spreadsheets/d/1Ki_r1_pY3x2XM5AruUzBaWvsV0vS4-lekhiHZUhKRRE","bill5g.com")</f>
        <v>bill5g.com</v>
      </c>
    </row>
    <row r="7">
      <c r="A7" s="1" t="str">
        <f t="shared" ref="A7:A8" si="6">HYPERLINK("https://docs.google.com/spreadsheets/d/1Ki_r1_pY3x2XM5AruUzBaWvsV0vS4-lekhiHZUhKRRE","jeff brown investor")</f>
        <v>jeff brown investor</v>
      </c>
      <c r="B7" s="1" t="str">
        <f t="shared" si="5"/>
        <v>https://docs.google.com/spreadsheets/d/1Ki_r1_pY3x2XM5AruUzBaWvsV0vS4-lekhiHZUhKRRE</v>
      </c>
      <c r="C7" s="1" t="str">
        <f>HYPERLINK("https://docs.google.com/spreadsheets/d/1Ki_r1_pY3x2XM5AruUzBaWvsV0vS4-lekhiHZUhKRRE","jeff brown tech investor")</f>
        <v>jeff brown tech investor</v>
      </c>
    </row>
    <row r="8">
      <c r="A8" s="1" t="str">
        <f t="shared" si="6"/>
        <v>jeff brown investor</v>
      </c>
      <c r="B8" s="1" t="str">
        <f t="shared" si="5"/>
        <v>https://docs.google.com/spreadsheets/d/1Ki_r1_pY3x2XM5AruUzBaWvsV0vS4-lekhiHZUhKRRE</v>
      </c>
      <c r="C8" s="1" t="str">
        <f>HYPERLINK("https://docs.google.com/spreadsheets/d/1Ki_r1_pY3x2XM5AruUzBaWvsV0vS4-lekhiHZUhKRRE","bill5g.com")</f>
        <v>bill5g.com</v>
      </c>
    </row>
    <row r="9">
      <c r="A9" s="1" t="str">
        <f t="shared" ref="A9:A10" si="7">HYPERLINK("https://drive.google.com/drive/folders/1LTlzcjNvbWEVdve_AgO8fCFisliLBsKd","jeff brown stock picks for 2021")</f>
        <v>jeff brown stock picks for 2021</v>
      </c>
      <c r="B9" s="1" t="str">
        <f t="shared" ref="B9:B12" si="8">HYPERLINK("https://drive.google.com/drive/folders/1LTlzcjNvbWEVdve_AgO8fCFisliLBsKd","https://drive.google.com/drive/folders/1LTlzcjNvbWEVdve_AgO8fCFisliLBsKd")</f>
        <v>https://drive.google.com/drive/folders/1LTlzcjNvbWEVdve_AgO8fCFisliLBsKd</v>
      </c>
      <c r="C9" s="1" t="str">
        <f>HYPERLINK("https://drive.google.com/drive/folders/1LTlzcjNvbWEVdve_AgO8fCFisliLBsKd","jeff brown tech investor")</f>
        <v>jeff brown tech investor</v>
      </c>
    </row>
    <row r="10">
      <c r="A10" s="1" t="str">
        <f t="shared" si="7"/>
        <v>jeff brown stock picks for 2021</v>
      </c>
      <c r="B10" s="1" t="str">
        <f t="shared" si="8"/>
        <v>https://drive.google.com/drive/folders/1LTlzcjNvbWEVdve_AgO8fCFisliLBsKd</v>
      </c>
      <c r="C10" s="1" t="str">
        <f>HYPERLINK("https://drive.google.com/drive/folders/1LTlzcjNvbWEVdve_AgO8fCFisliLBsKd","bill5g.com")</f>
        <v>bill5g.com</v>
      </c>
    </row>
    <row r="11">
      <c r="A11" s="1" t="str">
        <f t="shared" ref="A11:A12" si="9">HYPERLINK("https://drive.google.com/drive/folders/1LTlzcjNvbWEVdve_AgO8fCFisliLBsKd","jeff brown investor")</f>
        <v>jeff brown investor</v>
      </c>
      <c r="B11" s="1" t="str">
        <f t="shared" si="8"/>
        <v>https://drive.google.com/drive/folders/1LTlzcjNvbWEVdve_AgO8fCFisliLBsKd</v>
      </c>
      <c r="C11" s="1" t="str">
        <f>HYPERLINK("https://drive.google.com/drive/folders/1LTlzcjNvbWEVdve_AgO8fCFisliLBsKd","jeff brown tech investor")</f>
        <v>jeff brown tech investor</v>
      </c>
    </row>
    <row r="12">
      <c r="A12" s="1" t="str">
        <f t="shared" si="9"/>
        <v>jeff brown investor</v>
      </c>
      <c r="B12" s="1" t="str">
        <f t="shared" si="8"/>
        <v>https://drive.google.com/drive/folders/1LTlzcjNvbWEVdve_AgO8fCFisliLBsKd</v>
      </c>
      <c r="C12" s="1" t="str">
        <f>HYPERLINK("https://drive.google.com/drive/folders/1LTlzcjNvbWEVdve_AgO8fCFisliLBsKd","bill5g.com")</f>
        <v>bill5g.com</v>
      </c>
    </row>
    <row r="13">
      <c r="A13" s="1" t="str">
        <f t="shared" ref="A13:A14" si="10">HYPERLINK("https://docs.google.com/spreadsheets/d/1GAIKL8IPq1y4mGORvxMNERDbK6993y8WqowuJZgjqis","jeff brown stock picks for 2021")</f>
        <v>jeff brown stock picks for 2021</v>
      </c>
      <c r="B13" s="1" t="str">
        <f t="shared" ref="B13:B16" si="11">HYPERLINK("https://docs.google.com/spreadsheets/d/1GAIKL8IPq1y4mGORvxMNERDbK6993y8WqowuJZgjqis","https://docs.google.com/spreadsheets/d/1GAIKL8IPq1y4mGORvxMNERDbK6993y8WqowuJZgjqis")</f>
        <v>https://docs.google.com/spreadsheets/d/1GAIKL8IPq1y4mGORvxMNERDbK6993y8WqowuJZgjqis</v>
      </c>
      <c r="C13" s="1" t="str">
        <f>HYPERLINK("https://docs.google.com/spreadsheets/d/1GAIKL8IPq1y4mGORvxMNERDbK6993y8WqowuJZgjqis","jeff brown tech investor")</f>
        <v>jeff brown tech investor</v>
      </c>
    </row>
    <row r="14">
      <c r="A14" s="1" t="str">
        <f t="shared" si="10"/>
        <v>jeff brown stock picks for 2021</v>
      </c>
      <c r="B14" s="1" t="str">
        <f t="shared" si="11"/>
        <v>https://docs.google.com/spreadsheets/d/1GAIKL8IPq1y4mGORvxMNERDbK6993y8WqowuJZgjqis</v>
      </c>
      <c r="C14" s="1" t="str">
        <f>HYPERLINK("https://docs.google.com/spreadsheets/d/1GAIKL8IPq1y4mGORvxMNERDbK6993y8WqowuJZgjqis","bill5g.com")</f>
        <v>bill5g.com</v>
      </c>
    </row>
    <row r="15">
      <c r="A15" s="1" t="str">
        <f t="shared" ref="A15:A16" si="12">HYPERLINK("https://docs.google.com/spreadsheets/d/1GAIKL8IPq1y4mGORvxMNERDbK6993y8WqowuJZgjqis","jeff brown investor")</f>
        <v>jeff brown investor</v>
      </c>
      <c r="B15" s="1" t="str">
        <f t="shared" si="11"/>
        <v>https://docs.google.com/spreadsheets/d/1GAIKL8IPq1y4mGORvxMNERDbK6993y8WqowuJZgjqis</v>
      </c>
      <c r="C15" s="1" t="str">
        <f>HYPERLINK("https://docs.google.com/spreadsheets/d/1GAIKL8IPq1y4mGORvxMNERDbK6993y8WqowuJZgjqis","jeff brown tech investor")</f>
        <v>jeff brown tech investor</v>
      </c>
    </row>
    <row r="16">
      <c r="A16" s="1" t="str">
        <f t="shared" si="12"/>
        <v>jeff brown investor</v>
      </c>
      <c r="B16" s="1" t="str">
        <f t="shared" si="11"/>
        <v>https://docs.google.com/spreadsheets/d/1GAIKL8IPq1y4mGORvxMNERDbK6993y8WqowuJZgjqis</v>
      </c>
      <c r="C16" s="1" t="str">
        <f>HYPERLINK("https://docs.google.com/spreadsheets/d/1GAIKL8IPq1y4mGORvxMNERDbK6993y8WqowuJZgjqis","bill5g.com")</f>
        <v>bill5g.com</v>
      </c>
    </row>
    <row r="17">
      <c r="A17" s="1" t="str">
        <f t="shared" ref="A17:A18" si="13">HYPERLINK("https://drive.google.com/drive/folders/113G9AIBvxm83FAGkX_jS23CkAQl3BC16","jeff brown stock picks for 2021")</f>
        <v>jeff brown stock picks for 2021</v>
      </c>
      <c r="B17" s="1" t="str">
        <f t="shared" ref="B17:B20" si="14">HYPERLINK("https://drive.google.com/drive/folders/113G9AIBvxm83FAGkX_jS23CkAQl3BC16","https://drive.google.com/drive/folders/113G9AIBvxm83FAGkX_jS23CkAQl3BC16")</f>
        <v>https://drive.google.com/drive/folders/113G9AIBvxm83FAGkX_jS23CkAQl3BC16</v>
      </c>
      <c r="C17" s="1" t="str">
        <f>HYPERLINK("https://drive.google.com/drive/folders/113G9AIBvxm83FAGkX_jS23CkAQl3BC16","jeff brown tech investor")</f>
        <v>jeff brown tech investor</v>
      </c>
    </row>
    <row r="18">
      <c r="A18" s="1" t="str">
        <f t="shared" si="13"/>
        <v>jeff brown stock picks for 2021</v>
      </c>
      <c r="B18" s="1" t="str">
        <f t="shared" si="14"/>
        <v>https://drive.google.com/drive/folders/113G9AIBvxm83FAGkX_jS23CkAQl3BC16</v>
      </c>
      <c r="C18" s="1" t="str">
        <f>HYPERLINK("https://drive.google.com/drive/folders/113G9AIBvxm83FAGkX_jS23CkAQl3BC16","bill5g.com")</f>
        <v>bill5g.com</v>
      </c>
    </row>
    <row r="19">
      <c r="A19" s="1" t="str">
        <f t="shared" ref="A19:A20" si="15">HYPERLINK("https://drive.google.com/drive/folders/113G9AIBvxm83FAGkX_jS23CkAQl3BC16","jeff brown investor")</f>
        <v>jeff brown investor</v>
      </c>
      <c r="B19" s="1" t="str">
        <f t="shared" si="14"/>
        <v>https://drive.google.com/drive/folders/113G9AIBvxm83FAGkX_jS23CkAQl3BC16</v>
      </c>
      <c r="C19" s="1" t="str">
        <f>HYPERLINK("https://drive.google.com/drive/folders/113G9AIBvxm83FAGkX_jS23CkAQl3BC16","jeff brown tech investor")</f>
        <v>jeff brown tech investor</v>
      </c>
    </row>
    <row r="20">
      <c r="A20" s="1" t="str">
        <f t="shared" si="15"/>
        <v>jeff brown investor</v>
      </c>
      <c r="B20" s="1" t="str">
        <f t="shared" si="14"/>
        <v>https://drive.google.com/drive/folders/113G9AIBvxm83FAGkX_jS23CkAQl3BC16</v>
      </c>
      <c r="C20" s="1" t="str">
        <f>HYPERLINK("https://drive.google.com/drive/folders/113G9AIBvxm83FAGkX_jS23CkAQl3BC16","bill5g.com")</f>
        <v>bill5g.com</v>
      </c>
    </row>
    <row r="21">
      <c r="A21" s="1" t="str">
        <f t="shared" ref="A21:A22" si="16">HYPERLINK("https://drive.google.com/drive/folders/1q6klJE6dDrWrrom8_Fl8PlVrB1162FOO","jeff brown stock picks for 2021")</f>
        <v>jeff brown stock picks for 2021</v>
      </c>
      <c r="B21" s="1" t="str">
        <f t="shared" ref="B21:B24" si="17">HYPERLINK("https://drive.google.com/drive/folders/1q6klJE6dDrWrrom8_Fl8PlVrB1162FOO","https://drive.google.com/drive/folders/1q6klJE6dDrWrrom8_Fl8PlVrB1162FOO")</f>
        <v>https://drive.google.com/drive/folders/1q6klJE6dDrWrrom8_Fl8PlVrB1162FOO</v>
      </c>
      <c r="C21" s="1" t="str">
        <f>HYPERLINK("https://drive.google.com/drive/folders/1q6klJE6dDrWrrom8_Fl8PlVrB1162FOO","jeff brown tech investor")</f>
        <v>jeff brown tech investor</v>
      </c>
    </row>
    <row r="22">
      <c r="A22" s="1" t="str">
        <f t="shared" si="16"/>
        <v>jeff brown stock picks for 2021</v>
      </c>
      <c r="B22" s="1" t="str">
        <f t="shared" si="17"/>
        <v>https://drive.google.com/drive/folders/1q6klJE6dDrWrrom8_Fl8PlVrB1162FOO</v>
      </c>
      <c r="C22" s="1" t="str">
        <f>HYPERLINK("https://drive.google.com/drive/folders/1q6klJE6dDrWrrom8_Fl8PlVrB1162FOO","bill5g.com")</f>
        <v>bill5g.com</v>
      </c>
    </row>
    <row r="23">
      <c r="A23" s="1" t="str">
        <f t="shared" ref="A23:A24" si="18">HYPERLINK("https://drive.google.com/drive/folders/1q6klJE6dDrWrrom8_Fl8PlVrB1162FOO","jeff brown investor")</f>
        <v>jeff brown investor</v>
      </c>
      <c r="B23" s="1" t="str">
        <f t="shared" si="17"/>
        <v>https://drive.google.com/drive/folders/1q6klJE6dDrWrrom8_Fl8PlVrB1162FOO</v>
      </c>
      <c r="C23" s="1" t="str">
        <f>HYPERLINK("https://drive.google.com/drive/folders/1q6klJE6dDrWrrom8_Fl8PlVrB1162FOO","jeff brown tech investor")</f>
        <v>jeff brown tech investor</v>
      </c>
    </row>
    <row r="24">
      <c r="A24" s="1" t="str">
        <f t="shared" si="18"/>
        <v>jeff brown investor</v>
      </c>
      <c r="B24" s="1" t="str">
        <f t="shared" si="17"/>
        <v>https://drive.google.com/drive/folders/1q6klJE6dDrWrrom8_Fl8PlVrB1162FOO</v>
      </c>
      <c r="C24" s="1" t="str">
        <f>HYPERLINK("https://drive.google.com/drive/folders/1q6klJE6dDrWrrom8_Fl8PlVrB1162FOO","bill5g.com")</f>
        <v>bill5g.com</v>
      </c>
    </row>
    <row r="25">
      <c r="A25" s="1" t="str">
        <f t="shared" ref="A25:A26" si="19">HYPERLINK("https://docs.google.com/spreadsheets/d/1gkCsSe-hWbbRVMGyqQzYvZcT-c4VU3pDJbJbtJDthoM","jeff brown stock picks for 2021")</f>
        <v>jeff brown stock picks for 2021</v>
      </c>
      <c r="B25" s="1" t="str">
        <f t="shared" ref="B25:B28" si="20">HYPERLINK("https://docs.google.com/spreadsheets/d/1gkCsSe-hWbbRVMGyqQzYvZcT-c4VU3pDJbJbtJDthoM","https://docs.google.com/spreadsheets/d/1gkCsSe-hWbbRVMGyqQzYvZcT-c4VU3pDJbJbtJDthoM")</f>
        <v>https://docs.google.com/spreadsheets/d/1gkCsSe-hWbbRVMGyqQzYvZcT-c4VU3pDJbJbtJDthoM</v>
      </c>
      <c r="C25" s="1" t="str">
        <f>HYPERLINK("https://docs.google.com/spreadsheets/d/1gkCsSe-hWbbRVMGyqQzYvZcT-c4VU3pDJbJbtJDthoM","jeff brown tech investor")</f>
        <v>jeff brown tech investor</v>
      </c>
    </row>
    <row r="26">
      <c r="A26" s="1" t="str">
        <f t="shared" si="19"/>
        <v>jeff brown stock picks for 2021</v>
      </c>
      <c r="B26" s="1" t="str">
        <f t="shared" si="20"/>
        <v>https://docs.google.com/spreadsheets/d/1gkCsSe-hWbbRVMGyqQzYvZcT-c4VU3pDJbJbtJDthoM</v>
      </c>
      <c r="C26" s="1" t="str">
        <f>HYPERLINK("https://docs.google.com/spreadsheets/d/1gkCsSe-hWbbRVMGyqQzYvZcT-c4VU3pDJbJbtJDthoM","bill5g.com")</f>
        <v>bill5g.com</v>
      </c>
    </row>
    <row r="27">
      <c r="A27" s="1" t="str">
        <f t="shared" ref="A27:A28" si="21">HYPERLINK("https://docs.google.com/spreadsheets/d/1gkCsSe-hWbbRVMGyqQzYvZcT-c4VU3pDJbJbtJDthoM","jeff brown investor")</f>
        <v>jeff brown investor</v>
      </c>
      <c r="B27" s="1" t="str">
        <f t="shared" si="20"/>
        <v>https://docs.google.com/spreadsheets/d/1gkCsSe-hWbbRVMGyqQzYvZcT-c4VU3pDJbJbtJDthoM</v>
      </c>
      <c r="C27" s="1" t="str">
        <f>HYPERLINK("https://docs.google.com/spreadsheets/d/1gkCsSe-hWbbRVMGyqQzYvZcT-c4VU3pDJbJbtJDthoM","jeff brown tech investor")</f>
        <v>jeff brown tech investor</v>
      </c>
    </row>
    <row r="28">
      <c r="A28" s="1" t="str">
        <f t="shared" si="21"/>
        <v>jeff brown investor</v>
      </c>
      <c r="B28" s="1" t="str">
        <f t="shared" si="20"/>
        <v>https://docs.google.com/spreadsheets/d/1gkCsSe-hWbbRVMGyqQzYvZcT-c4VU3pDJbJbtJDthoM</v>
      </c>
      <c r="C28" s="1" t="str">
        <f>HYPERLINK("https://docs.google.com/spreadsheets/d/1gkCsSe-hWbbRVMGyqQzYvZcT-c4VU3pDJbJbtJDthoM","bill5g.com")</f>
        <v>bill5g.com</v>
      </c>
    </row>
    <row r="29">
      <c r="A29" s="1" t="str">
        <f t="shared" ref="A29:A30" si="22">HYPERLINK("https://docs.google.com/spreadsheets/d/14bwD64CRm07kaAxcI7KaJsWx4i2bod4bKN-RGQzGJWA","jeff brown stock picks for 2021")</f>
        <v>jeff brown stock picks for 2021</v>
      </c>
      <c r="B29" s="1" t="str">
        <f t="shared" ref="B29:B32" si="23">HYPERLINK("https://docs.google.com/spreadsheets/d/14bwD64CRm07kaAxcI7KaJsWx4i2bod4bKN-RGQzGJWA","https://docs.google.com/spreadsheets/d/14bwD64CRm07kaAxcI7KaJsWx4i2bod4bKN-RGQzGJWA")</f>
        <v>https://docs.google.com/spreadsheets/d/14bwD64CRm07kaAxcI7KaJsWx4i2bod4bKN-RGQzGJWA</v>
      </c>
      <c r="C29" s="1" t="str">
        <f>HYPERLINK("https://docs.google.com/spreadsheets/d/14bwD64CRm07kaAxcI7KaJsWx4i2bod4bKN-RGQzGJWA","jeff brown tech investor")</f>
        <v>jeff brown tech investor</v>
      </c>
    </row>
    <row r="30">
      <c r="A30" s="1" t="str">
        <f t="shared" si="22"/>
        <v>jeff brown stock picks for 2021</v>
      </c>
      <c r="B30" s="1" t="str">
        <f t="shared" si="23"/>
        <v>https://docs.google.com/spreadsheets/d/14bwD64CRm07kaAxcI7KaJsWx4i2bod4bKN-RGQzGJWA</v>
      </c>
      <c r="C30" s="1" t="str">
        <f>HYPERLINK("https://docs.google.com/spreadsheets/d/14bwD64CRm07kaAxcI7KaJsWx4i2bod4bKN-RGQzGJWA","bill5g.com")</f>
        <v>bill5g.com</v>
      </c>
    </row>
    <row r="31">
      <c r="A31" s="1" t="str">
        <f t="shared" ref="A31:A32" si="24">HYPERLINK("https://docs.google.com/spreadsheets/d/14bwD64CRm07kaAxcI7KaJsWx4i2bod4bKN-RGQzGJWA","jeff brown investor")</f>
        <v>jeff brown investor</v>
      </c>
      <c r="B31" s="1" t="str">
        <f t="shared" si="23"/>
        <v>https://docs.google.com/spreadsheets/d/14bwD64CRm07kaAxcI7KaJsWx4i2bod4bKN-RGQzGJWA</v>
      </c>
      <c r="C31" s="1" t="str">
        <f>HYPERLINK("https://docs.google.com/spreadsheets/d/14bwD64CRm07kaAxcI7KaJsWx4i2bod4bKN-RGQzGJWA","jeff brown tech investor")</f>
        <v>jeff brown tech investor</v>
      </c>
    </row>
    <row r="32">
      <c r="A32" s="1" t="str">
        <f t="shared" si="24"/>
        <v>jeff brown investor</v>
      </c>
      <c r="B32" s="1" t="str">
        <f t="shared" si="23"/>
        <v>https://docs.google.com/spreadsheets/d/14bwD64CRm07kaAxcI7KaJsWx4i2bod4bKN-RGQzGJWA</v>
      </c>
      <c r="C32" s="1" t="str">
        <f>HYPERLINK("https://docs.google.com/spreadsheets/d/14bwD64CRm07kaAxcI7KaJsWx4i2bod4bKN-RGQzGJWA","bill5g.com")</f>
        <v>bill5g.com</v>
      </c>
    </row>
    <row r="33">
      <c r="A33" s="1" t="str">
        <f t="shared" ref="A33:A34" si="25">HYPERLINK("https://drive.google.com/drive/folders/1ZUxYfaVdp9jjy1-9wS-MHPK2tKXEZqH_","jeff brown stock picks for 2021")</f>
        <v>jeff brown stock picks for 2021</v>
      </c>
      <c r="B33" s="1" t="str">
        <f t="shared" ref="B33:B36" si="26">HYPERLINK("https://drive.google.com/drive/folders/1ZUxYfaVdp9jjy1-9wS-MHPK2tKXEZqH_","https://drive.google.com/drive/folders/1ZUxYfaVdp9jjy1-9wS-MHPK2tKXEZqH_")</f>
        <v>https://drive.google.com/drive/folders/1ZUxYfaVdp9jjy1-9wS-MHPK2tKXEZqH_</v>
      </c>
      <c r="C33" s="1" t="str">
        <f>HYPERLINK("https://drive.google.com/drive/folders/1ZUxYfaVdp9jjy1-9wS-MHPK2tKXEZqH_","jeff brown tech investor")</f>
        <v>jeff brown tech investor</v>
      </c>
    </row>
    <row r="34">
      <c r="A34" s="1" t="str">
        <f t="shared" si="25"/>
        <v>jeff brown stock picks for 2021</v>
      </c>
      <c r="B34" s="1" t="str">
        <f t="shared" si="26"/>
        <v>https://drive.google.com/drive/folders/1ZUxYfaVdp9jjy1-9wS-MHPK2tKXEZqH_</v>
      </c>
      <c r="C34" s="1" t="str">
        <f>HYPERLINK("https://drive.google.com/drive/folders/1ZUxYfaVdp9jjy1-9wS-MHPK2tKXEZqH_","bill5g.com")</f>
        <v>bill5g.com</v>
      </c>
    </row>
    <row r="35">
      <c r="A35" s="1" t="str">
        <f t="shared" ref="A35:A36" si="27">HYPERLINK("https://drive.google.com/drive/folders/1ZUxYfaVdp9jjy1-9wS-MHPK2tKXEZqH_","jeff brown investor")</f>
        <v>jeff brown investor</v>
      </c>
      <c r="B35" s="1" t="str">
        <f t="shared" si="26"/>
        <v>https://drive.google.com/drive/folders/1ZUxYfaVdp9jjy1-9wS-MHPK2tKXEZqH_</v>
      </c>
      <c r="C35" s="1" t="str">
        <f>HYPERLINK("https://drive.google.com/drive/folders/1ZUxYfaVdp9jjy1-9wS-MHPK2tKXEZqH_","jeff brown tech investor")</f>
        <v>jeff brown tech investor</v>
      </c>
    </row>
    <row r="36">
      <c r="A36" s="1" t="str">
        <f t="shared" si="27"/>
        <v>jeff brown investor</v>
      </c>
      <c r="B36" s="1" t="str">
        <f t="shared" si="26"/>
        <v>https://drive.google.com/drive/folders/1ZUxYfaVdp9jjy1-9wS-MHPK2tKXEZqH_</v>
      </c>
      <c r="C36" s="1" t="str">
        <f>HYPERLINK("https://drive.google.com/drive/folders/1ZUxYfaVdp9jjy1-9wS-MHPK2tKXEZqH_","bill5g.com")</f>
        <v>bill5g.com</v>
      </c>
    </row>
    <row r="37">
      <c r="A37" s="1" t="str">
        <f t="shared" ref="A37:A38" si="28">HYPERLINK("https://drive.google.com/drive/folders/1s4FxYK2jyj7QB5CiNUVOq9PWqWWo30hM","jeff brown stock picks for 2021")</f>
        <v>jeff brown stock picks for 2021</v>
      </c>
      <c r="B37" s="1" t="str">
        <f t="shared" ref="B37:B40" si="29">HYPERLINK("https://drive.google.com/drive/folders/1s4FxYK2jyj7QB5CiNUVOq9PWqWWo30hM","https://drive.google.com/drive/folders/1s4FxYK2jyj7QB5CiNUVOq9PWqWWo30hM")</f>
        <v>https://drive.google.com/drive/folders/1s4FxYK2jyj7QB5CiNUVOq9PWqWWo30hM</v>
      </c>
      <c r="C37" s="1" t="str">
        <f>HYPERLINK("https://drive.google.com/drive/folders/1s4FxYK2jyj7QB5CiNUVOq9PWqWWo30hM","jeff brown tech investor")</f>
        <v>jeff brown tech investor</v>
      </c>
    </row>
    <row r="38">
      <c r="A38" s="1" t="str">
        <f t="shared" si="28"/>
        <v>jeff brown stock picks for 2021</v>
      </c>
      <c r="B38" s="1" t="str">
        <f t="shared" si="29"/>
        <v>https://drive.google.com/drive/folders/1s4FxYK2jyj7QB5CiNUVOq9PWqWWo30hM</v>
      </c>
      <c r="C38" s="1" t="str">
        <f>HYPERLINK("https://drive.google.com/drive/folders/1s4FxYK2jyj7QB5CiNUVOq9PWqWWo30hM","bill5g.com")</f>
        <v>bill5g.com</v>
      </c>
    </row>
    <row r="39">
      <c r="A39" s="1" t="str">
        <f t="shared" ref="A39:A40" si="30">HYPERLINK("https://drive.google.com/drive/folders/1s4FxYK2jyj7QB5CiNUVOq9PWqWWo30hM","jeff brown investor")</f>
        <v>jeff brown investor</v>
      </c>
      <c r="B39" s="1" t="str">
        <f t="shared" si="29"/>
        <v>https://drive.google.com/drive/folders/1s4FxYK2jyj7QB5CiNUVOq9PWqWWo30hM</v>
      </c>
      <c r="C39" s="1" t="str">
        <f>HYPERLINK("https://drive.google.com/drive/folders/1s4FxYK2jyj7QB5CiNUVOq9PWqWWo30hM","jeff brown tech investor")</f>
        <v>jeff brown tech investor</v>
      </c>
    </row>
    <row r="40">
      <c r="A40" s="1" t="str">
        <f t="shared" si="30"/>
        <v>jeff brown investor</v>
      </c>
      <c r="B40" s="1" t="str">
        <f t="shared" si="29"/>
        <v>https://drive.google.com/drive/folders/1s4FxYK2jyj7QB5CiNUVOq9PWqWWo30hM</v>
      </c>
      <c r="C40" s="1" t="str">
        <f>HYPERLINK("https://drive.google.com/drive/folders/1s4FxYK2jyj7QB5CiNUVOq9PWqWWo30hM","bill5g.com")</f>
        <v>bill5g.com</v>
      </c>
    </row>
    <row r="41">
      <c r="A41" s="1" t="str">
        <f t="shared" ref="A41:A42" si="31">HYPERLINK("https://docs.google.com/spreadsheets/d/1cqYDpV9kVYuleGmhzAoR9HbzweWCNtRyZSOnoj3hCes","jeff brown stock picks for 2021")</f>
        <v>jeff brown stock picks for 2021</v>
      </c>
      <c r="B41" s="1" t="str">
        <f t="shared" ref="B41:B44" si="32">HYPERLINK("https://docs.google.com/spreadsheets/d/1cqYDpV9kVYuleGmhzAoR9HbzweWCNtRyZSOnoj3hCes","https://docs.google.com/spreadsheets/d/1cqYDpV9kVYuleGmhzAoR9HbzweWCNtRyZSOnoj3hCes")</f>
        <v>https://docs.google.com/spreadsheets/d/1cqYDpV9kVYuleGmhzAoR9HbzweWCNtRyZSOnoj3hCes</v>
      </c>
      <c r="C41" s="1" t="str">
        <f>HYPERLINK("https://docs.google.com/spreadsheets/d/1cqYDpV9kVYuleGmhzAoR9HbzweWCNtRyZSOnoj3hCes","jeff brown tech investor")</f>
        <v>jeff brown tech investor</v>
      </c>
    </row>
    <row r="42">
      <c r="A42" s="1" t="str">
        <f t="shared" si="31"/>
        <v>jeff brown stock picks for 2021</v>
      </c>
      <c r="B42" s="1" t="str">
        <f t="shared" si="32"/>
        <v>https://docs.google.com/spreadsheets/d/1cqYDpV9kVYuleGmhzAoR9HbzweWCNtRyZSOnoj3hCes</v>
      </c>
      <c r="C42" s="1" t="str">
        <f>HYPERLINK("https://docs.google.com/spreadsheets/d/1cqYDpV9kVYuleGmhzAoR9HbzweWCNtRyZSOnoj3hCes","bill5g.com")</f>
        <v>bill5g.com</v>
      </c>
    </row>
    <row r="43">
      <c r="A43" s="1" t="str">
        <f t="shared" ref="A43:A44" si="33">HYPERLINK("https://docs.google.com/spreadsheets/d/1cqYDpV9kVYuleGmhzAoR9HbzweWCNtRyZSOnoj3hCes","jeff brown investor")</f>
        <v>jeff brown investor</v>
      </c>
      <c r="B43" s="1" t="str">
        <f t="shared" si="32"/>
        <v>https://docs.google.com/spreadsheets/d/1cqYDpV9kVYuleGmhzAoR9HbzweWCNtRyZSOnoj3hCes</v>
      </c>
      <c r="C43" s="1" t="str">
        <f>HYPERLINK("https://docs.google.com/spreadsheets/d/1cqYDpV9kVYuleGmhzAoR9HbzweWCNtRyZSOnoj3hCes","jeff brown tech investor")</f>
        <v>jeff brown tech investor</v>
      </c>
    </row>
    <row r="44">
      <c r="A44" s="1" t="str">
        <f t="shared" si="33"/>
        <v>jeff brown investor</v>
      </c>
      <c r="B44" s="1" t="str">
        <f t="shared" si="32"/>
        <v>https://docs.google.com/spreadsheets/d/1cqYDpV9kVYuleGmhzAoR9HbzweWCNtRyZSOnoj3hCes</v>
      </c>
      <c r="C44" s="1" t="str">
        <f>HYPERLINK("https://docs.google.com/spreadsheets/d/1cqYDpV9kVYuleGmhzAoR9HbzweWCNtRyZSOnoj3hCes","bill5g.com")</f>
        <v>bill5g.com</v>
      </c>
    </row>
    <row r="45">
      <c r="A45" s="1" t="str">
        <f t="shared" ref="A45:A46" si="34">HYPERLINK("https://docs.google.com/spreadsheets/d/1ePiyRazFNhR_CFMd4T0_Ba00vEsPj9Iqt-uyj06K8is","jeff brown stock picks for 2021")</f>
        <v>jeff brown stock picks for 2021</v>
      </c>
      <c r="B45" s="1" t="str">
        <f t="shared" ref="B45:B48" si="35">HYPERLINK("https://docs.google.com/spreadsheets/d/1ePiyRazFNhR_CFMd4T0_Ba00vEsPj9Iqt-uyj06K8is","https://docs.google.com/spreadsheets/d/1ePiyRazFNhR_CFMd4T0_Ba00vEsPj9Iqt-uyj06K8is")</f>
        <v>https://docs.google.com/spreadsheets/d/1ePiyRazFNhR_CFMd4T0_Ba00vEsPj9Iqt-uyj06K8is</v>
      </c>
      <c r="C45" s="1" t="str">
        <f>HYPERLINK("https://docs.google.com/spreadsheets/d/1ePiyRazFNhR_CFMd4T0_Ba00vEsPj9Iqt-uyj06K8is","jeff brown tech investor")</f>
        <v>jeff brown tech investor</v>
      </c>
    </row>
    <row r="46">
      <c r="A46" s="1" t="str">
        <f t="shared" si="34"/>
        <v>jeff brown stock picks for 2021</v>
      </c>
      <c r="B46" s="1" t="str">
        <f t="shared" si="35"/>
        <v>https://docs.google.com/spreadsheets/d/1ePiyRazFNhR_CFMd4T0_Ba00vEsPj9Iqt-uyj06K8is</v>
      </c>
      <c r="C46" s="1" t="str">
        <f>HYPERLINK("https://docs.google.com/spreadsheets/d/1ePiyRazFNhR_CFMd4T0_Ba00vEsPj9Iqt-uyj06K8is","bill5g.com")</f>
        <v>bill5g.com</v>
      </c>
    </row>
    <row r="47">
      <c r="A47" s="1" t="str">
        <f t="shared" ref="A47:A48" si="36">HYPERLINK("https://docs.google.com/spreadsheets/d/1ePiyRazFNhR_CFMd4T0_Ba00vEsPj9Iqt-uyj06K8is","jeff brown investor")</f>
        <v>jeff brown investor</v>
      </c>
      <c r="B47" s="1" t="str">
        <f t="shared" si="35"/>
        <v>https://docs.google.com/spreadsheets/d/1ePiyRazFNhR_CFMd4T0_Ba00vEsPj9Iqt-uyj06K8is</v>
      </c>
      <c r="C47" s="1" t="str">
        <f>HYPERLINK("https://docs.google.com/spreadsheets/d/1ePiyRazFNhR_CFMd4T0_Ba00vEsPj9Iqt-uyj06K8is","jeff brown tech investor")</f>
        <v>jeff brown tech investor</v>
      </c>
    </row>
    <row r="48">
      <c r="A48" s="1" t="str">
        <f t="shared" si="36"/>
        <v>jeff brown investor</v>
      </c>
      <c r="B48" s="1" t="str">
        <f t="shared" si="35"/>
        <v>https://docs.google.com/spreadsheets/d/1ePiyRazFNhR_CFMd4T0_Ba00vEsPj9Iqt-uyj06K8is</v>
      </c>
      <c r="C48" s="1" t="str">
        <f>HYPERLINK("https://docs.google.com/spreadsheets/d/1ePiyRazFNhR_CFMd4T0_Ba00vEsPj9Iqt-uyj06K8is","bill5g.com")</f>
        <v>bill5g.com</v>
      </c>
    </row>
    <row r="49">
      <c r="A49" s="1" t="str">
        <f t="shared" ref="A49:A50" si="37">HYPERLINK("https://docs.google.com/spreadsheets/d/15aaNVQxGkH0Mzs0J_huF1Rx-Ilp_cMsP-EbWu08PHBM","jeff brown stock picks for 2021")</f>
        <v>jeff brown stock picks for 2021</v>
      </c>
      <c r="B49" s="1" t="str">
        <f t="shared" ref="B49:B52" si="38">HYPERLINK("https://docs.google.com/spreadsheets/d/15aaNVQxGkH0Mzs0J_huF1Rx-Ilp_cMsP-EbWu08PHBM","https://docs.google.com/spreadsheets/d/15aaNVQxGkH0Mzs0J_huF1Rx-Ilp_cMsP-EbWu08PHBM")</f>
        <v>https://docs.google.com/spreadsheets/d/15aaNVQxGkH0Mzs0J_huF1Rx-Ilp_cMsP-EbWu08PHBM</v>
      </c>
      <c r="C49" s="1" t="str">
        <f>HYPERLINK("https://docs.google.com/spreadsheets/d/15aaNVQxGkH0Mzs0J_huF1Rx-Ilp_cMsP-EbWu08PHBM","jeff brown tech investor")</f>
        <v>jeff brown tech investor</v>
      </c>
    </row>
    <row r="50">
      <c r="A50" s="1" t="str">
        <f t="shared" si="37"/>
        <v>jeff brown stock picks for 2021</v>
      </c>
      <c r="B50" s="1" t="str">
        <f t="shared" si="38"/>
        <v>https://docs.google.com/spreadsheets/d/15aaNVQxGkH0Mzs0J_huF1Rx-Ilp_cMsP-EbWu08PHBM</v>
      </c>
      <c r="C50" s="1" t="str">
        <f>HYPERLINK("https://docs.google.com/spreadsheets/d/15aaNVQxGkH0Mzs0J_huF1Rx-Ilp_cMsP-EbWu08PHBM","bill5g.com")</f>
        <v>bill5g.com</v>
      </c>
    </row>
    <row r="51">
      <c r="A51" s="1" t="str">
        <f t="shared" ref="A51:A52" si="39">HYPERLINK("https://docs.google.com/spreadsheets/d/15aaNVQxGkH0Mzs0J_huF1Rx-Ilp_cMsP-EbWu08PHBM","jeff brown investor")</f>
        <v>jeff brown investor</v>
      </c>
      <c r="B51" s="1" t="str">
        <f t="shared" si="38"/>
        <v>https://docs.google.com/spreadsheets/d/15aaNVQxGkH0Mzs0J_huF1Rx-Ilp_cMsP-EbWu08PHBM</v>
      </c>
      <c r="C51" s="1" t="str">
        <f>HYPERLINK("https://docs.google.com/spreadsheets/d/15aaNVQxGkH0Mzs0J_huF1Rx-Ilp_cMsP-EbWu08PHBM","jeff brown tech investor")</f>
        <v>jeff brown tech investor</v>
      </c>
    </row>
    <row r="52">
      <c r="A52" s="1" t="str">
        <f t="shared" si="39"/>
        <v>jeff brown investor</v>
      </c>
      <c r="B52" s="1" t="str">
        <f t="shared" si="38"/>
        <v>https://docs.google.com/spreadsheets/d/15aaNVQxGkH0Mzs0J_huF1Rx-Ilp_cMsP-EbWu08PHBM</v>
      </c>
      <c r="C52" s="1" t="str">
        <f>HYPERLINK("https://docs.google.com/spreadsheets/d/15aaNVQxGkH0Mzs0J_huF1Rx-Ilp_cMsP-EbWu08PHBM","bill5g.com")</f>
        <v>bill5g.com</v>
      </c>
    </row>
    <row r="53">
      <c r="A53" s="1" t="str">
        <f t="shared" ref="A53:A54" si="40">HYPERLINK("https://docs.google.com/spreadsheets/d/1Ky6pR5V8X6U6XarzbUac5qkQOX8pNRVJZCvKFVq9JGA","jeff brown stock picks for 2021")</f>
        <v>jeff brown stock picks for 2021</v>
      </c>
      <c r="B53" s="1" t="str">
        <f t="shared" ref="B53:B56" si="41">HYPERLINK("https://docs.google.com/spreadsheets/d/1Ky6pR5V8X6U6XarzbUac5qkQOX8pNRVJZCvKFVq9JGA","https://docs.google.com/spreadsheets/d/1Ky6pR5V8X6U6XarzbUac5qkQOX8pNRVJZCvKFVq9JGA")</f>
        <v>https://docs.google.com/spreadsheets/d/1Ky6pR5V8X6U6XarzbUac5qkQOX8pNRVJZCvKFVq9JGA</v>
      </c>
      <c r="C53" s="1" t="str">
        <f>HYPERLINK("https://docs.google.com/spreadsheets/d/1Ky6pR5V8X6U6XarzbUac5qkQOX8pNRVJZCvKFVq9JGA","jeff brown tech investor")</f>
        <v>jeff brown tech investor</v>
      </c>
    </row>
    <row r="54">
      <c r="A54" s="1" t="str">
        <f t="shared" si="40"/>
        <v>jeff brown stock picks for 2021</v>
      </c>
      <c r="B54" s="1" t="str">
        <f t="shared" si="41"/>
        <v>https://docs.google.com/spreadsheets/d/1Ky6pR5V8X6U6XarzbUac5qkQOX8pNRVJZCvKFVq9JGA</v>
      </c>
      <c r="C54" s="1" t="str">
        <f>HYPERLINK("https://docs.google.com/spreadsheets/d/1Ky6pR5V8X6U6XarzbUac5qkQOX8pNRVJZCvKFVq9JGA","bill5g.com")</f>
        <v>bill5g.com</v>
      </c>
    </row>
    <row r="55">
      <c r="A55" s="1" t="str">
        <f t="shared" ref="A55:A56" si="42">HYPERLINK("https://docs.google.com/spreadsheets/d/1Ky6pR5V8X6U6XarzbUac5qkQOX8pNRVJZCvKFVq9JGA","jeff brown investor")</f>
        <v>jeff brown investor</v>
      </c>
      <c r="B55" s="1" t="str">
        <f t="shared" si="41"/>
        <v>https://docs.google.com/spreadsheets/d/1Ky6pR5V8X6U6XarzbUac5qkQOX8pNRVJZCvKFVq9JGA</v>
      </c>
      <c r="C55" s="1" t="str">
        <f>HYPERLINK("https://docs.google.com/spreadsheets/d/1Ky6pR5V8X6U6XarzbUac5qkQOX8pNRVJZCvKFVq9JGA","jeff brown tech investor")</f>
        <v>jeff brown tech investor</v>
      </c>
    </row>
    <row r="56">
      <c r="A56" s="1" t="str">
        <f t="shared" si="42"/>
        <v>jeff brown investor</v>
      </c>
      <c r="B56" s="1" t="str">
        <f t="shared" si="41"/>
        <v>https://docs.google.com/spreadsheets/d/1Ky6pR5V8X6U6XarzbUac5qkQOX8pNRVJZCvKFVq9JGA</v>
      </c>
      <c r="C56" s="1" t="str">
        <f>HYPERLINK("https://docs.google.com/spreadsheets/d/1Ky6pR5V8X6U6XarzbUac5qkQOX8pNRVJZCvKFVq9JGA","bill5g.com")</f>
        <v>bill5g.com</v>
      </c>
    </row>
    <row r="57">
      <c r="A57" s="1" t="str">
        <f t="shared" ref="A57:A58" si="43">HYPERLINK("https://drive.google.com/drive/folders/1J8XF1B08yPm-kuiiwCZ9mF7SXT8oQ7Be","jeff brown stock picks for 2021")</f>
        <v>jeff brown stock picks for 2021</v>
      </c>
      <c r="B57" s="1" t="str">
        <f t="shared" ref="B57:B60" si="44">HYPERLINK("https://drive.google.com/drive/folders/1J8XF1B08yPm-kuiiwCZ9mF7SXT8oQ7Be","https://drive.google.com/drive/folders/1J8XF1B08yPm-kuiiwCZ9mF7SXT8oQ7Be")</f>
        <v>https://drive.google.com/drive/folders/1J8XF1B08yPm-kuiiwCZ9mF7SXT8oQ7Be</v>
      </c>
      <c r="C57" s="1" t="str">
        <f>HYPERLINK("https://drive.google.com/drive/folders/1J8XF1B08yPm-kuiiwCZ9mF7SXT8oQ7Be","jeff brown tech investor")</f>
        <v>jeff brown tech investor</v>
      </c>
    </row>
    <row r="58">
      <c r="A58" s="1" t="str">
        <f t="shared" si="43"/>
        <v>jeff brown stock picks for 2021</v>
      </c>
      <c r="B58" s="1" t="str">
        <f t="shared" si="44"/>
        <v>https://drive.google.com/drive/folders/1J8XF1B08yPm-kuiiwCZ9mF7SXT8oQ7Be</v>
      </c>
      <c r="C58" s="1" t="str">
        <f>HYPERLINK("https://drive.google.com/drive/folders/1J8XF1B08yPm-kuiiwCZ9mF7SXT8oQ7Be","bill5g.com")</f>
        <v>bill5g.com</v>
      </c>
    </row>
    <row r="59">
      <c r="A59" s="1" t="str">
        <f t="shared" ref="A59:A60" si="45">HYPERLINK("https://drive.google.com/drive/folders/1J8XF1B08yPm-kuiiwCZ9mF7SXT8oQ7Be","jeff brown investor")</f>
        <v>jeff brown investor</v>
      </c>
      <c r="B59" s="1" t="str">
        <f t="shared" si="44"/>
        <v>https://drive.google.com/drive/folders/1J8XF1B08yPm-kuiiwCZ9mF7SXT8oQ7Be</v>
      </c>
      <c r="C59" s="1" t="str">
        <f>HYPERLINK("https://drive.google.com/drive/folders/1J8XF1B08yPm-kuiiwCZ9mF7SXT8oQ7Be","jeff brown tech investor")</f>
        <v>jeff brown tech investor</v>
      </c>
    </row>
    <row r="60">
      <c r="A60" s="1" t="str">
        <f t="shared" si="45"/>
        <v>jeff brown investor</v>
      </c>
      <c r="B60" s="1" t="str">
        <f t="shared" si="44"/>
        <v>https://drive.google.com/drive/folders/1J8XF1B08yPm-kuiiwCZ9mF7SXT8oQ7Be</v>
      </c>
      <c r="C60" s="1" t="str">
        <f>HYPERLINK("https://drive.google.com/drive/folders/1J8XF1B08yPm-kuiiwCZ9mF7SXT8oQ7Be","bill5g.com")</f>
        <v>bill5g.com</v>
      </c>
    </row>
    <row r="61">
      <c r="A61" s="1" t="str">
        <f t="shared" ref="A61:A62" si="46">HYPERLINK("https://drive.google.com/drive/folders/1_sZyTNaIgAqvNYtrfojuqLKoZeEkOUWo","jeff brown stock picks for 2021")</f>
        <v>jeff brown stock picks for 2021</v>
      </c>
      <c r="B61" s="1" t="str">
        <f t="shared" ref="B61:B64" si="47">HYPERLINK("https://drive.google.com/drive/folders/1_sZyTNaIgAqvNYtrfojuqLKoZeEkOUWo","https://drive.google.com/drive/folders/1_sZyTNaIgAqvNYtrfojuqLKoZeEkOUWo")</f>
        <v>https://drive.google.com/drive/folders/1_sZyTNaIgAqvNYtrfojuqLKoZeEkOUWo</v>
      </c>
      <c r="C61" s="1" t="str">
        <f>HYPERLINK("https://drive.google.com/drive/folders/1_sZyTNaIgAqvNYtrfojuqLKoZeEkOUWo","jeff brown tech investor")</f>
        <v>jeff brown tech investor</v>
      </c>
    </row>
    <row r="62">
      <c r="A62" s="1" t="str">
        <f t="shared" si="46"/>
        <v>jeff brown stock picks for 2021</v>
      </c>
      <c r="B62" s="1" t="str">
        <f t="shared" si="47"/>
        <v>https://drive.google.com/drive/folders/1_sZyTNaIgAqvNYtrfojuqLKoZeEkOUWo</v>
      </c>
      <c r="C62" s="1" t="str">
        <f>HYPERLINK("https://drive.google.com/drive/folders/1_sZyTNaIgAqvNYtrfojuqLKoZeEkOUWo","bill5g.com")</f>
        <v>bill5g.com</v>
      </c>
    </row>
    <row r="63">
      <c r="A63" s="1" t="str">
        <f t="shared" ref="A63:A64" si="48">HYPERLINK("https://drive.google.com/drive/folders/1_sZyTNaIgAqvNYtrfojuqLKoZeEkOUWo","jeff brown investor")</f>
        <v>jeff brown investor</v>
      </c>
      <c r="B63" s="1" t="str">
        <f t="shared" si="47"/>
        <v>https://drive.google.com/drive/folders/1_sZyTNaIgAqvNYtrfojuqLKoZeEkOUWo</v>
      </c>
      <c r="C63" s="1" t="str">
        <f>HYPERLINK("https://drive.google.com/drive/folders/1_sZyTNaIgAqvNYtrfojuqLKoZeEkOUWo","jeff brown tech investor")</f>
        <v>jeff brown tech investor</v>
      </c>
    </row>
    <row r="64">
      <c r="A64" s="1" t="str">
        <f t="shared" si="48"/>
        <v>jeff brown investor</v>
      </c>
      <c r="B64" s="1" t="str">
        <f t="shared" si="47"/>
        <v>https://drive.google.com/drive/folders/1_sZyTNaIgAqvNYtrfojuqLKoZeEkOUWo</v>
      </c>
      <c r="C64" s="1" t="str">
        <f>HYPERLINK("https://drive.google.com/drive/folders/1_sZyTNaIgAqvNYtrfojuqLKoZeEkOUWo","bill5g.com")</f>
        <v>bill5g.com</v>
      </c>
    </row>
    <row r="65">
      <c r="A65" s="1" t="str">
        <f t="shared" ref="A65:A66" si="49">HYPERLINK("https://drive.google.com/drive/folders/1e4XfxWv13FPYlnWwLBiKWvC2fw7dxtm1","jeff brown stock picks for 2021")</f>
        <v>jeff brown stock picks for 2021</v>
      </c>
      <c r="B65" s="1" t="str">
        <f t="shared" ref="B65:B68" si="50">HYPERLINK("https://drive.google.com/drive/folders/1e4XfxWv13FPYlnWwLBiKWvC2fw7dxtm1","https://drive.google.com/drive/folders/1e4XfxWv13FPYlnWwLBiKWvC2fw7dxtm1")</f>
        <v>https://drive.google.com/drive/folders/1e4XfxWv13FPYlnWwLBiKWvC2fw7dxtm1</v>
      </c>
      <c r="C65" s="1" t="str">
        <f>HYPERLINK("https://drive.google.com/drive/folders/1e4XfxWv13FPYlnWwLBiKWvC2fw7dxtm1","jeff brown tech investor")</f>
        <v>jeff brown tech investor</v>
      </c>
    </row>
    <row r="66">
      <c r="A66" s="1" t="str">
        <f t="shared" si="49"/>
        <v>jeff brown stock picks for 2021</v>
      </c>
      <c r="B66" s="1" t="str">
        <f t="shared" si="50"/>
        <v>https://drive.google.com/drive/folders/1e4XfxWv13FPYlnWwLBiKWvC2fw7dxtm1</v>
      </c>
      <c r="C66" s="1" t="str">
        <f>HYPERLINK("https://drive.google.com/drive/folders/1e4XfxWv13FPYlnWwLBiKWvC2fw7dxtm1","bill5g.com")</f>
        <v>bill5g.com</v>
      </c>
    </row>
    <row r="67">
      <c r="A67" s="1" t="str">
        <f t="shared" ref="A67:A68" si="51">HYPERLINK("https://drive.google.com/drive/folders/1e4XfxWv13FPYlnWwLBiKWvC2fw7dxtm1","jeff brown investor")</f>
        <v>jeff brown investor</v>
      </c>
      <c r="B67" s="1" t="str">
        <f t="shared" si="50"/>
        <v>https://drive.google.com/drive/folders/1e4XfxWv13FPYlnWwLBiKWvC2fw7dxtm1</v>
      </c>
      <c r="C67" s="1" t="str">
        <f>HYPERLINK("https://drive.google.com/drive/folders/1e4XfxWv13FPYlnWwLBiKWvC2fw7dxtm1","jeff brown tech investor")</f>
        <v>jeff brown tech investor</v>
      </c>
    </row>
    <row r="68">
      <c r="A68" s="1" t="str">
        <f t="shared" si="51"/>
        <v>jeff brown investor</v>
      </c>
      <c r="B68" s="1" t="str">
        <f t="shared" si="50"/>
        <v>https://drive.google.com/drive/folders/1e4XfxWv13FPYlnWwLBiKWvC2fw7dxtm1</v>
      </c>
      <c r="C68" s="1" t="str">
        <f>HYPERLINK("https://drive.google.com/drive/folders/1e4XfxWv13FPYlnWwLBiKWvC2fw7dxtm1","bill5g.com")</f>
        <v>bill5g.com</v>
      </c>
    </row>
    <row r="69">
      <c r="A69" s="1" t="str">
        <f t="shared" ref="A69:A70" si="52">HYPERLINK("https://docs.google.com/spreadsheets/d/1jjFQJQ_ptSx54yW6v7sYhEJJgAVvOOSFuLF4WDaHmz0","jeff brown stock picks for 2021")</f>
        <v>jeff brown stock picks for 2021</v>
      </c>
      <c r="B69" s="1" t="str">
        <f t="shared" ref="B69:B72" si="53">HYPERLINK("https://docs.google.com/spreadsheets/d/1jjFQJQ_ptSx54yW6v7sYhEJJgAVvOOSFuLF4WDaHmz0","https://docs.google.com/spreadsheets/d/1jjFQJQ_ptSx54yW6v7sYhEJJgAVvOOSFuLF4WDaHmz0")</f>
        <v>https://docs.google.com/spreadsheets/d/1jjFQJQ_ptSx54yW6v7sYhEJJgAVvOOSFuLF4WDaHmz0</v>
      </c>
      <c r="C69" s="1" t="str">
        <f>HYPERLINK("https://docs.google.com/spreadsheets/d/1jjFQJQ_ptSx54yW6v7sYhEJJgAVvOOSFuLF4WDaHmz0","jeff brown tech investor")</f>
        <v>jeff brown tech investor</v>
      </c>
    </row>
    <row r="70">
      <c r="A70" s="1" t="str">
        <f t="shared" si="52"/>
        <v>jeff brown stock picks for 2021</v>
      </c>
      <c r="B70" s="1" t="str">
        <f t="shared" si="53"/>
        <v>https://docs.google.com/spreadsheets/d/1jjFQJQ_ptSx54yW6v7sYhEJJgAVvOOSFuLF4WDaHmz0</v>
      </c>
      <c r="C70" s="1" t="str">
        <f>HYPERLINK("https://docs.google.com/spreadsheets/d/1jjFQJQ_ptSx54yW6v7sYhEJJgAVvOOSFuLF4WDaHmz0","bill5g.com")</f>
        <v>bill5g.com</v>
      </c>
    </row>
    <row r="71">
      <c r="A71" s="1" t="str">
        <f t="shared" ref="A71:A72" si="54">HYPERLINK("https://docs.google.com/spreadsheets/d/1jjFQJQ_ptSx54yW6v7sYhEJJgAVvOOSFuLF4WDaHmz0","jeff brown investor")</f>
        <v>jeff brown investor</v>
      </c>
      <c r="B71" s="1" t="str">
        <f t="shared" si="53"/>
        <v>https://docs.google.com/spreadsheets/d/1jjFQJQ_ptSx54yW6v7sYhEJJgAVvOOSFuLF4WDaHmz0</v>
      </c>
      <c r="C71" s="1" t="str">
        <f>HYPERLINK("https://docs.google.com/spreadsheets/d/1jjFQJQ_ptSx54yW6v7sYhEJJgAVvOOSFuLF4WDaHmz0","jeff brown tech investor")</f>
        <v>jeff brown tech investor</v>
      </c>
    </row>
    <row r="72">
      <c r="A72" s="1" t="str">
        <f t="shared" si="54"/>
        <v>jeff brown investor</v>
      </c>
      <c r="B72" s="1" t="str">
        <f t="shared" si="53"/>
        <v>https://docs.google.com/spreadsheets/d/1jjFQJQ_ptSx54yW6v7sYhEJJgAVvOOSFuLF4WDaHmz0</v>
      </c>
      <c r="C72" s="1" t="str">
        <f>HYPERLINK("https://docs.google.com/spreadsheets/d/1jjFQJQ_ptSx54yW6v7sYhEJJgAVvOOSFuLF4WDaHmz0","bill5g.com")</f>
        <v>bill5g.com</v>
      </c>
    </row>
    <row r="73">
      <c r="A73" s="1" t="str">
        <f t="shared" ref="A73:A74" si="55">HYPERLINK("https://docs.google.com/spreadsheets/d/1XTFQu_MBbjpLwRYNwV3oUyYJSKX0gvPn1HHXxTvtNB0","jeff brown stock picks for 2021")</f>
        <v>jeff brown stock picks for 2021</v>
      </c>
      <c r="B73" s="1" t="str">
        <f t="shared" ref="B73:B76" si="56">HYPERLINK("https://docs.google.com/spreadsheets/d/1XTFQu_MBbjpLwRYNwV3oUyYJSKX0gvPn1HHXxTvtNB0","https://docs.google.com/spreadsheets/d/1XTFQu_MBbjpLwRYNwV3oUyYJSKX0gvPn1HHXxTvtNB0")</f>
        <v>https://docs.google.com/spreadsheets/d/1XTFQu_MBbjpLwRYNwV3oUyYJSKX0gvPn1HHXxTvtNB0</v>
      </c>
      <c r="C73" s="1" t="str">
        <f>HYPERLINK("https://docs.google.com/spreadsheets/d/1XTFQu_MBbjpLwRYNwV3oUyYJSKX0gvPn1HHXxTvtNB0","jeff brown tech investor")</f>
        <v>jeff brown tech investor</v>
      </c>
    </row>
    <row r="74">
      <c r="A74" s="1" t="str">
        <f t="shared" si="55"/>
        <v>jeff brown stock picks for 2021</v>
      </c>
      <c r="B74" s="1" t="str">
        <f t="shared" si="56"/>
        <v>https://docs.google.com/spreadsheets/d/1XTFQu_MBbjpLwRYNwV3oUyYJSKX0gvPn1HHXxTvtNB0</v>
      </c>
      <c r="C74" s="1" t="str">
        <f>HYPERLINK("https://docs.google.com/spreadsheets/d/1XTFQu_MBbjpLwRYNwV3oUyYJSKX0gvPn1HHXxTvtNB0","bill5g.com")</f>
        <v>bill5g.com</v>
      </c>
    </row>
    <row r="75">
      <c r="A75" s="1" t="str">
        <f t="shared" ref="A75:A76" si="57">HYPERLINK("https://docs.google.com/spreadsheets/d/1XTFQu_MBbjpLwRYNwV3oUyYJSKX0gvPn1HHXxTvtNB0","jeff brown investor")</f>
        <v>jeff brown investor</v>
      </c>
      <c r="B75" s="1" t="str">
        <f t="shared" si="56"/>
        <v>https://docs.google.com/spreadsheets/d/1XTFQu_MBbjpLwRYNwV3oUyYJSKX0gvPn1HHXxTvtNB0</v>
      </c>
      <c r="C75" s="1" t="str">
        <f>HYPERLINK("https://docs.google.com/spreadsheets/d/1XTFQu_MBbjpLwRYNwV3oUyYJSKX0gvPn1HHXxTvtNB0","jeff brown tech investor")</f>
        <v>jeff brown tech investor</v>
      </c>
    </row>
    <row r="76">
      <c r="A76" s="1" t="str">
        <f t="shared" si="57"/>
        <v>jeff brown investor</v>
      </c>
      <c r="B76" s="1" t="str">
        <f t="shared" si="56"/>
        <v>https://docs.google.com/spreadsheets/d/1XTFQu_MBbjpLwRYNwV3oUyYJSKX0gvPn1HHXxTvtNB0</v>
      </c>
      <c r="C76" s="1" t="str">
        <f>HYPERLINK("https://docs.google.com/spreadsheets/d/1XTFQu_MBbjpLwRYNwV3oUyYJSKX0gvPn1HHXxTvtNB0","bill5g.com")</f>
        <v>bill5g.com</v>
      </c>
    </row>
    <row r="77">
      <c r="A77" s="1" t="str">
        <f t="shared" ref="A77:A78" si="58">HYPERLINK("https://drive.google.com/drive/folders/1UGwxRo7iB8uxyGBkYkvV_xb2_x1f5v-p","jeff brown stock picks for 2021")</f>
        <v>jeff brown stock picks for 2021</v>
      </c>
      <c r="B77" s="1" t="str">
        <f t="shared" ref="B77:B80" si="59">HYPERLINK("https://drive.google.com/drive/folders/1UGwxRo7iB8uxyGBkYkvV_xb2_x1f5v-p","https://drive.google.com/drive/folders/1UGwxRo7iB8uxyGBkYkvV_xb2_x1f5v-p")</f>
        <v>https://drive.google.com/drive/folders/1UGwxRo7iB8uxyGBkYkvV_xb2_x1f5v-p</v>
      </c>
      <c r="C77" s="1" t="str">
        <f>HYPERLINK("https://drive.google.com/drive/folders/1UGwxRo7iB8uxyGBkYkvV_xb2_x1f5v-p","jeff brown tech investor")</f>
        <v>jeff brown tech investor</v>
      </c>
    </row>
    <row r="78">
      <c r="A78" s="1" t="str">
        <f t="shared" si="58"/>
        <v>jeff brown stock picks for 2021</v>
      </c>
      <c r="B78" s="1" t="str">
        <f t="shared" si="59"/>
        <v>https://drive.google.com/drive/folders/1UGwxRo7iB8uxyGBkYkvV_xb2_x1f5v-p</v>
      </c>
      <c r="C78" s="1" t="str">
        <f>HYPERLINK("https://drive.google.com/drive/folders/1UGwxRo7iB8uxyGBkYkvV_xb2_x1f5v-p","bill5g.com")</f>
        <v>bill5g.com</v>
      </c>
    </row>
    <row r="79">
      <c r="A79" s="1" t="str">
        <f t="shared" ref="A79:A80" si="60">HYPERLINK("https://drive.google.com/drive/folders/1UGwxRo7iB8uxyGBkYkvV_xb2_x1f5v-p","jeff brown investor")</f>
        <v>jeff brown investor</v>
      </c>
      <c r="B79" s="1" t="str">
        <f t="shared" si="59"/>
        <v>https://drive.google.com/drive/folders/1UGwxRo7iB8uxyGBkYkvV_xb2_x1f5v-p</v>
      </c>
      <c r="C79" s="1" t="str">
        <f>HYPERLINK("https://drive.google.com/drive/folders/1UGwxRo7iB8uxyGBkYkvV_xb2_x1f5v-p","jeff brown tech investor")</f>
        <v>jeff brown tech investor</v>
      </c>
    </row>
    <row r="80">
      <c r="A80" s="1" t="str">
        <f t="shared" si="60"/>
        <v>jeff brown investor</v>
      </c>
      <c r="B80" s="1" t="str">
        <f t="shared" si="59"/>
        <v>https://drive.google.com/drive/folders/1UGwxRo7iB8uxyGBkYkvV_xb2_x1f5v-p</v>
      </c>
      <c r="C80" s="1" t="str">
        <f>HYPERLINK("https://drive.google.com/drive/folders/1UGwxRo7iB8uxyGBkYkvV_xb2_x1f5v-p","bill5g.com")</f>
        <v>bill5g.com</v>
      </c>
    </row>
    <row r="81">
      <c r="A81" s="1" t="str">
        <f t="shared" ref="A81:A82" si="61">HYPERLINK("https://docs.google.com/spreadsheets/d/1uE1A6OFqa0tNqkz1ZCm1wu9xtT1OmQC7qITLAvnTlrc","jeff brown stock picks for 2021")</f>
        <v>jeff brown stock picks for 2021</v>
      </c>
      <c r="B81" s="1" t="str">
        <f t="shared" ref="B81:B84" si="62">HYPERLINK("https://docs.google.com/spreadsheets/d/1uE1A6OFqa0tNqkz1ZCm1wu9xtT1OmQC7qITLAvnTlrc","https://docs.google.com/spreadsheets/d/1uE1A6OFqa0tNqkz1ZCm1wu9xtT1OmQC7qITLAvnTlrc")</f>
        <v>https://docs.google.com/spreadsheets/d/1uE1A6OFqa0tNqkz1ZCm1wu9xtT1OmQC7qITLAvnTlrc</v>
      </c>
      <c r="C81" s="1" t="str">
        <f>HYPERLINK("https://docs.google.com/spreadsheets/d/1uE1A6OFqa0tNqkz1ZCm1wu9xtT1OmQC7qITLAvnTlrc","jeff brown tech investor")</f>
        <v>jeff brown tech investor</v>
      </c>
    </row>
    <row r="82">
      <c r="A82" s="1" t="str">
        <f t="shared" si="61"/>
        <v>jeff brown stock picks for 2021</v>
      </c>
      <c r="B82" s="1" t="str">
        <f t="shared" si="62"/>
        <v>https://docs.google.com/spreadsheets/d/1uE1A6OFqa0tNqkz1ZCm1wu9xtT1OmQC7qITLAvnTlrc</v>
      </c>
      <c r="C82" s="1" t="str">
        <f>HYPERLINK("https://docs.google.com/spreadsheets/d/1uE1A6OFqa0tNqkz1ZCm1wu9xtT1OmQC7qITLAvnTlrc","bill5g.com")</f>
        <v>bill5g.com</v>
      </c>
    </row>
    <row r="83">
      <c r="A83" s="1" t="str">
        <f t="shared" ref="A83:A84" si="63">HYPERLINK("https://docs.google.com/spreadsheets/d/1uE1A6OFqa0tNqkz1ZCm1wu9xtT1OmQC7qITLAvnTlrc","jeff brown investor")</f>
        <v>jeff brown investor</v>
      </c>
      <c r="B83" s="1" t="str">
        <f t="shared" si="62"/>
        <v>https://docs.google.com/spreadsheets/d/1uE1A6OFqa0tNqkz1ZCm1wu9xtT1OmQC7qITLAvnTlrc</v>
      </c>
      <c r="C83" s="1" t="str">
        <f>HYPERLINK("https://docs.google.com/spreadsheets/d/1uE1A6OFqa0tNqkz1ZCm1wu9xtT1OmQC7qITLAvnTlrc","jeff brown tech investor")</f>
        <v>jeff brown tech investor</v>
      </c>
    </row>
    <row r="84">
      <c r="A84" s="1" t="str">
        <f t="shared" si="63"/>
        <v>jeff brown investor</v>
      </c>
      <c r="B84" s="1" t="str">
        <f t="shared" si="62"/>
        <v>https://docs.google.com/spreadsheets/d/1uE1A6OFqa0tNqkz1ZCm1wu9xtT1OmQC7qITLAvnTlrc</v>
      </c>
      <c r="C84" s="1" t="str">
        <f>HYPERLINK("https://docs.google.com/spreadsheets/d/1uE1A6OFqa0tNqkz1ZCm1wu9xtT1OmQC7qITLAvnTlrc","bill5g.com")</f>
        <v>bill5g.com</v>
      </c>
    </row>
    <row r="85">
      <c r="A85" s="1" t="str">
        <f t="shared" ref="A85:A86" si="64">HYPERLINK("https://docs.google.com/spreadsheets/d/1AOFabTZ5WAlKm_yg141fdnkAyPc85xqBw_3JXivlsd8","jeff brown stock picks for 2021")</f>
        <v>jeff brown stock picks for 2021</v>
      </c>
      <c r="B85" s="1" t="str">
        <f t="shared" ref="B85:B88" si="65">HYPERLINK("https://docs.google.com/spreadsheets/d/1AOFabTZ5WAlKm_yg141fdnkAyPc85xqBw_3JXivlsd8","https://docs.google.com/spreadsheets/d/1AOFabTZ5WAlKm_yg141fdnkAyPc85xqBw_3JXivlsd8")</f>
        <v>https://docs.google.com/spreadsheets/d/1AOFabTZ5WAlKm_yg141fdnkAyPc85xqBw_3JXivlsd8</v>
      </c>
      <c r="C85" s="1" t="str">
        <f>HYPERLINK("https://docs.google.com/spreadsheets/d/1AOFabTZ5WAlKm_yg141fdnkAyPc85xqBw_3JXivlsd8","jeff brown tech investor")</f>
        <v>jeff brown tech investor</v>
      </c>
    </row>
    <row r="86">
      <c r="A86" s="1" t="str">
        <f t="shared" si="64"/>
        <v>jeff brown stock picks for 2021</v>
      </c>
      <c r="B86" s="1" t="str">
        <f t="shared" si="65"/>
        <v>https://docs.google.com/spreadsheets/d/1AOFabTZ5WAlKm_yg141fdnkAyPc85xqBw_3JXivlsd8</v>
      </c>
      <c r="C86" s="1" t="str">
        <f>HYPERLINK("https://docs.google.com/spreadsheets/d/1AOFabTZ5WAlKm_yg141fdnkAyPc85xqBw_3JXivlsd8","bill5g.com")</f>
        <v>bill5g.com</v>
      </c>
    </row>
    <row r="87">
      <c r="A87" s="1" t="str">
        <f t="shared" ref="A87:A88" si="66">HYPERLINK("https://docs.google.com/spreadsheets/d/1AOFabTZ5WAlKm_yg141fdnkAyPc85xqBw_3JXivlsd8","jeff brown investor")</f>
        <v>jeff brown investor</v>
      </c>
      <c r="B87" s="1" t="str">
        <f t="shared" si="65"/>
        <v>https://docs.google.com/spreadsheets/d/1AOFabTZ5WAlKm_yg141fdnkAyPc85xqBw_3JXivlsd8</v>
      </c>
      <c r="C87" s="1" t="str">
        <f>HYPERLINK("https://docs.google.com/spreadsheets/d/1AOFabTZ5WAlKm_yg141fdnkAyPc85xqBw_3JXivlsd8","jeff brown tech investor")</f>
        <v>jeff brown tech investor</v>
      </c>
    </row>
    <row r="88">
      <c r="A88" s="1" t="str">
        <f t="shared" si="66"/>
        <v>jeff brown investor</v>
      </c>
      <c r="B88" s="1" t="str">
        <f t="shared" si="65"/>
        <v>https://docs.google.com/spreadsheets/d/1AOFabTZ5WAlKm_yg141fdnkAyPc85xqBw_3JXivlsd8</v>
      </c>
      <c r="C88" s="1" t="str">
        <f>HYPERLINK("https://docs.google.com/spreadsheets/d/1AOFabTZ5WAlKm_yg141fdnkAyPc85xqBw_3JXivlsd8","bill5g.com")</f>
        <v>bill5g.com</v>
      </c>
    </row>
    <row r="89">
      <c r="A89" s="1" t="str">
        <f t="shared" ref="A89:A90" si="67">HYPERLINK("https://docs.google.com/spreadsheets/d/13conQa7rONDZqeLlcI62VzjsowBaOcUgIq3Pbd2KJwg","jeff brown stock picks for 2021")</f>
        <v>jeff brown stock picks for 2021</v>
      </c>
      <c r="B89" s="1" t="str">
        <f t="shared" ref="B89:B92" si="68">HYPERLINK("https://docs.google.com/spreadsheets/d/13conQa7rONDZqeLlcI62VzjsowBaOcUgIq3Pbd2KJwg","https://docs.google.com/spreadsheets/d/13conQa7rONDZqeLlcI62VzjsowBaOcUgIq3Pbd2KJwg")</f>
        <v>https://docs.google.com/spreadsheets/d/13conQa7rONDZqeLlcI62VzjsowBaOcUgIq3Pbd2KJwg</v>
      </c>
      <c r="C89" s="1" t="str">
        <f>HYPERLINK("https://docs.google.com/spreadsheets/d/13conQa7rONDZqeLlcI62VzjsowBaOcUgIq3Pbd2KJwg","jeff brown tech investor")</f>
        <v>jeff brown tech investor</v>
      </c>
    </row>
    <row r="90">
      <c r="A90" s="1" t="str">
        <f t="shared" si="67"/>
        <v>jeff brown stock picks for 2021</v>
      </c>
      <c r="B90" s="1" t="str">
        <f t="shared" si="68"/>
        <v>https://docs.google.com/spreadsheets/d/13conQa7rONDZqeLlcI62VzjsowBaOcUgIq3Pbd2KJwg</v>
      </c>
      <c r="C90" s="1" t="str">
        <f>HYPERLINK("https://docs.google.com/spreadsheets/d/13conQa7rONDZqeLlcI62VzjsowBaOcUgIq3Pbd2KJwg","bill5g.com")</f>
        <v>bill5g.com</v>
      </c>
    </row>
    <row r="91">
      <c r="A91" s="1" t="str">
        <f t="shared" ref="A91:A92" si="69">HYPERLINK("https://docs.google.com/spreadsheets/d/13conQa7rONDZqeLlcI62VzjsowBaOcUgIq3Pbd2KJwg","jeff brown investor")</f>
        <v>jeff brown investor</v>
      </c>
      <c r="B91" s="1" t="str">
        <f t="shared" si="68"/>
        <v>https://docs.google.com/spreadsheets/d/13conQa7rONDZqeLlcI62VzjsowBaOcUgIq3Pbd2KJwg</v>
      </c>
      <c r="C91" s="1" t="str">
        <f>HYPERLINK("https://docs.google.com/spreadsheets/d/13conQa7rONDZqeLlcI62VzjsowBaOcUgIq3Pbd2KJwg","jeff brown tech investor")</f>
        <v>jeff brown tech investor</v>
      </c>
    </row>
    <row r="92">
      <c r="A92" s="1" t="str">
        <f t="shared" si="69"/>
        <v>jeff brown investor</v>
      </c>
      <c r="B92" s="1" t="str">
        <f t="shared" si="68"/>
        <v>https://docs.google.com/spreadsheets/d/13conQa7rONDZqeLlcI62VzjsowBaOcUgIq3Pbd2KJwg</v>
      </c>
      <c r="C92" s="1" t="str">
        <f>HYPERLINK("https://docs.google.com/spreadsheets/d/13conQa7rONDZqeLlcI62VzjsowBaOcUgIq3Pbd2KJwg","bill5g.com")</f>
        <v>bill5g.com</v>
      </c>
    </row>
    <row r="93">
      <c r="A93" s="1" t="str">
        <f t="shared" ref="A93:A94" si="70">HYPERLINK("https://drive.google.com/drive/folders/1gPuXXnUhvOEUWxyQ95z0W-dfWqlNdCBv","jeff brown stock picks for 2021")</f>
        <v>jeff brown stock picks for 2021</v>
      </c>
      <c r="B93" s="1" t="str">
        <f t="shared" ref="B93:B96" si="71">HYPERLINK("https://drive.google.com/drive/folders/1gPuXXnUhvOEUWxyQ95z0W-dfWqlNdCBv","https://drive.google.com/drive/folders/1gPuXXnUhvOEUWxyQ95z0W-dfWqlNdCBv")</f>
        <v>https://drive.google.com/drive/folders/1gPuXXnUhvOEUWxyQ95z0W-dfWqlNdCBv</v>
      </c>
      <c r="C93" s="1" t="str">
        <f>HYPERLINK("https://drive.google.com/drive/folders/1gPuXXnUhvOEUWxyQ95z0W-dfWqlNdCBv","jeff brown tech investor")</f>
        <v>jeff brown tech investor</v>
      </c>
    </row>
    <row r="94">
      <c r="A94" s="1" t="str">
        <f t="shared" si="70"/>
        <v>jeff brown stock picks for 2021</v>
      </c>
      <c r="B94" s="1" t="str">
        <f t="shared" si="71"/>
        <v>https://drive.google.com/drive/folders/1gPuXXnUhvOEUWxyQ95z0W-dfWqlNdCBv</v>
      </c>
      <c r="C94" s="1" t="str">
        <f>HYPERLINK("https://drive.google.com/drive/folders/1gPuXXnUhvOEUWxyQ95z0W-dfWqlNdCBv","bill5g.com")</f>
        <v>bill5g.com</v>
      </c>
    </row>
    <row r="95">
      <c r="A95" s="1" t="str">
        <f t="shared" ref="A95:A96" si="72">HYPERLINK("https://drive.google.com/drive/folders/1gPuXXnUhvOEUWxyQ95z0W-dfWqlNdCBv","jeff brown investor")</f>
        <v>jeff brown investor</v>
      </c>
      <c r="B95" s="1" t="str">
        <f t="shared" si="71"/>
        <v>https://drive.google.com/drive/folders/1gPuXXnUhvOEUWxyQ95z0W-dfWqlNdCBv</v>
      </c>
      <c r="C95" s="1" t="str">
        <f>HYPERLINK("https://drive.google.com/drive/folders/1gPuXXnUhvOEUWxyQ95z0W-dfWqlNdCBv","jeff brown tech investor")</f>
        <v>jeff brown tech investor</v>
      </c>
    </row>
    <row r="96">
      <c r="A96" s="1" t="str">
        <f t="shared" si="72"/>
        <v>jeff brown investor</v>
      </c>
      <c r="B96" s="1" t="str">
        <f t="shared" si="71"/>
        <v>https://drive.google.com/drive/folders/1gPuXXnUhvOEUWxyQ95z0W-dfWqlNdCBv</v>
      </c>
      <c r="C96" s="1" t="str">
        <f>HYPERLINK("https://drive.google.com/drive/folders/1gPuXXnUhvOEUWxyQ95z0W-dfWqlNdCBv","bill5g.com")</f>
        <v>bill5g.com</v>
      </c>
    </row>
    <row r="97">
      <c r="A97" s="1" t="str">
        <f t="shared" ref="A97:A98" si="73">HYPERLINK("https://drive.google.com/drive/folders/13XHO5JSLfP-IlrvqrqLyfhrGd9HI0NFS","jeff brown stock picks for 2021")</f>
        <v>jeff brown stock picks for 2021</v>
      </c>
      <c r="B97" s="1" t="str">
        <f t="shared" ref="B97:B100" si="74">HYPERLINK("https://drive.google.com/drive/folders/13XHO5JSLfP-IlrvqrqLyfhrGd9HI0NFS","https://drive.google.com/drive/folders/13XHO5JSLfP-IlrvqrqLyfhrGd9HI0NFS")</f>
        <v>https://drive.google.com/drive/folders/13XHO5JSLfP-IlrvqrqLyfhrGd9HI0NFS</v>
      </c>
      <c r="C97" s="1" t="str">
        <f>HYPERLINK("https://drive.google.com/drive/folders/13XHO5JSLfP-IlrvqrqLyfhrGd9HI0NFS","jeff brown tech investor")</f>
        <v>jeff brown tech investor</v>
      </c>
    </row>
    <row r="98">
      <c r="A98" s="1" t="str">
        <f t="shared" si="73"/>
        <v>jeff brown stock picks for 2021</v>
      </c>
      <c r="B98" s="1" t="str">
        <f t="shared" si="74"/>
        <v>https://drive.google.com/drive/folders/13XHO5JSLfP-IlrvqrqLyfhrGd9HI0NFS</v>
      </c>
      <c r="C98" s="1" t="str">
        <f>HYPERLINK("https://drive.google.com/drive/folders/13XHO5JSLfP-IlrvqrqLyfhrGd9HI0NFS","bill5g.com")</f>
        <v>bill5g.com</v>
      </c>
    </row>
    <row r="99">
      <c r="A99" s="1" t="str">
        <f t="shared" ref="A99:A100" si="75">HYPERLINK("https://drive.google.com/drive/folders/13XHO5JSLfP-IlrvqrqLyfhrGd9HI0NFS","jeff brown investor")</f>
        <v>jeff brown investor</v>
      </c>
      <c r="B99" s="1" t="str">
        <f t="shared" si="74"/>
        <v>https://drive.google.com/drive/folders/13XHO5JSLfP-IlrvqrqLyfhrGd9HI0NFS</v>
      </c>
      <c r="C99" s="1" t="str">
        <f>HYPERLINK("https://drive.google.com/drive/folders/13XHO5JSLfP-IlrvqrqLyfhrGd9HI0NFS","jeff brown tech investor")</f>
        <v>jeff brown tech investor</v>
      </c>
    </row>
    <row r="100">
      <c r="A100" s="1" t="str">
        <f t="shared" si="75"/>
        <v>jeff brown investor</v>
      </c>
      <c r="B100" s="1" t="str">
        <f t="shared" si="74"/>
        <v>https://drive.google.com/drive/folders/13XHO5JSLfP-IlrvqrqLyfhrGd9HI0NFS</v>
      </c>
      <c r="C100" s="1" t="str">
        <f>HYPERLINK("https://drive.google.com/drive/folders/13XHO5JSLfP-IlrvqrqLyfhrGd9HI0NFS","bill5g.com")</f>
        <v>bill5g.com</v>
      </c>
    </row>
    <row r="101">
      <c r="A101" s="1" t="str">
        <f t="shared" ref="A101:A102" si="76">HYPERLINK("https://drive.google.com/drive/folders/1RHLcu13loghI4YT_0nHqlnQIlpSgyZvC","jeff brown stock picks for 2021")</f>
        <v>jeff brown stock picks for 2021</v>
      </c>
      <c r="B101" s="1" t="str">
        <f t="shared" ref="B101:B104" si="77">HYPERLINK("https://drive.google.com/drive/folders/1RHLcu13loghI4YT_0nHqlnQIlpSgyZvC","https://drive.google.com/drive/folders/1RHLcu13loghI4YT_0nHqlnQIlpSgyZvC")</f>
        <v>https://drive.google.com/drive/folders/1RHLcu13loghI4YT_0nHqlnQIlpSgyZvC</v>
      </c>
      <c r="C101" s="1" t="str">
        <f>HYPERLINK("https://drive.google.com/drive/folders/1RHLcu13loghI4YT_0nHqlnQIlpSgyZvC","jeff brown tech investor")</f>
        <v>jeff brown tech investor</v>
      </c>
    </row>
    <row r="102">
      <c r="A102" s="1" t="str">
        <f t="shared" si="76"/>
        <v>jeff brown stock picks for 2021</v>
      </c>
      <c r="B102" s="1" t="str">
        <f t="shared" si="77"/>
        <v>https://drive.google.com/drive/folders/1RHLcu13loghI4YT_0nHqlnQIlpSgyZvC</v>
      </c>
      <c r="C102" s="1" t="str">
        <f>HYPERLINK("https://drive.google.com/drive/folders/1RHLcu13loghI4YT_0nHqlnQIlpSgyZvC","bill5g.com")</f>
        <v>bill5g.com</v>
      </c>
    </row>
    <row r="103">
      <c r="A103" s="1" t="str">
        <f t="shared" ref="A103:A104" si="78">HYPERLINK("https://drive.google.com/drive/folders/1RHLcu13loghI4YT_0nHqlnQIlpSgyZvC","jeff brown investor")</f>
        <v>jeff brown investor</v>
      </c>
      <c r="B103" s="1" t="str">
        <f t="shared" si="77"/>
        <v>https://drive.google.com/drive/folders/1RHLcu13loghI4YT_0nHqlnQIlpSgyZvC</v>
      </c>
      <c r="C103" s="1" t="str">
        <f>HYPERLINK("https://drive.google.com/drive/folders/1RHLcu13loghI4YT_0nHqlnQIlpSgyZvC","jeff brown tech investor")</f>
        <v>jeff brown tech investor</v>
      </c>
    </row>
    <row r="104">
      <c r="A104" s="1" t="str">
        <f t="shared" si="78"/>
        <v>jeff brown investor</v>
      </c>
      <c r="B104" s="1" t="str">
        <f t="shared" si="77"/>
        <v>https://drive.google.com/drive/folders/1RHLcu13loghI4YT_0nHqlnQIlpSgyZvC</v>
      </c>
      <c r="C104" s="1" t="str">
        <f>HYPERLINK("https://drive.google.com/drive/folders/1RHLcu13loghI4YT_0nHqlnQIlpSgyZvC","bill5g.com")</f>
        <v>bill5g.com</v>
      </c>
    </row>
    <row r="105">
      <c r="A105" s="1" t="str">
        <f t="shared" ref="A105:A106" si="79">HYPERLINK("https://drive.google.com/drive/folders/1FmP667ECy9sxwMK9hr6xyMDR6MKNhOMj","jeff brown stock picks for 2021")</f>
        <v>jeff brown stock picks for 2021</v>
      </c>
      <c r="B105" s="1" t="str">
        <f t="shared" ref="B105:B108" si="80">HYPERLINK("https://drive.google.com/drive/folders/1FmP667ECy9sxwMK9hr6xyMDR6MKNhOMj","https://drive.google.com/drive/folders/1FmP667ECy9sxwMK9hr6xyMDR6MKNhOMj")</f>
        <v>https://drive.google.com/drive/folders/1FmP667ECy9sxwMK9hr6xyMDR6MKNhOMj</v>
      </c>
      <c r="C105" s="1" t="str">
        <f>HYPERLINK("https://drive.google.com/drive/folders/1FmP667ECy9sxwMK9hr6xyMDR6MKNhOMj","jeff brown tech investor")</f>
        <v>jeff brown tech investor</v>
      </c>
    </row>
    <row r="106">
      <c r="A106" s="1" t="str">
        <f t="shared" si="79"/>
        <v>jeff brown stock picks for 2021</v>
      </c>
      <c r="B106" s="1" t="str">
        <f t="shared" si="80"/>
        <v>https://drive.google.com/drive/folders/1FmP667ECy9sxwMK9hr6xyMDR6MKNhOMj</v>
      </c>
      <c r="C106" s="1" t="str">
        <f>HYPERLINK("https://drive.google.com/drive/folders/1FmP667ECy9sxwMK9hr6xyMDR6MKNhOMj","bill5g.com")</f>
        <v>bill5g.com</v>
      </c>
    </row>
    <row r="107">
      <c r="A107" s="1" t="str">
        <f t="shared" ref="A107:A108" si="81">HYPERLINK("https://drive.google.com/drive/folders/1FmP667ECy9sxwMK9hr6xyMDR6MKNhOMj","jeff brown investor")</f>
        <v>jeff brown investor</v>
      </c>
      <c r="B107" s="1" t="str">
        <f t="shared" si="80"/>
        <v>https://drive.google.com/drive/folders/1FmP667ECy9sxwMK9hr6xyMDR6MKNhOMj</v>
      </c>
      <c r="C107" s="1" t="str">
        <f>HYPERLINK("https://drive.google.com/drive/folders/1FmP667ECy9sxwMK9hr6xyMDR6MKNhOMj","jeff brown tech investor")</f>
        <v>jeff brown tech investor</v>
      </c>
    </row>
    <row r="108">
      <c r="A108" s="1" t="str">
        <f t="shared" si="81"/>
        <v>jeff brown investor</v>
      </c>
      <c r="B108" s="1" t="str">
        <f t="shared" si="80"/>
        <v>https://drive.google.com/drive/folders/1FmP667ECy9sxwMK9hr6xyMDR6MKNhOMj</v>
      </c>
      <c r="C108" s="1" t="str">
        <f>HYPERLINK("https://drive.google.com/drive/folders/1FmP667ECy9sxwMK9hr6xyMDR6MKNhOMj","bill5g.com")</f>
        <v>bill5g.com</v>
      </c>
    </row>
    <row r="109">
      <c r="A109" s="1" t="str">
        <f t="shared" ref="A109:A110" si="82">HYPERLINK("https://drive.google.com/drive/folders/1t7Du_KMlNIKpykoeah0qZofXh95U8leC","jeff brown stock picks for 2021")</f>
        <v>jeff brown stock picks for 2021</v>
      </c>
      <c r="B109" s="1" t="str">
        <f t="shared" ref="B109:B112" si="83">HYPERLINK("https://drive.google.com/drive/folders/1t7Du_KMlNIKpykoeah0qZofXh95U8leC","https://drive.google.com/drive/folders/1t7Du_KMlNIKpykoeah0qZofXh95U8leC")</f>
        <v>https://drive.google.com/drive/folders/1t7Du_KMlNIKpykoeah0qZofXh95U8leC</v>
      </c>
      <c r="C109" s="1" t="str">
        <f>HYPERLINK("https://drive.google.com/drive/folders/1t7Du_KMlNIKpykoeah0qZofXh95U8leC","jeff brown tech investor")</f>
        <v>jeff brown tech investor</v>
      </c>
    </row>
    <row r="110">
      <c r="A110" s="1" t="str">
        <f t="shared" si="82"/>
        <v>jeff brown stock picks for 2021</v>
      </c>
      <c r="B110" s="1" t="str">
        <f t="shared" si="83"/>
        <v>https://drive.google.com/drive/folders/1t7Du_KMlNIKpykoeah0qZofXh95U8leC</v>
      </c>
      <c r="C110" s="1" t="str">
        <f>HYPERLINK("https://drive.google.com/drive/folders/1t7Du_KMlNIKpykoeah0qZofXh95U8leC","bill5g.com")</f>
        <v>bill5g.com</v>
      </c>
    </row>
    <row r="111">
      <c r="A111" s="1" t="str">
        <f t="shared" ref="A111:A112" si="84">HYPERLINK("https://drive.google.com/drive/folders/1t7Du_KMlNIKpykoeah0qZofXh95U8leC","jeff brown investor")</f>
        <v>jeff brown investor</v>
      </c>
      <c r="B111" s="1" t="str">
        <f t="shared" si="83"/>
        <v>https://drive.google.com/drive/folders/1t7Du_KMlNIKpykoeah0qZofXh95U8leC</v>
      </c>
      <c r="C111" s="1" t="str">
        <f>HYPERLINK("https://drive.google.com/drive/folders/1t7Du_KMlNIKpykoeah0qZofXh95U8leC","jeff brown tech investor")</f>
        <v>jeff brown tech investor</v>
      </c>
    </row>
    <row r="112">
      <c r="A112" s="1" t="str">
        <f t="shared" si="84"/>
        <v>jeff brown investor</v>
      </c>
      <c r="B112" s="1" t="str">
        <f t="shared" si="83"/>
        <v>https://drive.google.com/drive/folders/1t7Du_KMlNIKpykoeah0qZofXh95U8leC</v>
      </c>
      <c r="C112" s="1" t="str">
        <f>HYPERLINK("https://drive.google.com/drive/folders/1t7Du_KMlNIKpykoeah0qZofXh95U8leC","bill5g.com")</f>
        <v>bill5g.com</v>
      </c>
    </row>
    <row r="113">
      <c r="A113" s="1" t="str">
        <f t="shared" ref="A113:A114" si="85">HYPERLINK("https://docs.google.com/spreadsheets/d/1TBxmKGRwfXDHHesIiHjlPZykTD8HZ0Itx6VPWAlS8OI","jeff brown stock picks for 2021")</f>
        <v>jeff brown stock picks for 2021</v>
      </c>
      <c r="B113" s="1" t="str">
        <f t="shared" ref="B113:B116" si="86">HYPERLINK("https://docs.google.com/spreadsheets/d/1TBxmKGRwfXDHHesIiHjlPZykTD8HZ0Itx6VPWAlS8OI","https://docs.google.com/spreadsheets/d/1TBxmKGRwfXDHHesIiHjlPZykTD8HZ0Itx6VPWAlS8OI")</f>
        <v>https://docs.google.com/spreadsheets/d/1TBxmKGRwfXDHHesIiHjlPZykTD8HZ0Itx6VPWAlS8OI</v>
      </c>
      <c r="C113" s="1" t="str">
        <f>HYPERLINK("https://docs.google.com/spreadsheets/d/1TBxmKGRwfXDHHesIiHjlPZykTD8HZ0Itx6VPWAlS8OI","jeff brown tech investor")</f>
        <v>jeff brown tech investor</v>
      </c>
    </row>
    <row r="114">
      <c r="A114" s="1" t="str">
        <f t="shared" si="85"/>
        <v>jeff brown stock picks for 2021</v>
      </c>
      <c r="B114" s="1" t="str">
        <f t="shared" si="86"/>
        <v>https://docs.google.com/spreadsheets/d/1TBxmKGRwfXDHHesIiHjlPZykTD8HZ0Itx6VPWAlS8OI</v>
      </c>
      <c r="C114" s="1" t="str">
        <f>HYPERLINK("https://docs.google.com/spreadsheets/d/1TBxmKGRwfXDHHesIiHjlPZykTD8HZ0Itx6VPWAlS8OI","bill5g.com")</f>
        <v>bill5g.com</v>
      </c>
    </row>
    <row r="115">
      <c r="A115" s="1" t="str">
        <f t="shared" ref="A115:A116" si="87">HYPERLINK("https://docs.google.com/spreadsheets/d/1TBxmKGRwfXDHHesIiHjlPZykTD8HZ0Itx6VPWAlS8OI","jeff brown investor")</f>
        <v>jeff brown investor</v>
      </c>
      <c r="B115" s="1" t="str">
        <f t="shared" si="86"/>
        <v>https://docs.google.com/spreadsheets/d/1TBxmKGRwfXDHHesIiHjlPZykTD8HZ0Itx6VPWAlS8OI</v>
      </c>
      <c r="C115" s="1" t="str">
        <f>HYPERLINK("https://docs.google.com/spreadsheets/d/1TBxmKGRwfXDHHesIiHjlPZykTD8HZ0Itx6VPWAlS8OI","jeff brown tech investor")</f>
        <v>jeff brown tech investor</v>
      </c>
    </row>
    <row r="116">
      <c r="A116" s="1" t="str">
        <f t="shared" si="87"/>
        <v>jeff brown investor</v>
      </c>
      <c r="B116" s="1" t="str">
        <f t="shared" si="86"/>
        <v>https://docs.google.com/spreadsheets/d/1TBxmKGRwfXDHHesIiHjlPZykTD8HZ0Itx6VPWAlS8OI</v>
      </c>
      <c r="C116" s="1" t="str">
        <f>HYPERLINK("https://docs.google.com/spreadsheets/d/1TBxmKGRwfXDHHesIiHjlPZykTD8HZ0Itx6VPWAlS8OI","bill5g.com")</f>
        <v>bill5g.com</v>
      </c>
    </row>
    <row r="117">
      <c r="A117" s="1" t="str">
        <f t="shared" ref="A117:A118" si="88">HYPERLINK("https://drive.google.com/drive/folders/1j7PFZFnf-eqtiP32k8QRtiV6FWjFkV-O","jeff brown stock picks for 2021")</f>
        <v>jeff brown stock picks for 2021</v>
      </c>
      <c r="B117" s="1" t="str">
        <f t="shared" ref="B117:B120" si="89">HYPERLINK("https://drive.google.com/drive/folders/1j7PFZFnf-eqtiP32k8QRtiV6FWjFkV-O","https://drive.google.com/drive/folders/1j7PFZFnf-eqtiP32k8QRtiV6FWjFkV-O")</f>
        <v>https://drive.google.com/drive/folders/1j7PFZFnf-eqtiP32k8QRtiV6FWjFkV-O</v>
      </c>
      <c r="C117" s="1" t="str">
        <f>HYPERLINK("https://drive.google.com/drive/folders/1j7PFZFnf-eqtiP32k8QRtiV6FWjFkV-O","jeff brown tech investor")</f>
        <v>jeff brown tech investor</v>
      </c>
    </row>
    <row r="118">
      <c r="A118" s="1" t="str">
        <f t="shared" si="88"/>
        <v>jeff brown stock picks for 2021</v>
      </c>
      <c r="B118" s="1" t="str">
        <f t="shared" si="89"/>
        <v>https://drive.google.com/drive/folders/1j7PFZFnf-eqtiP32k8QRtiV6FWjFkV-O</v>
      </c>
      <c r="C118" s="1" t="str">
        <f>HYPERLINK("https://drive.google.com/drive/folders/1j7PFZFnf-eqtiP32k8QRtiV6FWjFkV-O","bill5g.com")</f>
        <v>bill5g.com</v>
      </c>
    </row>
    <row r="119">
      <c r="A119" s="1" t="str">
        <f t="shared" ref="A119:A120" si="90">HYPERLINK("https://drive.google.com/drive/folders/1j7PFZFnf-eqtiP32k8QRtiV6FWjFkV-O","jeff brown investor")</f>
        <v>jeff brown investor</v>
      </c>
      <c r="B119" s="1" t="str">
        <f t="shared" si="89"/>
        <v>https://drive.google.com/drive/folders/1j7PFZFnf-eqtiP32k8QRtiV6FWjFkV-O</v>
      </c>
      <c r="C119" s="1" t="str">
        <f>HYPERLINK("https://drive.google.com/drive/folders/1j7PFZFnf-eqtiP32k8QRtiV6FWjFkV-O","jeff brown tech investor")</f>
        <v>jeff brown tech investor</v>
      </c>
    </row>
    <row r="120">
      <c r="A120" s="1" t="str">
        <f t="shared" si="90"/>
        <v>jeff brown investor</v>
      </c>
      <c r="B120" s="1" t="str">
        <f t="shared" si="89"/>
        <v>https://drive.google.com/drive/folders/1j7PFZFnf-eqtiP32k8QRtiV6FWjFkV-O</v>
      </c>
      <c r="C120" s="1" t="str">
        <f>HYPERLINK("https://drive.google.com/drive/folders/1j7PFZFnf-eqtiP32k8QRtiV6FWjFkV-O","bill5g.com")</f>
        <v>bill5g.com</v>
      </c>
    </row>
    <row r="121">
      <c r="A121" s="1" t="str">
        <f t="shared" ref="A121:A122" si="91">HYPERLINK("https://drive.google.com/drive/folders/1kLRBL_iNcPqEWZAK9R4UR6Rpy-eBMVWx","jeff brown stock picks for 2021")</f>
        <v>jeff brown stock picks for 2021</v>
      </c>
      <c r="B121" s="1" t="str">
        <f t="shared" ref="B121:B124" si="92">HYPERLINK("https://drive.google.com/drive/folders/1kLRBL_iNcPqEWZAK9R4UR6Rpy-eBMVWx","https://drive.google.com/drive/folders/1kLRBL_iNcPqEWZAK9R4UR6Rpy-eBMVWx")</f>
        <v>https://drive.google.com/drive/folders/1kLRBL_iNcPqEWZAK9R4UR6Rpy-eBMVWx</v>
      </c>
      <c r="C121" s="1" t="str">
        <f>HYPERLINK("https://drive.google.com/drive/folders/1kLRBL_iNcPqEWZAK9R4UR6Rpy-eBMVWx","jeff brown tech investor")</f>
        <v>jeff brown tech investor</v>
      </c>
    </row>
    <row r="122">
      <c r="A122" s="1" t="str">
        <f t="shared" si="91"/>
        <v>jeff brown stock picks for 2021</v>
      </c>
      <c r="B122" s="1" t="str">
        <f t="shared" si="92"/>
        <v>https://drive.google.com/drive/folders/1kLRBL_iNcPqEWZAK9R4UR6Rpy-eBMVWx</v>
      </c>
      <c r="C122" s="1" t="str">
        <f>HYPERLINK("https://drive.google.com/drive/folders/1kLRBL_iNcPqEWZAK9R4UR6Rpy-eBMVWx","bill5g.com")</f>
        <v>bill5g.com</v>
      </c>
    </row>
    <row r="123">
      <c r="A123" s="1" t="str">
        <f t="shared" ref="A123:A124" si="93">HYPERLINK("https://drive.google.com/drive/folders/1kLRBL_iNcPqEWZAK9R4UR6Rpy-eBMVWx","jeff brown investor")</f>
        <v>jeff brown investor</v>
      </c>
      <c r="B123" s="1" t="str">
        <f t="shared" si="92"/>
        <v>https://drive.google.com/drive/folders/1kLRBL_iNcPqEWZAK9R4UR6Rpy-eBMVWx</v>
      </c>
      <c r="C123" s="1" t="str">
        <f>HYPERLINK("https://drive.google.com/drive/folders/1kLRBL_iNcPqEWZAK9R4UR6Rpy-eBMVWx","jeff brown tech investor")</f>
        <v>jeff brown tech investor</v>
      </c>
    </row>
    <row r="124">
      <c r="A124" s="1" t="str">
        <f t="shared" si="93"/>
        <v>jeff brown investor</v>
      </c>
      <c r="B124" s="1" t="str">
        <f t="shared" si="92"/>
        <v>https://drive.google.com/drive/folders/1kLRBL_iNcPqEWZAK9R4UR6Rpy-eBMVWx</v>
      </c>
      <c r="C124" s="1" t="str">
        <f>HYPERLINK("https://drive.google.com/drive/folders/1kLRBL_iNcPqEWZAK9R4UR6Rpy-eBMVWx","bill5g.com")</f>
        <v>bill5g.com</v>
      </c>
    </row>
    <row r="125">
      <c r="A125" s="1" t="str">
        <f t="shared" ref="A125:A126" si="94">HYPERLINK("https://drive.google.com/drive/folders/1F8nxsKpO36iolDwej-_XLu3oU3-nsjrJ","jeff brown stock picks for 2021")</f>
        <v>jeff brown stock picks for 2021</v>
      </c>
      <c r="B125" s="1" t="str">
        <f t="shared" ref="B125:B128" si="95">HYPERLINK("https://drive.google.com/drive/folders/1F8nxsKpO36iolDwej-_XLu3oU3-nsjrJ","https://drive.google.com/drive/folders/1F8nxsKpO36iolDwej-_XLu3oU3-nsjrJ")</f>
        <v>https://drive.google.com/drive/folders/1F8nxsKpO36iolDwej-_XLu3oU3-nsjrJ</v>
      </c>
      <c r="C125" s="1" t="str">
        <f>HYPERLINK("https://drive.google.com/drive/folders/1F8nxsKpO36iolDwej-_XLu3oU3-nsjrJ","jeff brown tech investor")</f>
        <v>jeff brown tech investor</v>
      </c>
    </row>
    <row r="126">
      <c r="A126" s="1" t="str">
        <f t="shared" si="94"/>
        <v>jeff brown stock picks for 2021</v>
      </c>
      <c r="B126" s="1" t="str">
        <f t="shared" si="95"/>
        <v>https://drive.google.com/drive/folders/1F8nxsKpO36iolDwej-_XLu3oU3-nsjrJ</v>
      </c>
      <c r="C126" s="1" t="str">
        <f>HYPERLINK("https://drive.google.com/drive/folders/1F8nxsKpO36iolDwej-_XLu3oU3-nsjrJ","bill5g.com")</f>
        <v>bill5g.com</v>
      </c>
    </row>
    <row r="127">
      <c r="A127" s="1" t="str">
        <f t="shared" ref="A127:A128" si="96">HYPERLINK("https://drive.google.com/drive/folders/1F8nxsKpO36iolDwej-_XLu3oU3-nsjrJ","jeff brown investor")</f>
        <v>jeff brown investor</v>
      </c>
      <c r="B127" s="1" t="str">
        <f t="shared" si="95"/>
        <v>https://drive.google.com/drive/folders/1F8nxsKpO36iolDwej-_XLu3oU3-nsjrJ</v>
      </c>
      <c r="C127" s="1" t="str">
        <f>HYPERLINK("https://drive.google.com/drive/folders/1F8nxsKpO36iolDwej-_XLu3oU3-nsjrJ","jeff brown tech investor")</f>
        <v>jeff brown tech investor</v>
      </c>
    </row>
    <row r="128">
      <c r="A128" s="1" t="str">
        <f t="shared" si="96"/>
        <v>jeff brown investor</v>
      </c>
      <c r="B128" s="1" t="str">
        <f t="shared" si="95"/>
        <v>https://drive.google.com/drive/folders/1F8nxsKpO36iolDwej-_XLu3oU3-nsjrJ</v>
      </c>
      <c r="C128" s="1" t="str">
        <f>HYPERLINK("https://drive.google.com/drive/folders/1F8nxsKpO36iolDwej-_XLu3oU3-nsjrJ","bill5g.com")</f>
        <v>bill5g.com</v>
      </c>
    </row>
    <row r="129">
      <c r="A129" s="1" t="str">
        <f t="shared" ref="A129:A130" si="97">HYPERLINK("https://drive.google.com/drive/folders/1xZ1HWWd9zaIB5362c0cMHVRi0AEbEaEJ","jeff brown stock picks for 2021")</f>
        <v>jeff brown stock picks for 2021</v>
      </c>
      <c r="B129" s="1" t="str">
        <f t="shared" ref="B129:B132" si="98">HYPERLINK("https://drive.google.com/drive/folders/1xZ1HWWd9zaIB5362c0cMHVRi0AEbEaEJ","https://drive.google.com/drive/folders/1xZ1HWWd9zaIB5362c0cMHVRi0AEbEaEJ")</f>
        <v>https://drive.google.com/drive/folders/1xZ1HWWd9zaIB5362c0cMHVRi0AEbEaEJ</v>
      </c>
      <c r="C129" s="1" t="str">
        <f>HYPERLINK("https://drive.google.com/drive/folders/1xZ1HWWd9zaIB5362c0cMHVRi0AEbEaEJ","jeff brown tech investor")</f>
        <v>jeff brown tech investor</v>
      </c>
    </row>
    <row r="130">
      <c r="A130" s="1" t="str">
        <f t="shared" si="97"/>
        <v>jeff brown stock picks for 2021</v>
      </c>
      <c r="B130" s="1" t="str">
        <f t="shared" si="98"/>
        <v>https://drive.google.com/drive/folders/1xZ1HWWd9zaIB5362c0cMHVRi0AEbEaEJ</v>
      </c>
      <c r="C130" s="1" t="str">
        <f>HYPERLINK("https://drive.google.com/drive/folders/1xZ1HWWd9zaIB5362c0cMHVRi0AEbEaEJ","bill5g.com")</f>
        <v>bill5g.com</v>
      </c>
    </row>
    <row r="131">
      <c r="A131" s="1" t="str">
        <f t="shared" ref="A131:A132" si="99">HYPERLINK("https://drive.google.com/drive/folders/1xZ1HWWd9zaIB5362c0cMHVRi0AEbEaEJ","jeff brown investor")</f>
        <v>jeff brown investor</v>
      </c>
      <c r="B131" s="1" t="str">
        <f t="shared" si="98"/>
        <v>https://drive.google.com/drive/folders/1xZ1HWWd9zaIB5362c0cMHVRi0AEbEaEJ</v>
      </c>
      <c r="C131" s="1" t="str">
        <f>HYPERLINK("https://drive.google.com/drive/folders/1xZ1HWWd9zaIB5362c0cMHVRi0AEbEaEJ","jeff brown tech investor")</f>
        <v>jeff brown tech investor</v>
      </c>
    </row>
    <row r="132">
      <c r="A132" s="1" t="str">
        <f t="shared" si="99"/>
        <v>jeff brown investor</v>
      </c>
      <c r="B132" s="1" t="str">
        <f t="shared" si="98"/>
        <v>https://drive.google.com/drive/folders/1xZ1HWWd9zaIB5362c0cMHVRi0AEbEaEJ</v>
      </c>
      <c r="C132" s="1" t="str">
        <f>HYPERLINK("https://drive.google.com/drive/folders/1xZ1HWWd9zaIB5362c0cMHVRi0AEbEaEJ","bill5g.com")</f>
        <v>bill5g.com</v>
      </c>
    </row>
    <row r="133">
      <c r="A133" s="1" t="str">
        <f t="shared" ref="A133:A134" si="100">HYPERLINK("https://drive.google.com/drive/folders/1PL_UXoP2yfNOnzPLQxcTkcZ0SCkJ6G6G","jeff brown stock picks for 2021")</f>
        <v>jeff brown stock picks for 2021</v>
      </c>
      <c r="B133" s="1" t="str">
        <f t="shared" ref="B133:B136" si="101">HYPERLINK("https://drive.google.com/drive/folders/1PL_UXoP2yfNOnzPLQxcTkcZ0SCkJ6G6G","https://drive.google.com/drive/folders/1PL_UXoP2yfNOnzPLQxcTkcZ0SCkJ6G6G")</f>
        <v>https://drive.google.com/drive/folders/1PL_UXoP2yfNOnzPLQxcTkcZ0SCkJ6G6G</v>
      </c>
      <c r="C133" s="1" t="str">
        <f>HYPERLINK("https://drive.google.com/drive/folders/1PL_UXoP2yfNOnzPLQxcTkcZ0SCkJ6G6G","jeff brown tech investor")</f>
        <v>jeff brown tech investor</v>
      </c>
    </row>
    <row r="134">
      <c r="A134" s="1" t="str">
        <f t="shared" si="100"/>
        <v>jeff brown stock picks for 2021</v>
      </c>
      <c r="B134" s="1" t="str">
        <f t="shared" si="101"/>
        <v>https://drive.google.com/drive/folders/1PL_UXoP2yfNOnzPLQxcTkcZ0SCkJ6G6G</v>
      </c>
      <c r="C134" s="1" t="str">
        <f>HYPERLINK("https://drive.google.com/drive/folders/1PL_UXoP2yfNOnzPLQxcTkcZ0SCkJ6G6G","bill5g.com")</f>
        <v>bill5g.com</v>
      </c>
    </row>
    <row r="135">
      <c r="A135" s="1" t="str">
        <f t="shared" ref="A135:A136" si="102">HYPERLINK("https://drive.google.com/drive/folders/1PL_UXoP2yfNOnzPLQxcTkcZ0SCkJ6G6G","jeff brown investor")</f>
        <v>jeff brown investor</v>
      </c>
      <c r="B135" s="1" t="str">
        <f t="shared" si="101"/>
        <v>https://drive.google.com/drive/folders/1PL_UXoP2yfNOnzPLQxcTkcZ0SCkJ6G6G</v>
      </c>
      <c r="C135" s="1" t="str">
        <f>HYPERLINK("https://drive.google.com/drive/folders/1PL_UXoP2yfNOnzPLQxcTkcZ0SCkJ6G6G","jeff brown tech investor")</f>
        <v>jeff brown tech investor</v>
      </c>
    </row>
    <row r="136">
      <c r="A136" s="1" t="str">
        <f t="shared" si="102"/>
        <v>jeff brown investor</v>
      </c>
      <c r="B136" s="1" t="str">
        <f t="shared" si="101"/>
        <v>https://drive.google.com/drive/folders/1PL_UXoP2yfNOnzPLQxcTkcZ0SCkJ6G6G</v>
      </c>
      <c r="C136" s="1" t="str">
        <f>HYPERLINK("https://drive.google.com/drive/folders/1PL_UXoP2yfNOnzPLQxcTkcZ0SCkJ6G6G","bill5g.com")</f>
        <v>bill5g.com</v>
      </c>
    </row>
    <row r="137">
      <c r="A137" s="1" t="str">
        <f t="shared" ref="A137:A138" si="103">HYPERLINK("https://docs.google.com/spreadsheets/d/1EZqYhzR6dkZdz4hf2CWgDYQNTGt5dTO3xCPKpDX143Q","jeff brown stock picks for 2021")</f>
        <v>jeff brown stock picks for 2021</v>
      </c>
      <c r="B137" s="1" t="str">
        <f t="shared" ref="B137:B140" si="104">HYPERLINK("https://docs.google.com/spreadsheets/d/1EZqYhzR6dkZdz4hf2CWgDYQNTGt5dTO3xCPKpDX143Q","https://docs.google.com/spreadsheets/d/1EZqYhzR6dkZdz4hf2CWgDYQNTGt5dTO3xCPKpDX143Q")</f>
        <v>https://docs.google.com/spreadsheets/d/1EZqYhzR6dkZdz4hf2CWgDYQNTGt5dTO3xCPKpDX143Q</v>
      </c>
      <c r="C137" s="1" t="str">
        <f>HYPERLINK("https://docs.google.com/spreadsheets/d/1EZqYhzR6dkZdz4hf2CWgDYQNTGt5dTO3xCPKpDX143Q","jeff brown tech investor")</f>
        <v>jeff brown tech investor</v>
      </c>
    </row>
    <row r="138">
      <c r="A138" s="1" t="str">
        <f t="shared" si="103"/>
        <v>jeff brown stock picks for 2021</v>
      </c>
      <c r="B138" s="1" t="str">
        <f t="shared" si="104"/>
        <v>https://docs.google.com/spreadsheets/d/1EZqYhzR6dkZdz4hf2CWgDYQNTGt5dTO3xCPKpDX143Q</v>
      </c>
      <c r="C138" s="1" t="str">
        <f>HYPERLINK("https://docs.google.com/spreadsheets/d/1EZqYhzR6dkZdz4hf2CWgDYQNTGt5dTO3xCPKpDX143Q","bill5g.com")</f>
        <v>bill5g.com</v>
      </c>
    </row>
    <row r="139">
      <c r="A139" s="1" t="str">
        <f t="shared" ref="A139:A140" si="105">HYPERLINK("https://docs.google.com/spreadsheets/d/1EZqYhzR6dkZdz4hf2CWgDYQNTGt5dTO3xCPKpDX143Q","jeff brown investor")</f>
        <v>jeff brown investor</v>
      </c>
      <c r="B139" s="1" t="str">
        <f t="shared" si="104"/>
        <v>https://docs.google.com/spreadsheets/d/1EZqYhzR6dkZdz4hf2CWgDYQNTGt5dTO3xCPKpDX143Q</v>
      </c>
      <c r="C139" s="1" t="str">
        <f>HYPERLINK("https://docs.google.com/spreadsheets/d/1EZqYhzR6dkZdz4hf2CWgDYQNTGt5dTO3xCPKpDX143Q","jeff brown tech investor")</f>
        <v>jeff brown tech investor</v>
      </c>
    </row>
    <row r="140">
      <c r="A140" s="1" t="str">
        <f t="shared" si="105"/>
        <v>jeff brown investor</v>
      </c>
      <c r="B140" s="1" t="str">
        <f t="shared" si="104"/>
        <v>https://docs.google.com/spreadsheets/d/1EZqYhzR6dkZdz4hf2CWgDYQNTGt5dTO3xCPKpDX143Q</v>
      </c>
      <c r="C140" s="1" t="str">
        <f>HYPERLINK("https://docs.google.com/spreadsheets/d/1EZqYhzR6dkZdz4hf2CWgDYQNTGt5dTO3xCPKpDX143Q","bill5g.com")</f>
        <v>bill5g.com</v>
      </c>
    </row>
    <row r="141">
      <c r="A141" s="1" t="str">
        <f t="shared" ref="A141:A142" si="106">HYPERLINK("https://drive.google.com/drive/folders/1lN29qWO6qyXUkXFmp8fdt9bCC6t5jHHi","jeff brown stock picks for 2021")</f>
        <v>jeff brown stock picks for 2021</v>
      </c>
      <c r="B141" s="1" t="str">
        <f t="shared" ref="B141:B144" si="107">HYPERLINK("https://drive.google.com/drive/folders/1lN29qWO6qyXUkXFmp8fdt9bCC6t5jHHi","https://drive.google.com/drive/folders/1lN29qWO6qyXUkXFmp8fdt9bCC6t5jHHi")</f>
        <v>https://drive.google.com/drive/folders/1lN29qWO6qyXUkXFmp8fdt9bCC6t5jHHi</v>
      </c>
      <c r="C141" s="1" t="str">
        <f>HYPERLINK("https://drive.google.com/drive/folders/1lN29qWO6qyXUkXFmp8fdt9bCC6t5jHHi","jeff brown tech investor")</f>
        <v>jeff brown tech investor</v>
      </c>
    </row>
    <row r="142">
      <c r="A142" s="1" t="str">
        <f t="shared" si="106"/>
        <v>jeff brown stock picks for 2021</v>
      </c>
      <c r="B142" s="1" t="str">
        <f t="shared" si="107"/>
        <v>https://drive.google.com/drive/folders/1lN29qWO6qyXUkXFmp8fdt9bCC6t5jHHi</v>
      </c>
      <c r="C142" s="1" t="str">
        <f>HYPERLINK("https://drive.google.com/drive/folders/1lN29qWO6qyXUkXFmp8fdt9bCC6t5jHHi","bill5g.com")</f>
        <v>bill5g.com</v>
      </c>
    </row>
    <row r="143">
      <c r="A143" s="1" t="str">
        <f t="shared" ref="A143:A144" si="108">HYPERLINK("https://drive.google.com/drive/folders/1lN29qWO6qyXUkXFmp8fdt9bCC6t5jHHi","jeff brown investor")</f>
        <v>jeff brown investor</v>
      </c>
      <c r="B143" s="1" t="str">
        <f t="shared" si="107"/>
        <v>https://drive.google.com/drive/folders/1lN29qWO6qyXUkXFmp8fdt9bCC6t5jHHi</v>
      </c>
      <c r="C143" s="1" t="str">
        <f>HYPERLINK("https://drive.google.com/drive/folders/1lN29qWO6qyXUkXFmp8fdt9bCC6t5jHHi","jeff brown tech investor")</f>
        <v>jeff brown tech investor</v>
      </c>
    </row>
    <row r="144">
      <c r="A144" s="1" t="str">
        <f t="shared" si="108"/>
        <v>jeff brown investor</v>
      </c>
      <c r="B144" s="1" t="str">
        <f t="shared" si="107"/>
        <v>https://drive.google.com/drive/folders/1lN29qWO6qyXUkXFmp8fdt9bCC6t5jHHi</v>
      </c>
      <c r="C144" s="1" t="str">
        <f>HYPERLINK("https://drive.google.com/drive/folders/1lN29qWO6qyXUkXFmp8fdt9bCC6t5jHHi","bill5g.com")</f>
        <v>bill5g.com</v>
      </c>
    </row>
    <row r="145">
      <c r="A145" s="1" t="str">
        <f t="shared" ref="A145:A146" si="109">HYPERLINK("https://drive.google.com/drive/folders/12F1I_uab8IhIQgmMT61AZQswDMf9ju3A","jeff brown stock picks for 2021")</f>
        <v>jeff brown stock picks for 2021</v>
      </c>
      <c r="B145" s="1" t="str">
        <f t="shared" ref="B145:B148" si="110">HYPERLINK("https://drive.google.com/drive/folders/12F1I_uab8IhIQgmMT61AZQswDMf9ju3A","https://drive.google.com/drive/folders/12F1I_uab8IhIQgmMT61AZQswDMf9ju3A")</f>
        <v>https://drive.google.com/drive/folders/12F1I_uab8IhIQgmMT61AZQswDMf9ju3A</v>
      </c>
      <c r="C145" s="1" t="str">
        <f>HYPERLINK("https://drive.google.com/drive/folders/12F1I_uab8IhIQgmMT61AZQswDMf9ju3A","jeff brown tech investor")</f>
        <v>jeff brown tech investor</v>
      </c>
    </row>
    <row r="146">
      <c r="A146" s="1" t="str">
        <f t="shared" si="109"/>
        <v>jeff brown stock picks for 2021</v>
      </c>
      <c r="B146" s="1" t="str">
        <f t="shared" si="110"/>
        <v>https://drive.google.com/drive/folders/12F1I_uab8IhIQgmMT61AZQswDMf9ju3A</v>
      </c>
      <c r="C146" s="1" t="str">
        <f>HYPERLINK("https://drive.google.com/drive/folders/12F1I_uab8IhIQgmMT61AZQswDMf9ju3A","bill5g.com")</f>
        <v>bill5g.com</v>
      </c>
    </row>
    <row r="147">
      <c r="A147" s="1" t="str">
        <f t="shared" ref="A147:A148" si="111">HYPERLINK("https://drive.google.com/drive/folders/12F1I_uab8IhIQgmMT61AZQswDMf9ju3A","jeff brown investor")</f>
        <v>jeff brown investor</v>
      </c>
      <c r="B147" s="1" t="str">
        <f t="shared" si="110"/>
        <v>https://drive.google.com/drive/folders/12F1I_uab8IhIQgmMT61AZQswDMf9ju3A</v>
      </c>
      <c r="C147" s="1" t="str">
        <f>HYPERLINK("https://drive.google.com/drive/folders/12F1I_uab8IhIQgmMT61AZQswDMf9ju3A","jeff brown tech investor")</f>
        <v>jeff brown tech investor</v>
      </c>
    </row>
    <row r="148">
      <c r="A148" s="1" t="str">
        <f t="shared" si="111"/>
        <v>jeff brown investor</v>
      </c>
      <c r="B148" s="1" t="str">
        <f t="shared" si="110"/>
        <v>https://drive.google.com/drive/folders/12F1I_uab8IhIQgmMT61AZQswDMf9ju3A</v>
      </c>
      <c r="C148" s="1" t="str">
        <f>HYPERLINK("https://drive.google.com/drive/folders/12F1I_uab8IhIQgmMT61AZQswDMf9ju3A","bill5g.com")</f>
        <v>bill5g.com</v>
      </c>
    </row>
    <row r="149">
      <c r="A149" s="1" t="str">
        <f t="shared" ref="A149:A150" si="112">HYPERLINK("https://drive.google.com/drive/folders/1WknJ0ChHsWkOzYgiwtFFwUaQrtjN-3Bs","jeff brown stock picks for 2021")</f>
        <v>jeff brown stock picks for 2021</v>
      </c>
      <c r="B149" s="1" t="str">
        <f t="shared" ref="B149:B152" si="113">HYPERLINK("https://drive.google.com/drive/folders/1WknJ0ChHsWkOzYgiwtFFwUaQrtjN-3Bs","https://drive.google.com/drive/folders/1WknJ0ChHsWkOzYgiwtFFwUaQrtjN-3Bs")</f>
        <v>https://drive.google.com/drive/folders/1WknJ0ChHsWkOzYgiwtFFwUaQrtjN-3Bs</v>
      </c>
      <c r="C149" s="1" t="str">
        <f>HYPERLINK("https://drive.google.com/drive/folders/1WknJ0ChHsWkOzYgiwtFFwUaQrtjN-3Bs","jeff brown tech investor")</f>
        <v>jeff brown tech investor</v>
      </c>
    </row>
    <row r="150">
      <c r="A150" s="1" t="str">
        <f t="shared" si="112"/>
        <v>jeff brown stock picks for 2021</v>
      </c>
      <c r="B150" s="1" t="str">
        <f t="shared" si="113"/>
        <v>https://drive.google.com/drive/folders/1WknJ0ChHsWkOzYgiwtFFwUaQrtjN-3Bs</v>
      </c>
      <c r="C150" s="1" t="str">
        <f>HYPERLINK("https://drive.google.com/drive/folders/1WknJ0ChHsWkOzYgiwtFFwUaQrtjN-3Bs","bill5g.com")</f>
        <v>bill5g.com</v>
      </c>
    </row>
    <row r="151">
      <c r="A151" s="1" t="str">
        <f t="shared" ref="A151:A152" si="114">HYPERLINK("https://drive.google.com/drive/folders/1WknJ0ChHsWkOzYgiwtFFwUaQrtjN-3Bs","jeff brown investor")</f>
        <v>jeff brown investor</v>
      </c>
      <c r="B151" s="1" t="str">
        <f t="shared" si="113"/>
        <v>https://drive.google.com/drive/folders/1WknJ0ChHsWkOzYgiwtFFwUaQrtjN-3Bs</v>
      </c>
      <c r="C151" s="1" t="str">
        <f>HYPERLINK("https://drive.google.com/drive/folders/1WknJ0ChHsWkOzYgiwtFFwUaQrtjN-3Bs","jeff brown tech investor")</f>
        <v>jeff brown tech investor</v>
      </c>
    </row>
    <row r="152">
      <c r="A152" s="1" t="str">
        <f t="shared" si="114"/>
        <v>jeff brown investor</v>
      </c>
      <c r="B152" s="1" t="str">
        <f t="shared" si="113"/>
        <v>https://drive.google.com/drive/folders/1WknJ0ChHsWkOzYgiwtFFwUaQrtjN-3Bs</v>
      </c>
      <c r="C152" s="1" t="str">
        <f>HYPERLINK("https://drive.google.com/drive/folders/1WknJ0ChHsWkOzYgiwtFFwUaQrtjN-3Bs","bill5g.com")</f>
        <v>bill5g.com</v>
      </c>
    </row>
    <row r="153">
      <c r="A153" s="1" t="str">
        <f t="shared" ref="A153:A154" si="115">HYPERLINK("https://drive.google.com/drive/folders/1TkaDKm5ToIqCnJQKyPjFkKtmVxsF-sTz","jeff brown stock picks for 2021")</f>
        <v>jeff brown stock picks for 2021</v>
      </c>
      <c r="B153" s="1" t="str">
        <f t="shared" ref="B153:B156" si="116">HYPERLINK("https://drive.google.com/drive/folders/1TkaDKm5ToIqCnJQKyPjFkKtmVxsF-sTz","https://drive.google.com/drive/folders/1TkaDKm5ToIqCnJQKyPjFkKtmVxsF-sTz")</f>
        <v>https://drive.google.com/drive/folders/1TkaDKm5ToIqCnJQKyPjFkKtmVxsF-sTz</v>
      </c>
      <c r="C153" s="1" t="str">
        <f>HYPERLINK("https://drive.google.com/drive/folders/1TkaDKm5ToIqCnJQKyPjFkKtmVxsF-sTz","jeff brown tech investor")</f>
        <v>jeff brown tech investor</v>
      </c>
    </row>
    <row r="154">
      <c r="A154" s="1" t="str">
        <f t="shared" si="115"/>
        <v>jeff brown stock picks for 2021</v>
      </c>
      <c r="B154" s="1" t="str">
        <f t="shared" si="116"/>
        <v>https://drive.google.com/drive/folders/1TkaDKm5ToIqCnJQKyPjFkKtmVxsF-sTz</v>
      </c>
      <c r="C154" s="1" t="str">
        <f>HYPERLINK("https://drive.google.com/drive/folders/1TkaDKm5ToIqCnJQKyPjFkKtmVxsF-sTz","bill5g.com")</f>
        <v>bill5g.com</v>
      </c>
    </row>
    <row r="155">
      <c r="A155" s="1" t="str">
        <f t="shared" ref="A155:A156" si="117">HYPERLINK("https://drive.google.com/drive/folders/1TkaDKm5ToIqCnJQKyPjFkKtmVxsF-sTz","jeff brown investor")</f>
        <v>jeff brown investor</v>
      </c>
      <c r="B155" s="1" t="str">
        <f t="shared" si="116"/>
        <v>https://drive.google.com/drive/folders/1TkaDKm5ToIqCnJQKyPjFkKtmVxsF-sTz</v>
      </c>
      <c r="C155" s="1" t="str">
        <f>HYPERLINK("https://drive.google.com/drive/folders/1TkaDKm5ToIqCnJQKyPjFkKtmVxsF-sTz","jeff brown tech investor")</f>
        <v>jeff brown tech investor</v>
      </c>
    </row>
    <row r="156">
      <c r="A156" s="1" t="str">
        <f t="shared" si="117"/>
        <v>jeff brown investor</v>
      </c>
      <c r="B156" s="1" t="str">
        <f t="shared" si="116"/>
        <v>https://drive.google.com/drive/folders/1TkaDKm5ToIqCnJQKyPjFkKtmVxsF-sTz</v>
      </c>
      <c r="C156" s="1" t="str">
        <f>HYPERLINK("https://drive.google.com/drive/folders/1TkaDKm5ToIqCnJQKyPjFkKtmVxsF-sTz","bill5g.com")</f>
        <v>bill5g.com</v>
      </c>
    </row>
    <row r="157">
      <c r="A157" s="1" t="str">
        <f t="shared" ref="A157:A158" si="118">HYPERLINK("https://drive.google.com/drive/folders/1QBTLXtwaWLOveWk9EOiGwjxJuzpnXLc5","jeff brown stock picks for 2021")</f>
        <v>jeff brown stock picks for 2021</v>
      </c>
      <c r="B157" s="1" t="str">
        <f t="shared" ref="B157:B160" si="119">HYPERLINK("https://drive.google.com/drive/folders/1QBTLXtwaWLOveWk9EOiGwjxJuzpnXLc5","https://drive.google.com/drive/folders/1QBTLXtwaWLOveWk9EOiGwjxJuzpnXLc5")</f>
        <v>https://drive.google.com/drive/folders/1QBTLXtwaWLOveWk9EOiGwjxJuzpnXLc5</v>
      </c>
      <c r="C157" s="1" t="str">
        <f>HYPERLINK("https://drive.google.com/drive/folders/1QBTLXtwaWLOveWk9EOiGwjxJuzpnXLc5","jeff brown tech investor")</f>
        <v>jeff brown tech investor</v>
      </c>
    </row>
    <row r="158">
      <c r="A158" s="1" t="str">
        <f t="shared" si="118"/>
        <v>jeff brown stock picks for 2021</v>
      </c>
      <c r="B158" s="1" t="str">
        <f t="shared" si="119"/>
        <v>https://drive.google.com/drive/folders/1QBTLXtwaWLOveWk9EOiGwjxJuzpnXLc5</v>
      </c>
      <c r="C158" s="1" t="str">
        <f>HYPERLINK("https://drive.google.com/drive/folders/1QBTLXtwaWLOveWk9EOiGwjxJuzpnXLc5","bill5g.com")</f>
        <v>bill5g.com</v>
      </c>
    </row>
    <row r="159">
      <c r="A159" s="1" t="str">
        <f t="shared" ref="A159:A160" si="120">HYPERLINK("https://drive.google.com/drive/folders/1QBTLXtwaWLOveWk9EOiGwjxJuzpnXLc5","jeff brown investor")</f>
        <v>jeff brown investor</v>
      </c>
      <c r="B159" s="1" t="str">
        <f t="shared" si="119"/>
        <v>https://drive.google.com/drive/folders/1QBTLXtwaWLOveWk9EOiGwjxJuzpnXLc5</v>
      </c>
      <c r="C159" s="1" t="str">
        <f>HYPERLINK("https://drive.google.com/drive/folders/1QBTLXtwaWLOveWk9EOiGwjxJuzpnXLc5","jeff brown tech investor")</f>
        <v>jeff brown tech investor</v>
      </c>
    </row>
    <row r="160">
      <c r="A160" s="1" t="str">
        <f t="shared" si="120"/>
        <v>jeff brown investor</v>
      </c>
      <c r="B160" s="1" t="str">
        <f t="shared" si="119"/>
        <v>https://drive.google.com/drive/folders/1QBTLXtwaWLOveWk9EOiGwjxJuzpnXLc5</v>
      </c>
      <c r="C160" s="1" t="str">
        <f>HYPERLINK("https://drive.google.com/drive/folders/1QBTLXtwaWLOveWk9EOiGwjxJuzpnXLc5","bill5g.com")</f>
        <v>bill5g.com</v>
      </c>
    </row>
    <row r="161">
      <c r="A161" s="1" t="str">
        <f t="shared" ref="A161:A162" si="121">HYPERLINK("https://docs.google.com/spreadsheets/d/1nfZbMCi7Cn2oUqaqrddTAnsruFW6aYCE3JQv14mN8cc","jeff brown stock picks for 2021")</f>
        <v>jeff brown stock picks for 2021</v>
      </c>
      <c r="B161" s="1" t="str">
        <f t="shared" ref="B161:B164" si="122">HYPERLINK("https://docs.google.com/spreadsheets/d/1nfZbMCi7Cn2oUqaqrddTAnsruFW6aYCE3JQv14mN8cc","https://docs.google.com/spreadsheets/d/1nfZbMCi7Cn2oUqaqrddTAnsruFW6aYCE3JQv14mN8cc")</f>
        <v>https://docs.google.com/spreadsheets/d/1nfZbMCi7Cn2oUqaqrddTAnsruFW6aYCE3JQv14mN8cc</v>
      </c>
      <c r="C161" s="1" t="str">
        <f>HYPERLINK("https://docs.google.com/spreadsheets/d/1nfZbMCi7Cn2oUqaqrddTAnsruFW6aYCE3JQv14mN8cc","jeff brown tech investor")</f>
        <v>jeff brown tech investor</v>
      </c>
    </row>
    <row r="162">
      <c r="A162" s="1" t="str">
        <f t="shared" si="121"/>
        <v>jeff brown stock picks for 2021</v>
      </c>
      <c r="B162" s="1" t="str">
        <f t="shared" si="122"/>
        <v>https://docs.google.com/spreadsheets/d/1nfZbMCi7Cn2oUqaqrddTAnsruFW6aYCE3JQv14mN8cc</v>
      </c>
      <c r="C162" s="1" t="str">
        <f>HYPERLINK("https://docs.google.com/spreadsheets/d/1nfZbMCi7Cn2oUqaqrddTAnsruFW6aYCE3JQv14mN8cc","bill5g.com")</f>
        <v>bill5g.com</v>
      </c>
    </row>
    <row r="163">
      <c r="A163" s="1" t="str">
        <f t="shared" ref="A163:A164" si="123">HYPERLINK("https://docs.google.com/spreadsheets/d/1nfZbMCi7Cn2oUqaqrddTAnsruFW6aYCE3JQv14mN8cc","jeff brown investor")</f>
        <v>jeff brown investor</v>
      </c>
      <c r="B163" s="1" t="str">
        <f t="shared" si="122"/>
        <v>https://docs.google.com/spreadsheets/d/1nfZbMCi7Cn2oUqaqrddTAnsruFW6aYCE3JQv14mN8cc</v>
      </c>
      <c r="C163" s="1" t="str">
        <f>HYPERLINK("https://docs.google.com/spreadsheets/d/1nfZbMCi7Cn2oUqaqrddTAnsruFW6aYCE3JQv14mN8cc","jeff brown tech investor")</f>
        <v>jeff brown tech investor</v>
      </c>
    </row>
    <row r="164">
      <c r="A164" s="1" t="str">
        <f t="shared" si="123"/>
        <v>jeff brown investor</v>
      </c>
      <c r="B164" s="1" t="str">
        <f t="shared" si="122"/>
        <v>https://docs.google.com/spreadsheets/d/1nfZbMCi7Cn2oUqaqrddTAnsruFW6aYCE3JQv14mN8cc</v>
      </c>
      <c r="C164" s="1" t="str">
        <f>HYPERLINK("https://docs.google.com/spreadsheets/d/1nfZbMCi7Cn2oUqaqrddTAnsruFW6aYCE3JQv14mN8cc","bill5g.com")</f>
        <v>bill5g.com</v>
      </c>
    </row>
    <row r="165">
      <c r="A165" s="1" t="str">
        <f t="shared" ref="A165:A166" si="124">HYPERLINK("https://drive.google.com/drive/folders/1nfpvOkGnh1RU9o_7qlOKpMpbBaCbH7Zw","jeff brown stock picks for 2021")</f>
        <v>jeff brown stock picks for 2021</v>
      </c>
      <c r="B165" s="1" t="str">
        <f t="shared" ref="B165:B168" si="125">HYPERLINK("https://drive.google.com/drive/folders/1nfpvOkGnh1RU9o_7qlOKpMpbBaCbH7Zw","https://drive.google.com/drive/folders/1nfpvOkGnh1RU9o_7qlOKpMpbBaCbH7Zw")</f>
        <v>https://drive.google.com/drive/folders/1nfpvOkGnh1RU9o_7qlOKpMpbBaCbH7Zw</v>
      </c>
      <c r="C165" s="1" t="str">
        <f>HYPERLINK("https://drive.google.com/drive/folders/1nfpvOkGnh1RU9o_7qlOKpMpbBaCbH7Zw","jeff brown tech investor")</f>
        <v>jeff brown tech investor</v>
      </c>
    </row>
    <row r="166">
      <c r="A166" s="1" t="str">
        <f t="shared" si="124"/>
        <v>jeff brown stock picks for 2021</v>
      </c>
      <c r="B166" s="1" t="str">
        <f t="shared" si="125"/>
        <v>https://drive.google.com/drive/folders/1nfpvOkGnh1RU9o_7qlOKpMpbBaCbH7Zw</v>
      </c>
      <c r="C166" s="1" t="str">
        <f>HYPERLINK("https://drive.google.com/drive/folders/1nfpvOkGnh1RU9o_7qlOKpMpbBaCbH7Zw","bill5g.com")</f>
        <v>bill5g.com</v>
      </c>
    </row>
    <row r="167">
      <c r="A167" s="1" t="str">
        <f t="shared" ref="A167:A168" si="126">HYPERLINK("https://drive.google.com/drive/folders/1nfpvOkGnh1RU9o_7qlOKpMpbBaCbH7Zw","jeff brown investor")</f>
        <v>jeff brown investor</v>
      </c>
      <c r="B167" s="1" t="str">
        <f t="shared" si="125"/>
        <v>https://drive.google.com/drive/folders/1nfpvOkGnh1RU9o_7qlOKpMpbBaCbH7Zw</v>
      </c>
      <c r="C167" s="1" t="str">
        <f>HYPERLINK("https://drive.google.com/drive/folders/1nfpvOkGnh1RU9o_7qlOKpMpbBaCbH7Zw","jeff brown tech investor")</f>
        <v>jeff brown tech investor</v>
      </c>
    </row>
    <row r="168">
      <c r="A168" s="1" t="str">
        <f t="shared" si="126"/>
        <v>jeff brown investor</v>
      </c>
      <c r="B168" s="1" t="str">
        <f t="shared" si="125"/>
        <v>https://drive.google.com/drive/folders/1nfpvOkGnh1RU9o_7qlOKpMpbBaCbH7Zw</v>
      </c>
      <c r="C168" s="1" t="str">
        <f>HYPERLINK("https://drive.google.com/drive/folders/1nfpvOkGnh1RU9o_7qlOKpMpbBaCbH7Zw","bill5g.com")</f>
        <v>bill5g.com</v>
      </c>
    </row>
    <row r="169">
      <c r="A169" s="1" t="str">
        <f t="shared" ref="A169:A170" si="127">HYPERLINK("https://docs.google.com/spreadsheets/d/1Uq4GT7KLQN-udz5PA4ma_ppbuaOKFngg2tvL37pFefA","jeff brown stock picks for 2021")</f>
        <v>jeff brown stock picks for 2021</v>
      </c>
      <c r="B169" s="1" t="str">
        <f t="shared" ref="B169:B172" si="128">HYPERLINK("https://docs.google.com/spreadsheets/d/1Uq4GT7KLQN-udz5PA4ma_ppbuaOKFngg2tvL37pFefA","https://docs.google.com/spreadsheets/d/1Uq4GT7KLQN-udz5PA4ma_ppbuaOKFngg2tvL37pFefA")</f>
        <v>https://docs.google.com/spreadsheets/d/1Uq4GT7KLQN-udz5PA4ma_ppbuaOKFngg2tvL37pFefA</v>
      </c>
      <c r="C169" s="1" t="str">
        <f>HYPERLINK("https://docs.google.com/spreadsheets/d/1Uq4GT7KLQN-udz5PA4ma_ppbuaOKFngg2tvL37pFefA","jeff brown tech investor")</f>
        <v>jeff brown tech investor</v>
      </c>
    </row>
    <row r="170">
      <c r="A170" s="1" t="str">
        <f t="shared" si="127"/>
        <v>jeff brown stock picks for 2021</v>
      </c>
      <c r="B170" s="1" t="str">
        <f t="shared" si="128"/>
        <v>https://docs.google.com/spreadsheets/d/1Uq4GT7KLQN-udz5PA4ma_ppbuaOKFngg2tvL37pFefA</v>
      </c>
      <c r="C170" s="1" t="str">
        <f>HYPERLINK("https://docs.google.com/spreadsheets/d/1Uq4GT7KLQN-udz5PA4ma_ppbuaOKFngg2tvL37pFefA","bill5g.com")</f>
        <v>bill5g.com</v>
      </c>
    </row>
    <row r="171">
      <c r="A171" s="1" t="str">
        <f t="shared" ref="A171:A172" si="129">HYPERLINK("https://docs.google.com/spreadsheets/d/1Uq4GT7KLQN-udz5PA4ma_ppbuaOKFngg2tvL37pFefA","jeff brown investor")</f>
        <v>jeff brown investor</v>
      </c>
      <c r="B171" s="1" t="str">
        <f t="shared" si="128"/>
        <v>https://docs.google.com/spreadsheets/d/1Uq4GT7KLQN-udz5PA4ma_ppbuaOKFngg2tvL37pFefA</v>
      </c>
      <c r="C171" s="1" t="str">
        <f>HYPERLINK("https://docs.google.com/spreadsheets/d/1Uq4GT7KLQN-udz5PA4ma_ppbuaOKFngg2tvL37pFefA","jeff brown tech investor")</f>
        <v>jeff brown tech investor</v>
      </c>
    </row>
    <row r="172">
      <c r="A172" s="1" t="str">
        <f t="shared" si="129"/>
        <v>jeff brown investor</v>
      </c>
      <c r="B172" s="1" t="str">
        <f t="shared" si="128"/>
        <v>https://docs.google.com/spreadsheets/d/1Uq4GT7KLQN-udz5PA4ma_ppbuaOKFngg2tvL37pFefA</v>
      </c>
      <c r="C172" s="1" t="str">
        <f>HYPERLINK("https://docs.google.com/spreadsheets/d/1Uq4GT7KLQN-udz5PA4ma_ppbuaOKFngg2tvL37pFefA","bill5g.com")</f>
        <v>bill5g.com</v>
      </c>
    </row>
    <row r="173">
      <c r="A173" s="1" t="str">
        <f t="shared" ref="A173:A174" si="130">HYPERLINK("https://drive.google.com/drive/folders/1XFTbc116gnKH0EP77C9sN_Pxdp-wKoJf","jeff brown stock picks for 2021")</f>
        <v>jeff brown stock picks for 2021</v>
      </c>
      <c r="B173" s="1" t="str">
        <f t="shared" ref="B173:B176" si="131">HYPERLINK("https://drive.google.com/drive/folders/1XFTbc116gnKH0EP77C9sN_Pxdp-wKoJf","https://drive.google.com/drive/folders/1XFTbc116gnKH0EP77C9sN_Pxdp-wKoJf")</f>
        <v>https://drive.google.com/drive/folders/1XFTbc116gnKH0EP77C9sN_Pxdp-wKoJf</v>
      </c>
      <c r="C173" s="1" t="str">
        <f>HYPERLINK("https://drive.google.com/drive/folders/1XFTbc116gnKH0EP77C9sN_Pxdp-wKoJf","jeff brown tech investor")</f>
        <v>jeff brown tech investor</v>
      </c>
    </row>
    <row r="174">
      <c r="A174" s="1" t="str">
        <f t="shared" si="130"/>
        <v>jeff brown stock picks for 2021</v>
      </c>
      <c r="B174" s="1" t="str">
        <f t="shared" si="131"/>
        <v>https://drive.google.com/drive/folders/1XFTbc116gnKH0EP77C9sN_Pxdp-wKoJf</v>
      </c>
      <c r="C174" s="1" t="str">
        <f>HYPERLINK("https://drive.google.com/drive/folders/1XFTbc116gnKH0EP77C9sN_Pxdp-wKoJf","bill5g.com")</f>
        <v>bill5g.com</v>
      </c>
    </row>
    <row r="175">
      <c r="A175" s="1" t="str">
        <f t="shared" ref="A175:A176" si="132">HYPERLINK("https://drive.google.com/drive/folders/1XFTbc116gnKH0EP77C9sN_Pxdp-wKoJf","jeff brown investor")</f>
        <v>jeff brown investor</v>
      </c>
      <c r="B175" s="1" t="str">
        <f t="shared" si="131"/>
        <v>https://drive.google.com/drive/folders/1XFTbc116gnKH0EP77C9sN_Pxdp-wKoJf</v>
      </c>
      <c r="C175" s="1" t="str">
        <f>HYPERLINK("https://drive.google.com/drive/folders/1XFTbc116gnKH0EP77C9sN_Pxdp-wKoJf","jeff brown tech investor")</f>
        <v>jeff brown tech investor</v>
      </c>
    </row>
    <row r="176">
      <c r="A176" s="1" t="str">
        <f t="shared" si="132"/>
        <v>jeff brown investor</v>
      </c>
      <c r="B176" s="1" t="str">
        <f t="shared" si="131"/>
        <v>https://drive.google.com/drive/folders/1XFTbc116gnKH0EP77C9sN_Pxdp-wKoJf</v>
      </c>
      <c r="C176" s="1" t="str">
        <f>HYPERLINK("https://drive.google.com/drive/folders/1XFTbc116gnKH0EP77C9sN_Pxdp-wKoJf","bill5g.com")</f>
        <v>bill5g.com</v>
      </c>
    </row>
    <row r="177">
      <c r="A177" s="1" t="str">
        <f t="shared" ref="A177:A178" si="133">HYPERLINK("https://drive.google.com/drive/folders/1R3ikl1b_KVq8w5dkDCq4OBsSNlEZgbiL","jeff brown stock picks for 2021")</f>
        <v>jeff brown stock picks for 2021</v>
      </c>
      <c r="B177" s="1" t="str">
        <f t="shared" ref="B177:B180" si="134">HYPERLINK("https://drive.google.com/drive/folders/1R3ikl1b_KVq8w5dkDCq4OBsSNlEZgbiL","https://drive.google.com/drive/folders/1R3ikl1b_KVq8w5dkDCq4OBsSNlEZgbiL")</f>
        <v>https://drive.google.com/drive/folders/1R3ikl1b_KVq8w5dkDCq4OBsSNlEZgbiL</v>
      </c>
      <c r="C177" s="1" t="str">
        <f>HYPERLINK("https://drive.google.com/drive/folders/1R3ikl1b_KVq8w5dkDCq4OBsSNlEZgbiL","jeff brown tech investor")</f>
        <v>jeff brown tech investor</v>
      </c>
    </row>
    <row r="178">
      <c r="A178" s="1" t="str">
        <f t="shared" si="133"/>
        <v>jeff brown stock picks for 2021</v>
      </c>
      <c r="B178" s="1" t="str">
        <f t="shared" si="134"/>
        <v>https://drive.google.com/drive/folders/1R3ikl1b_KVq8w5dkDCq4OBsSNlEZgbiL</v>
      </c>
      <c r="C178" s="1" t="str">
        <f>HYPERLINK("https://drive.google.com/drive/folders/1R3ikl1b_KVq8w5dkDCq4OBsSNlEZgbiL","bill5g.com")</f>
        <v>bill5g.com</v>
      </c>
    </row>
    <row r="179">
      <c r="A179" s="1" t="str">
        <f t="shared" ref="A179:A180" si="135">HYPERLINK("https://drive.google.com/drive/folders/1R3ikl1b_KVq8w5dkDCq4OBsSNlEZgbiL","jeff brown investor")</f>
        <v>jeff brown investor</v>
      </c>
      <c r="B179" s="1" t="str">
        <f t="shared" si="134"/>
        <v>https://drive.google.com/drive/folders/1R3ikl1b_KVq8w5dkDCq4OBsSNlEZgbiL</v>
      </c>
      <c r="C179" s="1" t="str">
        <f>HYPERLINK("https://drive.google.com/drive/folders/1R3ikl1b_KVq8w5dkDCq4OBsSNlEZgbiL","jeff brown tech investor")</f>
        <v>jeff brown tech investor</v>
      </c>
    </row>
    <row r="180">
      <c r="A180" s="1" t="str">
        <f t="shared" si="135"/>
        <v>jeff brown investor</v>
      </c>
      <c r="B180" s="1" t="str">
        <f t="shared" si="134"/>
        <v>https://drive.google.com/drive/folders/1R3ikl1b_KVq8w5dkDCq4OBsSNlEZgbiL</v>
      </c>
      <c r="C180" s="1" t="str">
        <f>HYPERLINK("https://drive.google.com/drive/folders/1R3ikl1b_KVq8w5dkDCq4OBsSNlEZgbiL","bill5g.com")</f>
        <v>bill5g.com</v>
      </c>
    </row>
    <row r="181">
      <c r="A181" s="1" t="str">
        <f t="shared" ref="A181:A182" si="136">HYPERLINK("https://drive.google.com/drive/folders/1JoWyMSUAsy0R9wMHXX1gx0JVwUOzS1Zz","jeff brown stock picks for 2021")</f>
        <v>jeff brown stock picks for 2021</v>
      </c>
      <c r="B181" s="1" t="str">
        <f t="shared" ref="B181:B184" si="137">HYPERLINK("https://drive.google.com/drive/folders/1JoWyMSUAsy0R9wMHXX1gx0JVwUOzS1Zz","https://drive.google.com/drive/folders/1JoWyMSUAsy0R9wMHXX1gx0JVwUOzS1Zz")</f>
        <v>https://drive.google.com/drive/folders/1JoWyMSUAsy0R9wMHXX1gx0JVwUOzS1Zz</v>
      </c>
      <c r="C181" s="1" t="str">
        <f>HYPERLINK("https://drive.google.com/drive/folders/1JoWyMSUAsy0R9wMHXX1gx0JVwUOzS1Zz","jeff brown tech investor")</f>
        <v>jeff brown tech investor</v>
      </c>
    </row>
    <row r="182">
      <c r="A182" s="1" t="str">
        <f t="shared" si="136"/>
        <v>jeff brown stock picks for 2021</v>
      </c>
      <c r="B182" s="1" t="str">
        <f t="shared" si="137"/>
        <v>https://drive.google.com/drive/folders/1JoWyMSUAsy0R9wMHXX1gx0JVwUOzS1Zz</v>
      </c>
      <c r="C182" s="1" t="str">
        <f>HYPERLINK("https://drive.google.com/drive/folders/1JoWyMSUAsy0R9wMHXX1gx0JVwUOzS1Zz","bill5g.com")</f>
        <v>bill5g.com</v>
      </c>
    </row>
    <row r="183">
      <c r="A183" s="1" t="str">
        <f t="shared" ref="A183:A184" si="138">HYPERLINK("https://drive.google.com/drive/folders/1JoWyMSUAsy0R9wMHXX1gx0JVwUOzS1Zz","jeff brown investor")</f>
        <v>jeff brown investor</v>
      </c>
      <c r="B183" s="1" t="str">
        <f t="shared" si="137"/>
        <v>https://drive.google.com/drive/folders/1JoWyMSUAsy0R9wMHXX1gx0JVwUOzS1Zz</v>
      </c>
      <c r="C183" s="1" t="str">
        <f>HYPERLINK("https://drive.google.com/drive/folders/1JoWyMSUAsy0R9wMHXX1gx0JVwUOzS1Zz","jeff brown tech investor")</f>
        <v>jeff brown tech investor</v>
      </c>
    </row>
    <row r="184">
      <c r="A184" s="1" t="str">
        <f t="shared" si="138"/>
        <v>jeff brown investor</v>
      </c>
      <c r="B184" s="1" t="str">
        <f t="shared" si="137"/>
        <v>https://drive.google.com/drive/folders/1JoWyMSUAsy0R9wMHXX1gx0JVwUOzS1Zz</v>
      </c>
      <c r="C184" s="1" t="str">
        <f>HYPERLINK("https://drive.google.com/drive/folders/1JoWyMSUAsy0R9wMHXX1gx0JVwUOzS1Zz","bill5g.com")</f>
        <v>bill5g.com</v>
      </c>
    </row>
    <row r="185">
      <c r="A185" s="1" t="str">
        <f t="shared" ref="A185:A186" si="139">HYPERLINK("https://drive.google.com/drive/folders/1blO0RE_oj66iway0lPiNrhzKE0XJrlGk","jeff brown stock picks for 2021")</f>
        <v>jeff brown stock picks for 2021</v>
      </c>
      <c r="B185" s="1" t="str">
        <f t="shared" ref="B185:B188" si="140">HYPERLINK("https://drive.google.com/drive/folders/1blO0RE_oj66iway0lPiNrhzKE0XJrlGk","https://drive.google.com/drive/folders/1blO0RE_oj66iway0lPiNrhzKE0XJrlGk")</f>
        <v>https://drive.google.com/drive/folders/1blO0RE_oj66iway0lPiNrhzKE0XJrlGk</v>
      </c>
      <c r="C185" s="1" t="str">
        <f>HYPERLINK("https://drive.google.com/drive/folders/1blO0RE_oj66iway0lPiNrhzKE0XJrlGk","jeff brown tech investor")</f>
        <v>jeff brown tech investor</v>
      </c>
    </row>
    <row r="186">
      <c r="A186" s="1" t="str">
        <f t="shared" si="139"/>
        <v>jeff brown stock picks for 2021</v>
      </c>
      <c r="B186" s="1" t="str">
        <f t="shared" si="140"/>
        <v>https://drive.google.com/drive/folders/1blO0RE_oj66iway0lPiNrhzKE0XJrlGk</v>
      </c>
      <c r="C186" s="1" t="str">
        <f>HYPERLINK("https://drive.google.com/drive/folders/1blO0RE_oj66iway0lPiNrhzKE0XJrlGk","bill5g.com")</f>
        <v>bill5g.com</v>
      </c>
    </row>
    <row r="187">
      <c r="A187" s="1" t="str">
        <f t="shared" ref="A187:A188" si="141">HYPERLINK("https://drive.google.com/drive/folders/1blO0RE_oj66iway0lPiNrhzKE0XJrlGk","jeff brown investor")</f>
        <v>jeff brown investor</v>
      </c>
      <c r="B187" s="1" t="str">
        <f t="shared" si="140"/>
        <v>https://drive.google.com/drive/folders/1blO0RE_oj66iway0lPiNrhzKE0XJrlGk</v>
      </c>
      <c r="C187" s="1" t="str">
        <f>HYPERLINK("https://drive.google.com/drive/folders/1blO0RE_oj66iway0lPiNrhzKE0XJrlGk","jeff brown tech investor")</f>
        <v>jeff brown tech investor</v>
      </c>
    </row>
    <row r="188">
      <c r="A188" s="1" t="str">
        <f t="shared" si="141"/>
        <v>jeff brown investor</v>
      </c>
      <c r="B188" s="1" t="str">
        <f t="shared" si="140"/>
        <v>https://drive.google.com/drive/folders/1blO0RE_oj66iway0lPiNrhzKE0XJrlGk</v>
      </c>
      <c r="C188" s="1" t="str">
        <f>HYPERLINK("https://drive.google.com/drive/folders/1blO0RE_oj66iway0lPiNrhzKE0XJrlGk","bill5g.com")</f>
        <v>bill5g.com</v>
      </c>
    </row>
    <row r="189">
      <c r="A189" s="1" t="str">
        <f t="shared" ref="A189:A190" si="142">HYPERLINK("https://drive.google.com/drive/folders/11BrZUm0nTZ9NmNyFIwJsjE3ihHLko-n_","jeff brown stock picks for 2021")</f>
        <v>jeff brown stock picks for 2021</v>
      </c>
      <c r="B189" s="1" t="str">
        <f t="shared" ref="B189:B192" si="143">HYPERLINK("https://drive.google.com/drive/folders/11BrZUm0nTZ9NmNyFIwJsjE3ihHLko-n_","https://drive.google.com/drive/folders/11BrZUm0nTZ9NmNyFIwJsjE3ihHLko-n_")</f>
        <v>https://drive.google.com/drive/folders/11BrZUm0nTZ9NmNyFIwJsjE3ihHLko-n_</v>
      </c>
      <c r="C189" s="1" t="str">
        <f>HYPERLINK("https://drive.google.com/drive/folders/11BrZUm0nTZ9NmNyFIwJsjE3ihHLko-n_","jeff brown tech investor")</f>
        <v>jeff brown tech investor</v>
      </c>
    </row>
    <row r="190">
      <c r="A190" s="1" t="str">
        <f t="shared" si="142"/>
        <v>jeff brown stock picks for 2021</v>
      </c>
      <c r="B190" s="1" t="str">
        <f t="shared" si="143"/>
        <v>https://drive.google.com/drive/folders/11BrZUm0nTZ9NmNyFIwJsjE3ihHLko-n_</v>
      </c>
      <c r="C190" s="1" t="str">
        <f>HYPERLINK("https://drive.google.com/drive/folders/11BrZUm0nTZ9NmNyFIwJsjE3ihHLko-n_","bill5g.com")</f>
        <v>bill5g.com</v>
      </c>
    </row>
    <row r="191">
      <c r="A191" s="1" t="str">
        <f t="shared" ref="A191:A192" si="144">HYPERLINK("https://drive.google.com/drive/folders/11BrZUm0nTZ9NmNyFIwJsjE3ihHLko-n_","jeff brown investor")</f>
        <v>jeff brown investor</v>
      </c>
      <c r="B191" s="1" t="str">
        <f t="shared" si="143"/>
        <v>https://drive.google.com/drive/folders/11BrZUm0nTZ9NmNyFIwJsjE3ihHLko-n_</v>
      </c>
      <c r="C191" s="1" t="str">
        <f>HYPERLINK("https://drive.google.com/drive/folders/11BrZUm0nTZ9NmNyFIwJsjE3ihHLko-n_","jeff brown tech investor")</f>
        <v>jeff brown tech investor</v>
      </c>
    </row>
    <row r="192">
      <c r="A192" s="1" t="str">
        <f t="shared" si="144"/>
        <v>jeff brown investor</v>
      </c>
      <c r="B192" s="1" t="str">
        <f t="shared" si="143"/>
        <v>https://drive.google.com/drive/folders/11BrZUm0nTZ9NmNyFIwJsjE3ihHLko-n_</v>
      </c>
      <c r="C192" s="1" t="str">
        <f>HYPERLINK("https://drive.google.com/drive/folders/11BrZUm0nTZ9NmNyFIwJsjE3ihHLko-n_","bill5g.com")</f>
        <v>bill5g.com</v>
      </c>
    </row>
    <row r="193">
      <c r="A193" s="1" t="str">
        <f t="shared" ref="A193:A194" si="145">HYPERLINK("https://docs.google.com/spreadsheets/d/1qRq9adK7TaMHn4lq_V9ydpZlVFTyiLYG7uKPIS8Q8s0","jeff brown stock picks for 2021")</f>
        <v>jeff brown stock picks for 2021</v>
      </c>
      <c r="B193" s="1" t="str">
        <f t="shared" ref="B193:B196" si="146">HYPERLINK("https://docs.google.com/spreadsheets/d/1qRq9adK7TaMHn4lq_V9ydpZlVFTyiLYG7uKPIS8Q8s0","https://docs.google.com/spreadsheets/d/1qRq9adK7TaMHn4lq_V9ydpZlVFTyiLYG7uKPIS8Q8s0")</f>
        <v>https://docs.google.com/spreadsheets/d/1qRq9adK7TaMHn4lq_V9ydpZlVFTyiLYG7uKPIS8Q8s0</v>
      </c>
      <c r="C193" s="1" t="str">
        <f>HYPERLINK("https://docs.google.com/spreadsheets/d/1qRq9adK7TaMHn4lq_V9ydpZlVFTyiLYG7uKPIS8Q8s0","jeff brown tech investor")</f>
        <v>jeff brown tech investor</v>
      </c>
    </row>
    <row r="194">
      <c r="A194" s="1" t="str">
        <f t="shared" si="145"/>
        <v>jeff brown stock picks for 2021</v>
      </c>
      <c r="B194" s="1" t="str">
        <f t="shared" si="146"/>
        <v>https://docs.google.com/spreadsheets/d/1qRq9adK7TaMHn4lq_V9ydpZlVFTyiLYG7uKPIS8Q8s0</v>
      </c>
      <c r="C194" s="1" t="str">
        <f>HYPERLINK("https://docs.google.com/spreadsheets/d/1qRq9adK7TaMHn4lq_V9ydpZlVFTyiLYG7uKPIS8Q8s0","bill5g.com")</f>
        <v>bill5g.com</v>
      </c>
    </row>
    <row r="195">
      <c r="A195" s="1" t="str">
        <f t="shared" ref="A195:A196" si="147">HYPERLINK("https://docs.google.com/spreadsheets/d/1qRq9adK7TaMHn4lq_V9ydpZlVFTyiLYG7uKPIS8Q8s0","jeff brown investor")</f>
        <v>jeff brown investor</v>
      </c>
      <c r="B195" s="1" t="str">
        <f t="shared" si="146"/>
        <v>https://docs.google.com/spreadsheets/d/1qRq9adK7TaMHn4lq_V9ydpZlVFTyiLYG7uKPIS8Q8s0</v>
      </c>
      <c r="C195" s="1" t="str">
        <f>HYPERLINK("https://docs.google.com/spreadsheets/d/1qRq9adK7TaMHn4lq_V9ydpZlVFTyiLYG7uKPIS8Q8s0","jeff brown tech investor")</f>
        <v>jeff brown tech investor</v>
      </c>
    </row>
    <row r="196">
      <c r="A196" s="1" t="str">
        <f t="shared" si="147"/>
        <v>jeff brown investor</v>
      </c>
      <c r="B196" s="1" t="str">
        <f t="shared" si="146"/>
        <v>https://docs.google.com/spreadsheets/d/1qRq9adK7TaMHn4lq_V9ydpZlVFTyiLYG7uKPIS8Q8s0</v>
      </c>
      <c r="C196" s="1" t="str">
        <f>HYPERLINK("https://docs.google.com/spreadsheets/d/1qRq9adK7TaMHn4lq_V9ydpZlVFTyiLYG7uKPIS8Q8s0","bill5g.com")</f>
        <v>bill5g.com</v>
      </c>
    </row>
    <row r="197">
      <c r="A197" s="1" t="str">
        <f t="shared" ref="A197:A198" si="148">HYPERLINK("https://docs.google.com/spreadsheets/d/1RZuJqf5xZPdTEWToUD_xIiw_QIsHpU7PnHlOh-Hkdq4","jeff brown stock picks for 2021")</f>
        <v>jeff brown stock picks for 2021</v>
      </c>
      <c r="B197" s="1" t="str">
        <f t="shared" ref="B197:B200" si="149">HYPERLINK("https://docs.google.com/spreadsheets/d/1RZuJqf5xZPdTEWToUD_xIiw_QIsHpU7PnHlOh-Hkdq4","https://docs.google.com/spreadsheets/d/1RZuJqf5xZPdTEWToUD_xIiw_QIsHpU7PnHlOh-Hkdq4")</f>
        <v>https://docs.google.com/spreadsheets/d/1RZuJqf5xZPdTEWToUD_xIiw_QIsHpU7PnHlOh-Hkdq4</v>
      </c>
      <c r="C197" s="1" t="str">
        <f>HYPERLINK("https://docs.google.com/spreadsheets/d/1RZuJqf5xZPdTEWToUD_xIiw_QIsHpU7PnHlOh-Hkdq4","jeff brown tech investor")</f>
        <v>jeff brown tech investor</v>
      </c>
    </row>
    <row r="198">
      <c r="A198" s="1" t="str">
        <f t="shared" si="148"/>
        <v>jeff brown stock picks for 2021</v>
      </c>
      <c r="B198" s="1" t="str">
        <f t="shared" si="149"/>
        <v>https://docs.google.com/spreadsheets/d/1RZuJqf5xZPdTEWToUD_xIiw_QIsHpU7PnHlOh-Hkdq4</v>
      </c>
      <c r="C198" s="1" t="str">
        <f>HYPERLINK("https://docs.google.com/spreadsheets/d/1RZuJqf5xZPdTEWToUD_xIiw_QIsHpU7PnHlOh-Hkdq4","bill5g.com")</f>
        <v>bill5g.com</v>
      </c>
    </row>
    <row r="199">
      <c r="A199" s="1" t="str">
        <f t="shared" ref="A199:A200" si="150">HYPERLINK("https://docs.google.com/spreadsheets/d/1RZuJqf5xZPdTEWToUD_xIiw_QIsHpU7PnHlOh-Hkdq4","jeff brown investor")</f>
        <v>jeff brown investor</v>
      </c>
      <c r="B199" s="1" t="str">
        <f t="shared" si="149"/>
        <v>https://docs.google.com/spreadsheets/d/1RZuJqf5xZPdTEWToUD_xIiw_QIsHpU7PnHlOh-Hkdq4</v>
      </c>
      <c r="C199" s="1" t="str">
        <f>HYPERLINK("https://docs.google.com/spreadsheets/d/1RZuJqf5xZPdTEWToUD_xIiw_QIsHpU7PnHlOh-Hkdq4","jeff brown tech investor")</f>
        <v>jeff brown tech investor</v>
      </c>
    </row>
    <row r="200">
      <c r="A200" s="1" t="str">
        <f t="shared" si="150"/>
        <v>jeff brown investor</v>
      </c>
      <c r="B200" s="1" t="str">
        <f t="shared" si="149"/>
        <v>https://docs.google.com/spreadsheets/d/1RZuJqf5xZPdTEWToUD_xIiw_QIsHpU7PnHlOh-Hkdq4</v>
      </c>
      <c r="C200" s="1" t="str">
        <f>HYPERLINK("https://docs.google.com/spreadsheets/d/1RZuJqf5xZPdTEWToUD_xIiw_QIsHpU7PnHlOh-Hkdq4","bill5g.com")</f>
        <v>bill5g.com</v>
      </c>
    </row>
    <row r="201">
      <c r="A201" s="1" t="str">
        <f t="shared" ref="A201:A202" si="151">HYPERLINK("https://drive.google.com/drive/folders/1JWiBVN1TxbTkc3ET45l_TthRxWg_QUkK","jeff brown stock picks for 2021")</f>
        <v>jeff brown stock picks for 2021</v>
      </c>
      <c r="B201" s="1" t="str">
        <f t="shared" ref="B201:B204" si="152">HYPERLINK("https://drive.google.com/drive/folders/1JWiBVN1TxbTkc3ET45l_TthRxWg_QUkK","https://drive.google.com/drive/folders/1JWiBVN1TxbTkc3ET45l_TthRxWg_QUkK")</f>
        <v>https://drive.google.com/drive/folders/1JWiBVN1TxbTkc3ET45l_TthRxWg_QUkK</v>
      </c>
      <c r="C201" s="1" t="str">
        <f>HYPERLINK("https://drive.google.com/drive/folders/1JWiBVN1TxbTkc3ET45l_TthRxWg_QUkK","jeff brown tech investor")</f>
        <v>jeff brown tech investor</v>
      </c>
    </row>
    <row r="202">
      <c r="A202" s="1" t="str">
        <f t="shared" si="151"/>
        <v>jeff brown stock picks for 2021</v>
      </c>
      <c r="B202" s="1" t="str">
        <f t="shared" si="152"/>
        <v>https://drive.google.com/drive/folders/1JWiBVN1TxbTkc3ET45l_TthRxWg_QUkK</v>
      </c>
      <c r="C202" s="1" t="str">
        <f>HYPERLINK("https://drive.google.com/drive/folders/1JWiBVN1TxbTkc3ET45l_TthRxWg_QUkK","bill5g.com")</f>
        <v>bill5g.com</v>
      </c>
    </row>
    <row r="203">
      <c r="A203" s="1" t="str">
        <f t="shared" ref="A203:A204" si="153">HYPERLINK("https://drive.google.com/drive/folders/1JWiBVN1TxbTkc3ET45l_TthRxWg_QUkK","jeff brown investor")</f>
        <v>jeff brown investor</v>
      </c>
      <c r="B203" s="1" t="str">
        <f t="shared" si="152"/>
        <v>https://drive.google.com/drive/folders/1JWiBVN1TxbTkc3ET45l_TthRxWg_QUkK</v>
      </c>
      <c r="C203" s="1" t="str">
        <f>HYPERLINK("https://drive.google.com/drive/folders/1JWiBVN1TxbTkc3ET45l_TthRxWg_QUkK","jeff brown tech investor")</f>
        <v>jeff brown tech investor</v>
      </c>
    </row>
    <row r="204">
      <c r="A204" s="1" t="str">
        <f t="shared" si="153"/>
        <v>jeff brown investor</v>
      </c>
      <c r="B204" s="1" t="str">
        <f t="shared" si="152"/>
        <v>https://drive.google.com/drive/folders/1JWiBVN1TxbTkc3ET45l_TthRxWg_QUkK</v>
      </c>
      <c r="C204" s="1" t="str">
        <f>HYPERLINK("https://drive.google.com/drive/folders/1JWiBVN1TxbTkc3ET45l_TthRxWg_QUkK","bill5g.com")</f>
        <v>bill5g.com</v>
      </c>
    </row>
    <row r="205">
      <c r="A205" s="1" t="str">
        <f t="shared" ref="A205:A206" si="154">HYPERLINK("https://drive.google.com/drive/folders/1pPCJDPG9th6ha3oJ0obR7f2ouhF-ME6l","jeff brown stock picks for 2021")</f>
        <v>jeff brown stock picks for 2021</v>
      </c>
      <c r="B205" s="1" t="str">
        <f t="shared" ref="B205:B208" si="155">HYPERLINK("https://drive.google.com/drive/folders/1pPCJDPG9th6ha3oJ0obR7f2ouhF-ME6l","https://drive.google.com/drive/folders/1pPCJDPG9th6ha3oJ0obR7f2ouhF-ME6l")</f>
        <v>https://drive.google.com/drive/folders/1pPCJDPG9th6ha3oJ0obR7f2ouhF-ME6l</v>
      </c>
      <c r="C205" s="1" t="str">
        <f>HYPERLINK("https://drive.google.com/drive/folders/1pPCJDPG9th6ha3oJ0obR7f2ouhF-ME6l","jeff brown tech investor")</f>
        <v>jeff brown tech investor</v>
      </c>
    </row>
    <row r="206">
      <c r="A206" s="1" t="str">
        <f t="shared" si="154"/>
        <v>jeff brown stock picks for 2021</v>
      </c>
      <c r="B206" s="1" t="str">
        <f t="shared" si="155"/>
        <v>https://drive.google.com/drive/folders/1pPCJDPG9th6ha3oJ0obR7f2ouhF-ME6l</v>
      </c>
      <c r="C206" s="1" t="str">
        <f>HYPERLINK("https://drive.google.com/drive/folders/1pPCJDPG9th6ha3oJ0obR7f2ouhF-ME6l","bill5g.com")</f>
        <v>bill5g.com</v>
      </c>
    </row>
    <row r="207">
      <c r="A207" s="1" t="str">
        <f t="shared" ref="A207:A208" si="156">HYPERLINK("https://drive.google.com/drive/folders/1pPCJDPG9th6ha3oJ0obR7f2ouhF-ME6l","jeff brown investor")</f>
        <v>jeff brown investor</v>
      </c>
      <c r="B207" s="1" t="str">
        <f t="shared" si="155"/>
        <v>https://drive.google.com/drive/folders/1pPCJDPG9th6ha3oJ0obR7f2ouhF-ME6l</v>
      </c>
      <c r="C207" s="1" t="str">
        <f>HYPERLINK("https://drive.google.com/drive/folders/1pPCJDPG9th6ha3oJ0obR7f2ouhF-ME6l","jeff brown tech investor")</f>
        <v>jeff brown tech investor</v>
      </c>
    </row>
    <row r="208">
      <c r="A208" s="1" t="str">
        <f t="shared" si="156"/>
        <v>jeff brown investor</v>
      </c>
      <c r="B208" s="1" t="str">
        <f t="shared" si="155"/>
        <v>https://drive.google.com/drive/folders/1pPCJDPG9th6ha3oJ0obR7f2ouhF-ME6l</v>
      </c>
      <c r="C208" s="1" t="str">
        <f>HYPERLINK("https://drive.google.com/drive/folders/1pPCJDPG9th6ha3oJ0obR7f2ouhF-ME6l","bill5g.com")</f>
        <v>bill5g.com</v>
      </c>
    </row>
    <row r="209">
      <c r="A209" s="1" t="str">
        <f t="shared" ref="A209:A210" si="157">HYPERLINK("https://drive.google.com/drive/folders/1QFEfyT9iJA1dWwWtkvIVtT6A0o1gmHHa","jeff brown stock picks for 2021")</f>
        <v>jeff brown stock picks for 2021</v>
      </c>
      <c r="B209" s="1" t="str">
        <f t="shared" ref="B209:B212" si="158">HYPERLINK("https://drive.google.com/drive/folders/1QFEfyT9iJA1dWwWtkvIVtT6A0o1gmHHa","https://drive.google.com/drive/folders/1QFEfyT9iJA1dWwWtkvIVtT6A0o1gmHHa")</f>
        <v>https://drive.google.com/drive/folders/1QFEfyT9iJA1dWwWtkvIVtT6A0o1gmHHa</v>
      </c>
      <c r="C209" s="1" t="str">
        <f>HYPERLINK("https://drive.google.com/drive/folders/1QFEfyT9iJA1dWwWtkvIVtT6A0o1gmHHa","jeff brown tech investor")</f>
        <v>jeff brown tech investor</v>
      </c>
    </row>
    <row r="210">
      <c r="A210" s="1" t="str">
        <f t="shared" si="157"/>
        <v>jeff brown stock picks for 2021</v>
      </c>
      <c r="B210" s="1" t="str">
        <f t="shared" si="158"/>
        <v>https://drive.google.com/drive/folders/1QFEfyT9iJA1dWwWtkvIVtT6A0o1gmHHa</v>
      </c>
      <c r="C210" s="1" t="str">
        <f>HYPERLINK("https://drive.google.com/drive/folders/1QFEfyT9iJA1dWwWtkvIVtT6A0o1gmHHa","bill5g.com")</f>
        <v>bill5g.com</v>
      </c>
    </row>
    <row r="211">
      <c r="A211" s="1" t="str">
        <f t="shared" ref="A211:A212" si="159">HYPERLINK("https://drive.google.com/drive/folders/1QFEfyT9iJA1dWwWtkvIVtT6A0o1gmHHa","jeff brown investor")</f>
        <v>jeff brown investor</v>
      </c>
      <c r="B211" s="1" t="str">
        <f t="shared" si="158"/>
        <v>https://drive.google.com/drive/folders/1QFEfyT9iJA1dWwWtkvIVtT6A0o1gmHHa</v>
      </c>
      <c r="C211" s="1" t="str">
        <f>HYPERLINK("https://drive.google.com/drive/folders/1QFEfyT9iJA1dWwWtkvIVtT6A0o1gmHHa","jeff brown tech investor")</f>
        <v>jeff brown tech investor</v>
      </c>
    </row>
    <row r="212">
      <c r="A212" s="1" t="str">
        <f t="shared" si="159"/>
        <v>jeff brown investor</v>
      </c>
      <c r="B212" s="1" t="str">
        <f t="shared" si="158"/>
        <v>https://drive.google.com/drive/folders/1QFEfyT9iJA1dWwWtkvIVtT6A0o1gmHHa</v>
      </c>
      <c r="C212" s="1" t="str">
        <f>HYPERLINK("https://drive.google.com/drive/folders/1QFEfyT9iJA1dWwWtkvIVtT6A0o1gmHHa","bill5g.com")</f>
        <v>bill5g.com</v>
      </c>
    </row>
    <row r="213">
      <c r="A213" s="1" t="str">
        <f t="shared" ref="A213:A214" si="160">HYPERLINK("https://drive.google.com/drive/folders/1vJD5b86-dBtBD5wJwku7VUzK6qXv200F","jeff brown stock picks for 2021")</f>
        <v>jeff brown stock picks for 2021</v>
      </c>
      <c r="B213" s="1" t="str">
        <f t="shared" ref="B213:B216" si="161">HYPERLINK("https://drive.google.com/drive/folders/1vJD5b86-dBtBD5wJwku7VUzK6qXv200F","https://drive.google.com/drive/folders/1vJD5b86-dBtBD5wJwku7VUzK6qXv200F")</f>
        <v>https://drive.google.com/drive/folders/1vJD5b86-dBtBD5wJwku7VUzK6qXv200F</v>
      </c>
      <c r="C213" s="1" t="str">
        <f>HYPERLINK("https://drive.google.com/drive/folders/1vJD5b86-dBtBD5wJwku7VUzK6qXv200F","jeff brown tech investor")</f>
        <v>jeff brown tech investor</v>
      </c>
    </row>
    <row r="214">
      <c r="A214" s="1" t="str">
        <f t="shared" si="160"/>
        <v>jeff brown stock picks for 2021</v>
      </c>
      <c r="B214" s="1" t="str">
        <f t="shared" si="161"/>
        <v>https://drive.google.com/drive/folders/1vJD5b86-dBtBD5wJwku7VUzK6qXv200F</v>
      </c>
      <c r="C214" s="1" t="str">
        <f>HYPERLINK("https://drive.google.com/drive/folders/1vJD5b86-dBtBD5wJwku7VUzK6qXv200F","bill5g.com")</f>
        <v>bill5g.com</v>
      </c>
    </row>
    <row r="215">
      <c r="A215" s="1" t="str">
        <f t="shared" ref="A215:A216" si="162">HYPERLINK("https://drive.google.com/drive/folders/1vJD5b86-dBtBD5wJwku7VUzK6qXv200F","jeff brown investor")</f>
        <v>jeff brown investor</v>
      </c>
      <c r="B215" s="1" t="str">
        <f t="shared" si="161"/>
        <v>https://drive.google.com/drive/folders/1vJD5b86-dBtBD5wJwku7VUzK6qXv200F</v>
      </c>
      <c r="C215" s="1" t="str">
        <f>HYPERLINK("https://drive.google.com/drive/folders/1vJD5b86-dBtBD5wJwku7VUzK6qXv200F","jeff brown tech investor")</f>
        <v>jeff brown tech investor</v>
      </c>
    </row>
    <row r="216">
      <c r="A216" s="1" t="str">
        <f t="shared" si="162"/>
        <v>jeff brown investor</v>
      </c>
      <c r="B216" s="1" t="str">
        <f t="shared" si="161"/>
        <v>https://drive.google.com/drive/folders/1vJD5b86-dBtBD5wJwku7VUzK6qXv200F</v>
      </c>
      <c r="C216" s="1" t="str">
        <f>HYPERLINK("https://drive.google.com/drive/folders/1vJD5b86-dBtBD5wJwku7VUzK6qXv200F","bill5g.com")</f>
        <v>bill5g.com</v>
      </c>
    </row>
    <row r="217">
      <c r="A217" s="1" t="str">
        <f t="shared" ref="A217:A218" si="163">HYPERLINK("https://docs.google.com/spreadsheets/d/1uuSSlm-VKqJ3FsfNsCh_TeirXtdifVjpVEw-BygtLKg","jeff brown stock picks for 2021")</f>
        <v>jeff brown stock picks for 2021</v>
      </c>
      <c r="B217" s="1" t="str">
        <f t="shared" ref="B217:B220" si="164">HYPERLINK("https://docs.google.com/spreadsheets/d/1uuSSlm-VKqJ3FsfNsCh_TeirXtdifVjpVEw-BygtLKg","https://docs.google.com/spreadsheets/d/1uuSSlm-VKqJ3FsfNsCh_TeirXtdifVjpVEw-BygtLKg")</f>
        <v>https://docs.google.com/spreadsheets/d/1uuSSlm-VKqJ3FsfNsCh_TeirXtdifVjpVEw-BygtLKg</v>
      </c>
      <c r="C217" s="1" t="str">
        <f>HYPERLINK("https://docs.google.com/spreadsheets/d/1uuSSlm-VKqJ3FsfNsCh_TeirXtdifVjpVEw-BygtLKg","jeff brown tech investor")</f>
        <v>jeff brown tech investor</v>
      </c>
    </row>
    <row r="218">
      <c r="A218" s="1" t="str">
        <f t="shared" si="163"/>
        <v>jeff brown stock picks for 2021</v>
      </c>
      <c r="B218" s="1" t="str">
        <f t="shared" si="164"/>
        <v>https://docs.google.com/spreadsheets/d/1uuSSlm-VKqJ3FsfNsCh_TeirXtdifVjpVEw-BygtLKg</v>
      </c>
      <c r="C218" s="1" t="str">
        <f>HYPERLINK("https://docs.google.com/spreadsheets/d/1uuSSlm-VKqJ3FsfNsCh_TeirXtdifVjpVEw-BygtLKg","bill5g.com")</f>
        <v>bill5g.com</v>
      </c>
    </row>
    <row r="219">
      <c r="A219" s="1" t="str">
        <f t="shared" ref="A219:A220" si="165">HYPERLINK("https://docs.google.com/spreadsheets/d/1uuSSlm-VKqJ3FsfNsCh_TeirXtdifVjpVEw-BygtLKg","jeff brown investor")</f>
        <v>jeff brown investor</v>
      </c>
      <c r="B219" s="1" t="str">
        <f t="shared" si="164"/>
        <v>https://docs.google.com/spreadsheets/d/1uuSSlm-VKqJ3FsfNsCh_TeirXtdifVjpVEw-BygtLKg</v>
      </c>
      <c r="C219" s="1" t="str">
        <f>HYPERLINK("https://docs.google.com/spreadsheets/d/1uuSSlm-VKqJ3FsfNsCh_TeirXtdifVjpVEw-BygtLKg","jeff brown tech investor")</f>
        <v>jeff brown tech investor</v>
      </c>
    </row>
    <row r="220">
      <c r="A220" s="1" t="str">
        <f t="shared" si="165"/>
        <v>jeff brown investor</v>
      </c>
      <c r="B220" s="1" t="str">
        <f t="shared" si="164"/>
        <v>https://docs.google.com/spreadsheets/d/1uuSSlm-VKqJ3FsfNsCh_TeirXtdifVjpVEw-BygtLKg</v>
      </c>
      <c r="C220" s="1" t="str">
        <f>HYPERLINK("https://docs.google.com/spreadsheets/d/1uuSSlm-VKqJ3FsfNsCh_TeirXtdifVjpVEw-BygtLKg","bill5g.com")</f>
        <v>bill5g.com</v>
      </c>
    </row>
    <row r="221">
      <c r="A221" s="1" t="str">
        <f t="shared" ref="A221:A222" si="166">HYPERLINK("https://drive.google.com/drive/folders/1JiWsYzPzEisldGE9YEMeVNhd2h__PPmz","jeff brown stock picks for 2021")</f>
        <v>jeff brown stock picks for 2021</v>
      </c>
      <c r="B221" s="1" t="str">
        <f t="shared" ref="B221:B224" si="167">HYPERLINK("https://drive.google.com/drive/folders/1JiWsYzPzEisldGE9YEMeVNhd2h__PPmz","https://drive.google.com/drive/folders/1JiWsYzPzEisldGE9YEMeVNhd2h__PPmz")</f>
        <v>https://drive.google.com/drive/folders/1JiWsYzPzEisldGE9YEMeVNhd2h__PPmz</v>
      </c>
      <c r="C221" s="1" t="str">
        <f>HYPERLINK("https://drive.google.com/drive/folders/1JiWsYzPzEisldGE9YEMeVNhd2h__PPmz","jeff brown tech investor")</f>
        <v>jeff brown tech investor</v>
      </c>
    </row>
    <row r="222">
      <c r="A222" s="1" t="str">
        <f t="shared" si="166"/>
        <v>jeff brown stock picks for 2021</v>
      </c>
      <c r="B222" s="1" t="str">
        <f t="shared" si="167"/>
        <v>https://drive.google.com/drive/folders/1JiWsYzPzEisldGE9YEMeVNhd2h__PPmz</v>
      </c>
      <c r="C222" s="1" t="str">
        <f>HYPERLINK("https://drive.google.com/drive/folders/1JiWsYzPzEisldGE9YEMeVNhd2h__PPmz","bill5g.com")</f>
        <v>bill5g.com</v>
      </c>
    </row>
    <row r="223">
      <c r="A223" s="1" t="str">
        <f t="shared" ref="A223:A224" si="168">HYPERLINK("https://drive.google.com/drive/folders/1JiWsYzPzEisldGE9YEMeVNhd2h__PPmz","jeff brown investor")</f>
        <v>jeff brown investor</v>
      </c>
      <c r="B223" s="1" t="str">
        <f t="shared" si="167"/>
        <v>https://drive.google.com/drive/folders/1JiWsYzPzEisldGE9YEMeVNhd2h__PPmz</v>
      </c>
      <c r="C223" s="1" t="str">
        <f>HYPERLINK("https://drive.google.com/drive/folders/1JiWsYzPzEisldGE9YEMeVNhd2h__PPmz","jeff brown tech investor")</f>
        <v>jeff brown tech investor</v>
      </c>
    </row>
    <row r="224">
      <c r="A224" s="1" t="str">
        <f t="shared" si="168"/>
        <v>jeff brown investor</v>
      </c>
      <c r="B224" s="1" t="str">
        <f t="shared" si="167"/>
        <v>https://drive.google.com/drive/folders/1JiWsYzPzEisldGE9YEMeVNhd2h__PPmz</v>
      </c>
      <c r="C224" s="1" t="str">
        <f>HYPERLINK("https://drive.google.com/drive/folders/1JiWsYzPzEisldGE9YEMeVNhd2h__PPmz","bill5g.com")</f>
        <v>bill5g.com</v>
      </c>
    </row>
    <row r="225">
      <c r="A225" s="1" t="str">
        <f t="shared" ref="A225:A226" si="169">HYPERLINK("https://docs.google.com/spreadsheets/d/19QF_x0MfJML-0Td-8Lq50X5zPN45JvUkQq2JysiTDVE","jeff brown stock picks for 2021")</f>
        <v>jeff brown stock picks for 2021</v>
      </c>
      <c r="B225" s="1" t="str">
        <f t="shared" ref="B225:B228" si="170">HYPERLINK("https://docs.google.com/spreadsheets/d/19QF_x0MfJML-0Td-8Lq50X5zPN45JvUkQq2JysiTDVE","https://docs.google.com/spreadsheets/d/19QF_x0MfJML-0Td-8Lq50X5zPN45JvUkQq2JysiTDVE")</f>
        <v>https://docs.google.com/spreadsheets/d/19QF_x0MfJML-0Td-8Lq50X5zPN45JvUkQq2JysiTDVE</v>
      </c>
      <c r="C225" s="1" t="str">
        <f>HYPERLINK("https://docs.google.com/spreadsheets/d/19QF_x0MfJML-0Td-8Lq50X5zPN45JvUkQq2JysiTDVE","jeff brown tech investor")</f>
        <v>jeff brown tech investor</v>
      </c>
    </row>
    <row r="226">
      <c r="A226" s="1" t="str">
        <f t="shared" si="169"/>
        <v>jeff brown stock picks for 2021</v>
      </c>
      <c r="B226" s="1" t="str">
        <f t="shared" si="170"/>
        <v>https://docs.google.com/spreadsheets/d/19QF_x0MfJML-0Td-8Lq50X5zPN45JvUkQq2JysiTDVE</v>
      </c>
      <c r="C226" s="1" t="str">
        <f>HYPERLINK("https://docs.google.com/spreadsheets/d/19QF_x0MfJML-0Td-8Lq50X5zPN45JvUkQq2JysiTDVE","bill5g.com")</f>
        <v>bill5g.com</v>
      </c>
    </row>
    <row r="227">
      <c r="A227" s="1" t="str">
        <f t="shared" ref="A227:A228" si="171">HYPERLINK("https://docs.google.com/spreadsheets/d/19QF_x0MfJML-0Td-8Lq50X5zPN45JvUkQq2JysiTDVE","jeff brown investor")</f>
        <v>jeff brown investor</v>
      </c>
      <c r="B227" s="1" t="str">
        <f t="shared" si="170"/>
        <v>https://docs.google.com/spreadsheets/d/19QF_x0MfJML-0Td-8Lq50X5zPN45JvUkQq2JysiTDVE</v>
      </c>
      <c r="C227" s="1" t="str">
        <f>HYPERLINK("https://docs.google.com/spreadsheets/d/19QF_x0MfJML-0Td-8Lq50X5zPN45JvUkQq2JysiTDVE","jeff brown tech investor")</f>
        <v>jeff brown tech investor</v>
      </c>
    </row>
    <row r="228">
      <c r="A228" s="1" t="str">
        <f t="shared" si="171"/>
        <v>jeff brown investor</v>
      </c>
      <c r="B228" s="1" t="str">
        <f t="shared" si="170"/>
        <v>https://docs.google.com/spreadsheets/d/19QF_x0MfJML-0Td-8Lq50X5zPN45JvUkQq2JysiTDVE</v>
      </c>
      <c r="C228" s="1" t="str">
        <f>HYPERLINK("https://docs.google.com/spreadsheets/d/19QF_x0MfJML-0Td-8Lq50X5zPN45JvUkQq2JysiTDVE","bill5g.com")</f>
        <v>bill5g.com</v>
      </c>
    </row>
    <row r="229">
      <c r="A229" s="1" t="str">
        <f t="shared" ref="A229:A230" si="172">HYPERLINK("https://docs.google.com/spreadsheets/d/1wSHeSZ9cyGmTWSMBZlOjPvIA0i5cIAf6VyCvap6MEGk","jeff brown stock picks for 2021")</f>
        <v>jeff brown stock picks for 2021</v>
      </c>
      <c r="B229" s="1" t="str">
        <f t="shared" ref="B229:B232" si="173">HYPERLINK("https://docs.google.com/spreadsheets/d/1wSHeSZ9cyGmTWSMBZlOjPvIA0i5cIAf6VyCvap6MEGk","https://docs.google.com/spreadsheets/d/1wSHeSZ9cyGmTWSMBZlOjPvIA0i5cIAf6VyCvap6MEGk")</f>
        <v>https://docs.google.com/spreadsheets/d/1wSHeSZ9cyGmTWSMBZlOjPvIA0i5cIAf6VyCvap6MEGk</v>
      </c>
      <c r="C229" s="1" t="str">
        <f>HYPERLINK("https://docs.google.com/spreadsheets/d/1wSHeSZ9cyGmTWSMBZlOjPvIA0i5cIAf6VyCvap6MEGk","jeff brown tech investor")</f>
        <v>jeff brown tech investor</v>
      </c>
    </row>
    <row r="230">
      <c r="A230" s="1" t="str">
        <f t="shared" si="172"/>
        <v>jeff brown stock picks for 2021</v>
      </c>
      <c r="B230" s="1" t="str">
        <f t="shared" si="173"/>
        <v>https://docs.google.com/spreadsheets/d/1wSHeSZ9cyGmTWSMBZlOjPvIA0i5cIAf6VyCvap6MEGk</v>
      </c>
      <c r="C230" s="1" t="str">
        <f>HYPERLINK("https://docs.google.com/spreadsheets/d/1wSHeSZ9cyGmTWSMBZlOjPvIA0i5cIAf6VyCvap6MEGk","bill5g.com")</f>
        <v>bill5g.com</v>
      </c>
    </row>
    <row r="231">
      <c r="A231" s="1" t="str">
        <f t="shared" ref="A231:A232" si="174">HYPERLINK("https://docs.google.com/spreadsheets/d/1wSHeSZ9cyGmTWSMBZlOjPvIA0i5cIAf6VyCvap6MEGk","jeff brown investor")</f>
        <v>jeff brown investor</v>
      </c>
      <c r="B231" s="1" t="str">
        <f t="shared" si="173"/>
        <v>https://docs.google.com/spreadsheets/d/1wSHeSZ9cyGmTWSMBZlOjPvIA0i5cIAf6VyCvap6MEGk</v>
      </c>
      <c r="C231" s="1" t="str">
        <f>HYPERLINK("https://docs.google.com/spreadsheets/d/1wSHeSZ9cyGmTWSMBZlOjPvIA0i5cIAf6VyCvap6MEGk","jeff brown tech investor")</f>
        <v>jeff brown tech investor</v>
      </c>
    </row>
    <row r="232">
      <c r="A232" s="1" t="str">
        <f t="shared" si="174"/>
        <v>jeff brown investor</v>
      </c>
      <c r="B232" s="1" t="str">
        <f t="shared" si="173"/>
        <v>https://docs.google.com/spreadsheets/d/1wSHeSZ9cyGmTWSMBZlOjPvIA0i5cIAf6VyCvap6MEGk</v>
      </c>
      <c r="C232" s="1" t="str">
        <f>HYPERLINK("https://docs.google.com/spreadsheets/d/1wSHeSZ9cyGmTWSMBZlOjPvIA0i5cIAf6VyCvap6MEGk","bill5g.com")</f>
        <v>bill5g.com</v>
      </c>
    </row>
    <row r="233">
      <c r="A233" s="1" t="str">
        <f t="shared" ref="A233:A234" si="175">HYPERLINK("https://drive.google.com/drive/folders/1JTmMZ1z8Gi-QGdZaL0gVW23O4vNsmmrI","jeff brown stock picks for 2021")</f>
        <v>jeff brown stock picks for 2021</v>
      </c>
      <c r="B233" s="1" t="str">
        <f t="shared" ref="B233:B236" si="176">HYPERLINK("https://drive.google.com/drive/folders/1JTmMZ1z8Gi-QGdZaL0gVW23O4vNsmmrI","https://drive.google.com/drive/folders/1JTmMZ1z8Gi-QGdZaL0gVW23O4vNsmmrI")</f>
        <v>https://drive.google.com/drive/folders/1JTmMZ1z8Gi-QGdZaL0gVW23O4vNsmmrI</v>
      </c>
      <c r="C233" s="1" t="str">
        <f>HYPERLINK("https://drive.google.com/drive/folders/1JTmMZ1z8Gi-QGdZaL0gVW23O4vNsmmrI","jeff brown tech investor")</f>
        <v>jeff brown tech investor</v>
      </c>
    </row>
    <row r="234">
      <c r="A234" s="1" t="str">
        <f t="shared" si="175"/>
        <v>jeff brown stock picks for 2021</v>
      </c>
      <c r="B234" s="1" t="str">
        <f t="shared" si="176"/>
        <v>https://drive.google.com/drive/folders/1JTmMZ1z8Gi-QGdZaL0gVW23O4vNsmmrI</v>
      </c>
      <c r="C234" s="1" t="str">
        <f>HYPERLINK("https://drive.google.com/drive/folders/1JTmMZ1z8Gi-QGdZaL0gVW23O4vNsmmrI","bill5g.com")</f>
        <v>bill5g.com</v>
      </c>
    </row>
    <row r="235">
      <c r="A235" s="1" t="str">
        <f t="shared" ref="A235:A236" si="177">HYPERLINK("https://drive.google.com/drive/folders/1JTmMZ1z8Gi-QGdZaL0gVW23O4vNsmmrI","jeff brown investor")</f>
        <v>jeff brown investor</v>
      </c>
      <c r="B235" s="1" t="str">
        <f t="shared" si="176"/>
        <v>https://drive.google.com/drive/folders/1JTmMZ1z8Gi-QGdZaL0gVW23O4vNsmmrI</v>
      </c>
      <c r="C235" s="1" t="str">
        <f>HYPERLINK("https://drive.google.com/drive/folders/1JTmMZ1z8Gi-QGdZaL0gVW23O4vNsmmrI","jeff brown tech investor")</f>
        <v>jeff brown tech investor</v>
      </c>
    </row>
    <row r="236">
      <c r="A236" s="1" t="str">
        <f t="shared" si="177"/>
        <v>jeff brown investor</v>
      </c>
      <c r="B236" s="1" t="str">
        <f t="shared" si="176"/>
        <v>https://drive.google.com/drive/folders/1JTmMZ1z8Gi-QGdZaL0gVW23O4vNsmmrI</v>
      </c>
      <c r="C236" s="1" t="str">
        <f>HYPERLINK("https://drive.google.com/drive/folders/1JTmMZ1z8Gi-QGdZaL0gVW23O4vNsmmrI","bill5g.com")</f>
        <v>bill5g.com</v>
      </c>
    </row>
    <row r="237">
      <c r="A237" s="1" t="str">
        <f t="shared" ref="A237:A238" si="178">HYPERLINK("https://drive.google.com/drive/folders/1OaaQ9FtueSXinpCOjCqzskNXb2UPZt_w","jeff brown stock picks for 2021")</f>
        <v>jeff brown stock picks for 2021</v>
      </c>
      <c r="B237" s="1" t="str">
        <f t="shared" ref="B237:B240" si="179">HYPERLINK("https://drive.google.com/drive/folders/1OaaQ9FtueSXinpCOjCqzskNXb2UPZt_w","https://drive.google.com/drive/folders/1OaaQ9FtueSXinpCOjCqzskNXb2UPZt_w")</f>
        <v>https://drive.google.com/drive/folders/1OaaQ9FtueSXinpCOjCqzskNXb2UPZt_w</v>
      </c>
      <c r="C237" s="1" t="str">
        <f>HYPERLINK("https://drive.google.com/drive/folders/1OaaQ9FtueSXinpCOjCqzskNXb2UPZt_w","jeff brown tech investor")</f>
        <v>jeff brown tech investor</v>
      </c>
    </row>
    <row r="238">
      <c r="A238" s="1" t="str">
        <f t="shared" si="178"/>
        <v>jeff brown stock picks for 2021</v>
      </c>
      <c r="B238" s="1" t="str">
        <f t="shared" si="179"/>
        <v>https://drive.google.com/drive/folders/1OaaQ9FtueSXinpCOjCqzskNXb2UPZt_w</v>
      </c>
      <c r="C238" s="1" t="str">
        <f>HYPERLINK("https://drive.google.com/drive/folders/1OaaQ9FtueSXinpCOjCqzskNXb2UPZt_w","bill5g.com")</f>
        <v>bill5g.com</v>
      </c>
    </row>
    <row r="239">
      <c r="A239" s="1" t="str">
        <f t="shared" ref="A239:A240" si="180">HYPERLINK("https://drive.google.com/drive/folders/1OaaQ9FtueSXinpCOjCqzskNXb2UPZt_w","jeff brown investor")</f>
        <v>jeff brown investor</v>
      </c>
      <c r="B239" s="1" t="str">
        <f t="shared" si="179"/>
        <v>https://drive.google.com/drive/folders/1OaaQ9FtueSXinpCOjCqzskNXb2UPZt_w</v>
      </c>
      <c r="C239" s="1" t="str">
        <f>HYPERLINK("https://drive.google.com/drive/folders/1OaaQ9FtueSXinpCOjCqzskNXb2UPZt_w","jeff brown tech investor")</f>
        <v>jeff brown tech investor</v>
      </c>
    </row>
    <row r="240">
      <c r="A240" s="1" t="str">
        <f t="shared" si="180"/>
        <v>jeff brown investor</v>
      </c>
      <c r="B240" s="1" t="str">
        <f t="shared" si="179"/>
        <v>https://drive.google.com/drive/folders/1OaaQ9FtueSXinpCOjCqzskNXb2UPZt_w</v>
      </c>
      <c r="C240" s="1" t="str">
        <f>HYPERLINK("https://drive.google.com/drive/folders/1OaaQ9FtueSXinpCOjCqzskNXb2UPZt_w","bill5g.com")</f>
        <v>bill5g.com</v>
      </c>
    </row>
    <row r="241">
      <c r="A241" s="1" t="str">
        <f t="shared" ref="A241:A242" si="181">HYPERLINK("https://docs.google.com/spreadsheets/d/14_heDg74lbGSFqyJMELU4TtW3bL5qYbxZIFfIHsPPXA","jeff brown stock picks for 2021")</f>
        <v>jeff brown stock picks for 2021</v>
      </c>
      <c r="B241" s="1" t="str">
        <f t="shared" ref="B241:B244" si="182">HYPERLINK("https://docs.google.com/spreadsheets/d/14_heDg74lbGSFqyJMELU4TtW3bL5qYbxZIFfIHsPPXA","https://docs.google.com/spreadsheets/d/14_heDg74lbGSFqyJMELU4TtW3bL5qYbxZIFfIHsPPXA")</f>
        <v>https://docs.google.com/spreadsheets/d/14_heDg74lbGSFqyJMELU4TtW3bL5qYbxZIFfIHsPPXA</v>
      </c>
      <c r="C241" s="1" t="str">
        <f>HYPERLINK("https://docs.google.com/spreadsheets/d/14_heDg74lbGSFqyJMELU4TtW3bL5qYbxZIFfIHsPPXA","jeff brown tech investor")</f>
        <v>jeff brown tech investor</v>
      </c>
    </row>
    <row r="242">
      <c r="A242" s="1" t="str">
        <f t="shared" si="181"/>
        <v>jeff brown stock picks for 2021</v>
      </c>
      <c r="B242" s="1" t="str">
        <f t="shared" si="182"/>
        <v>https://docs.google.com/spreadsheets/d/14_heDg74lbGSFqyJMELU4TtW3bL5qYbxZIFfIHsPPXA</v>
      </c>
      <c r="C242" s="1" t="str">
        <f>HYPERLINK("https://docs.google.com/spreadsheets/d/14_heDg74lbGSFqyJMELU4TtW3bL5qYbxZIFfIHsPPXA","bill5g.com")</f>
        <v>bill5g.com</v>
      </c>
    </row>
    <row r="243">
      <c r="A243" s="1" t="str">
        <f t="shared" ref="A243:A244" si="183">HYPERLINK("https://docs.google.com/spreadsheets/d/14_heDg74lbGSFqyJMELU4TtW3bL5qYbxZIFfIHsPPXA","jeff brown investor")</f>
        <v>jeff brown investor</v>
      </c>
      <c r="B243" s="1" t="str">
        <f t="shared" si="182"/>
        <v>https://docs.google.com/spreadsheets/d/14_heDg74lbGSFqyJMELU4TtW3bL5qYbxZIFfIHsPPXA</v>
      </c>
      <c r="C243" s="1" t="str">
        <f>HYPERLINK("https://docs.google.com/spreadsheets/d/14_heDg74lbGSFqyJMELU4TtW3bL5qYbxZIFfIHsPPXA","jeff brown tech investor")</f>
        <v>jeff brown tech investor</v>
      </c>
    </row>
    <row r="244">
      <c r="A244" s="1" t="str">
        <f t="shared" si="183"/>
        <v>jeff brown investor</v>
      </c>
      <c r="B244" s="1" t="str">
        <f t="shared" si="182"/>
        <v>https://docs.google.com/spreadsheets/d/14_heDg74lbGSFqyJMELU4TtW3bL5qYbxZIFfIHsPPXA</v>
      </c>
      <c r="C244" s="1" t="str">
        <f>HYPERLINK("https://docs.google.com/spreadsheets/d/14_heDg74lbGSFqyJMELU4TtW3bL5qYbxZIFfIHsPPXA","bill5g.com")</f>
        <v>bill5g.com</v>
      </c>
    </row>
    <row r="245">
      <c r="A245" s="1" t="str">
        <f t="shared" ref="A245:A246" si="184">HYPERLINK("https://drive.google.com/drive/folders/1xS2zYxm6KgIvhO-tVLycwF8s1NJIB8Ks","jeff brown stock picks for 2021")</f>
        <v>jeff brown stock picks for 2021</v>
      </c>
      <c r="B245" s="1" t="str">
        <f t="shared" ref="B245:B248" si="185">HYPERLINK("https://drive.google.com/drive/folders/1xS2zYxm6KgIvhO-tVLycwF8s1NJIB8Ks","https://drive.google.com/drive/folders/1xS2zYxm6KgIvhO-tVLycwF8s1NJIB8Ks")</f>
        <v>https://drive.google.com/drive/folders/1xS2zYxm6KgIvhO-tVLycwF8s1NJIB8Ks</v>
      </c>
      <c r="C245" s="1" t="str">
        <f>HYPERLINK("https://drive.google.com/drive/folders/1xS2zYxm6KgIvhO-tVLycwF8s1NJIB8Ks","jeff brown tech investor")</f>
        <v>jeff brown tech investor</v>
      </c>
    </row>
    <row r="246">
      <c r="A246" s="1" t="str">
        <f t="shared" si="184"/>
        <v>jeff brown stock picks for 2021</v>
      </c>
      <c r="B246" s="1" t="str">
        <f t="shared" si="185"/>
        <v>https://drive.google.com/drive/folders/1xS2zYxm6KgIvhO-tVLycwF8s1NJIB8Ks</v>
      </c>
      <c r="C246" s="1" t="str">
        <f>HYPERLINK("https://drive.google.com/drive/folders/1xS2zYxm6KgIvhO-tVLycwF8s1NJIB8Ks","bill5g.com")</f>
        <v>bill5g.com</v>
      </c>
    </row>
    <row r="247">
      <c r="A247" s="1" t="str">
        <f t="shared" ref="A247:A248" si="186">HYPERLINK("https://drive.google.com/drive/folders/1xS2zYxm6KgIvhO-tVLycwF8s1NJIB8Ks","jeff brown investor")</f>
        <v>jeff brown investor</v>
      </c>
      <c r="B247" s="1" t="str">
        <f t="shared" si="185"/>
        <v>https://drive.google.com/drive/folders/1xS2zYxm6KgIvhO-tVLycwF8s1NJIB8Ks</v>
      </c>
      <c r="C247" s="1" t="str">
        <f>HYPERLINK("https://drive.google.com/drive/folders/1xS2zYxm6KgIvhO-tVLycwF8s1NJIB8Ks","jeff brown tech investor")</f>
        <v>jeff brown tech investor</v>
      </c>
    </row>
    <row r="248">
      <c r="A248" s="1" t="str">
        <f t="shared" si="186"/>
        <v>jeff brown investor</v>
      </c>
      <c r="B248" s="1" t="str">
        <f t="shared" si="185"/>
        <v>https://drive.google.com/drive/folders/1xS2zYxm6KgIvhO-tVLycwF8s1NJIB8Ks</v>
      </c>
      <c r="C248" s="1" t="str">
        <f>HYPERLINK("https://drive.google.com/drive/folders/1xS2zYxm6KgIvhO-tVLycwF8s1NJIB8Ks","bill5g.com")</f>
        <v>bill5g.com</v>
      </c>
    </row>
    <row r="249">
      <c r="A249" s="1" t="str">
        <f t="shared" ref="A249:A250" si="187">HYPERLINK("https://drive.google.com/drive/folders/1c28e-1MNLm6bNsWN_uAyoKTl0Wui7jLt","jeff brown stock picks for 2021")</f>
        <v>jeff brown stock picks for 2021</v>
      </c>
      <c r="B249" s="1" t="str">
        <f t="shared" ref="B249:B252" si="188">HYPERLINK("https://drive.google.com/drive/folders/1c28e-1MNLm6bNsWN_uAyoKTl0Wui7jLt","https://drive.google.com/drive/folders/1c28e-1MNLm6bNsWN_uAyoKTl0Wui7jLt")</f>
        <v>https://drive.google.com/drive/folders/1c28e-1MNLm6bNsWN_uAyoKTl0Wui7jLt</v>
      </c>
      <c r="C249" s="1" t="str">
        <f>HYPERLINK("https://drive.google.com/drive/folders/1c28e-1MNLm6bNsWN_uAyoKTl0Wui7jLt","jeff brown tech investor")</f>
        <v>jeff brown tech investor</v>
      </c>
    </row>
    <row r="250">
      <c r="A250" s="1" t="str">
        <f t="shared" si="187"/>
        <v>jeff brown stock picks for 2021</v>
      </c>
      <c r="B250" s="1" t="str">
        <f t="shared" si="188"/>
        <v>https://drive.google.com/drive/folders/1c28e-1MNLm6bNsWN_uAyoKTl0Wui7jLt</v>
      </c>
      <c r="C250" s="1" t="str">
        <f>HYPERLINK("https://drive.google.com/drive/folders/1c28e-1MNLm6bNsWN_uAyoKTl0Wui7jLt","bill5g.com")</f>
        <v>bill5g.com</v>
      </c>
    </row>
    <row r="251">
      <c r="A251" s="1" t="str">
        <f t="shared" ref="A251:A252" si="189">HYPERLINK("https://drive.google.com/drive/folders/1c28e-1MNLm6bNsWN_uAyoKTl0Wui7jLt","jeff brown investor")</f>
        <v>jeff brown investor</v>
      </c>
      <c r="B251" s="1" t="str">
        <f t="shared" si="188"/>
        <v>https://drive.google.com/drive/folders/1c28e-1MNLm6bNsWN_uAyoKTl0Wui7jLt</v>
      </c>
      <c r="C251" s="1" t="str">
        <f>HYPERLINK("https://drive.google.com/drive/folders/1c28e-1MNLm6bNsWN_uAyoKTl0Wui7jLt","jeff brown tech investor")</f>
        <v>jeff brown tech investor</v>
      </c>
    </row>
    <row r="252">
      <c r="A252" s="1" t="str">
        <f t="shared" si="189"/>
        <v>jeff brown investor</v>
      </c>
      <c r="B252" s="1" t="str">
        <f t="shared" si="188"/>
        <v>https://drive.google.com/drive/folders/1c28e-1MNLm6bNsWN_uAyoKTl0Wui7jLt</v>
      </c>
      <c r="C252" s="1" t="str">
        <f>HYPERLINK("https://drive.google.com/drive/folders/1c28e-1MNLm6bNsWN_uAyoKTl0Wui7jLt","bill5g.com")</f>
        <v>bill5g.com</v>
      </c>
    </row>
    <row r="253">
      <c r="A253" s="1" t="str">
        <f t="shared" ref="A253:A254" si="190">HYPERLINK("https://drive.google.com/drive/folders/1Cs-8m5f9hXzTbRUsCT8z57whnXwMRLHL","jeff brown stock picks for 2021")</f>
        <v>jeff brown stock picks for 2021</v>
      </c>
      <c r="B253" s="1" t="str">
        <f t="shared" ref="B253:B256" si="191">HYPERLINK("https://drive.google.com/drive/folders/1Cs-8m5f9hXzTbRUsCT8z57whnXwMRLHL","https://drive.google.com/drive/folders/1Cs-8m5f9hXzTbRUsCT8z57whnXwMRLHL")</f>
        <v>https://drive.google.com/drive/folders/1Cs-8m5f9hXzTbRUsCT8z57whnXwMRLHL</v>
      </c>
      <c r="C253" s="1" t="str">
        <f>HYPERLINK("https://drive.google.com/drive/folders/1Cs-8m5f9hXzTbRUsCT8z57whnXwMRLHL","jeff brown tech investor")</f>
        <v>jeff brown tech investor</v>
      </c>
    </row>
    <row r="254">
      <c r="A254" s="1" t="str">
        <f t="shared" si="190"/>
        <v>jeff brown stock picks for 2021</v>
      </c>
      <c r="B254" s="1" t="str">
        <f t="shared" si="191"/>
        <v>https://drive.google.com/drive/folders/1Cs-8m5f9hXzTbRUsCT8z57whnXwMRLHL</v>
      </c>
      <c r="C254" s="1" t="str">
        <f>HYPERLINK("https://drive.google.com/drive/folders/1Cs-8m5f9hXzTbRUsCT8z57whnXwMRLHL","bill5g.com")</f>
        <v>bill5g.com</v>
      </c>
    </row>
    <row r="255">
      <c r="A255" s="1" t="str">
        <f t="shared" ref="A255:A256" si="192">HYPERLINK("https://drive.google.com/drive/folders/1Cs-8m5f9hXzTbRUsCT8z57whnXwMRLHL","jeff brown investor")</f>
        <v>jeff brown investor</v>
      </c>
      <c r="B255" s="1" t="str">
        <f t="shared" si="191"/>
        <v>https://drive.google.com/drive/folders/1Cs-8m5f9hXzTbRUsCT8z57whnXwMRLHL</v>
      </c>
      <c r="C255" s="1" t="str">
        <f>HYPERLINK("https://drive.google.com/drive/folders/1Cs-8m5f9hXzTbRUsCT8z57whnXwMRLHL","jeff brown tech investor")</f>
        <v>jeff brown tech investor</v>
      </c>
    </row>
    <row r="256">
      <c r="A256" s="1" t="str">
        <f t="shared" si="192"/>
        <v>jeff brown investor</v>
      </c>
      <c r="B256" s="1" t="str">
        <f t="shared" si="191"/>
        <v>https://drive.google.com/drive/folders/1Cs-8m5f9hXzTbRUsCT8z57whnXwMRLHL</v>
      </c>
      <c r="C256" s="1" t="str">
        <f>HYPERLINK("https://drive.google.com/drive/folders/1Cs-8m5f9hXzTbRUsCT8z57whnXwMRLHL","bill5g.com")</f>
        <v>bill5g.com</v>
      </c>
    </row>
    <row r="257">
      <c r="A257" s="1" t="str">
        <f t="shared" ref="A257:A258" si="193">HYPERLINK("https://docs.google.com/spreadsheets/d/1ll3az2oZlxxyiJNMI4y5LMFXHDYMmy7YVWwfGhoPnzs","jeff brown stock picks for 2021")</f>
        <v>jeff brown stock picks for 2021</v>
      </c>
      <c r="B257" s="1" t="str">
        <f t="shared" ref="B257:B260" si="194">HYPERLINK("https://docs.google.com/spreadsheets/d/1ll3az2oZlxxyiJNMI4y5LMFXHDYMmy7YVWwfGhoPnzs","https://docs.google.com/spreadsheets/d/1ll3az2oZlxxyiJNMI4y5LMFXHDYMmy7YVWwfGhoPnzs")</f>
        <v>https://docs.google.com/spreadsheets/d/1ll3az2oZlxxyiJNMI4y5LMFXHDYMmy7YVWwfGhoPnzs</v>
      </c>
      <c r="C257" s="1" t="str">
        <f>HYPERLINK("https://docs.google.com/spreadsheets/d/1ll3az2oZlxxyiJNMI4y5LMFXHDYMmy7YVWwfGhoPnzs","jeff brown tech investor")</f>
        <v>jeff brown tech investor</v>
      </c>
    </row>
    <row r="258">
      <c r="A258" s="1" t="str">
        <f t="shared" si="193"/>
        <v>jeff brown stock picks for 2021</v>
      </c>
      <c r="B258" s="1" t="str">
        <f t="shared" si="194"/>
        <v>https://docs.google.com/spreadsheets/d/1ll3az2oZlxxyiJNMI4y5LMFXHDYMmy7YVWwfGhoPnzs</v>
      </c>
      <c r="C258" s="1" t="str">
        <f>HYPERLINK("https://docs.google.com/spreadsheets/d/1ll3az2oZlxxyiJNMI4y5LMFXHDYMmy7YVWwfGhoPnzs","bill5g.com")</f>
        <v>bill5g.com</v>
      </c>
    </row>
    <row r="259">
      <c r="A259" s="1" t="str">
        <f t="shared" ref="A259:A260" si="195">HYPERLINK("https://docs.google.com/spreadsheets/d/1ll3az2oZlxxyiJNMI4y5LMFXHDYMmy7YVWwfGhoPnzs","jeff brown investor")</f>
        <v>jeff brown investor</v>
      </c>
      <c r="B259" s="1" t="str">
        <f t="shared" si="194"/>
        <v>https://docs.google.com/spreadsheets/d/1ll3az2oZlxxyiJNMI4y5LMFXHDYMmy7YVWwfGhoPnzs</v>
      </c>
      <c r="C259" s="1" t="str">
        <f>HYPERLINK("https://docs.google.com/spreadsheets/d/1ll3az2oZlxxyiJNMI4y5LMFXHDYMmy7YVWwfGhoPnzs","jeff brown tech investor")</f>
        <v>jeff brown tech investor</v>
      </c>
    </row>
    <row r="260">
      <c r="A260" s="1" t="str">
        <f t="shared" si="195"/>
        <v>jeff brown investor</v>
      </c>
      <c r="B260" s="1" t="str">
        <f t="shared" si="194"/>
        <v>https://docs.google.com/spreadsheets/d/1ll3az2oZlxxyiJNMI4y5LMFXHDYMmy7YVWwfGhoPnzs</v>
      </c>
      <c r="C260" s="1" t="str">
        <f>HYPERLINK("https://docs.google.com/spreadsheets/d/1ll3az2oZlxxyiJNMI4y5LMFXHDYMmy7YVWwfGhoPnzs","bill5g.com")</f>
        <v>bill5g.com</v>
      </c>
    </row>
    <row r="261">
      <c r="A261" s="1" t="str">
        <f t="shared" ref="A261:A262" si="196">HYPERLINK("https://docs.google.com/spreadsheets/d/1JUhmzbCc3W6zLwp4Pz_1EXZ6hzsiunr4r5O6yH1qigs","jeff brown stock picks for 2021")</f>
        <v>jeff brown stock picks for 2021</v>
      </c>
      <c r="B261" s="1" t="str">
        <f t="shared" ref="B261:B264" si="197">HYPERLINK("https://docs.google.com/spreadsheets/d/1JUhmzbCc3W6zLwp4Pz_1EXZ6hzsiunr4r5O6yH1qigs","https://docs.google.com/spreadsheets/d/1JUhmzbCc3W6zLwp4Pz_1EXZ6hzsiunr4r5O6yH1qigs")</f>
        <v>https://docs.google.com/spreadsheets/d/1JUhmzbCc3W6zLwp4Pz_1EXZ6hzsiunr4r5O6yH1qigs</v>
      </c>
      <c r="C261" s="1" t="str">
        <f>HYPERLINK("https://docs.google.com/spreadsheets/d/1JUhmzbCc3W6zLwp4Pz_1EXZ6hzsiunr4r5O6yH1qigs","jeff brown tech investor")</f>
        <v>jeff brown tech investor</v>
      </c>
    </row>
    <row r="262">
      <c r="A262" s="1" t="str">
        <f t="shared" si="196"/>
        <v>jeff brown stock picks for 2021</v>
      </c>
      <c r="B262" s="1" t="str">
        <f t="shared" si="197"/>
        <v>https://docs.google.com/spreadsheets/d/1JUhmzbCc3W6zLwp4Pz_1EXZ6hzsiunr4r5O6yH1qigs</v>
      </c>
      <c r="C262" s="1" t="str">
        <f>HYPERLINK("https://docs.google.com/spreadsheets/d/1JUhmzbCc3W6zLwp4Pz_1EXZ6hzsiunr4r5O6yH1qigs","bill5g.com")</f>
        <v>bill5g.com</v>
      </c>
    </row>
    <row r="263">
      <c r="A263" s="1" t="str">
        <f t="shared" ref="A263:A264" si="198">HYPERLINK("https://docs.google.com/spreadsheets/d/1JUhmzbCc3W6zLwp4Pz_1EXZ6hzsiunr4r5O6yH1qigs","jeff brown investor")</f>
        <v>jeff brown investor</v>
      </c>
      <c r="B263" s="1" t="str">
        <f t="shared" si="197"/>
        <v>https://docs.google.com/spreadsheets/d/1JUhmzbCc3W6zLwp4Pz_1EXZ6hzsiunr4r5O6yH1qigs</v>
      </c>
      <c r="C263" s="1" t="str">
        <f>HYPERLINK("https://docs.google.com/spreadsheets/d/1JUhmzbCc3W6zLwp4Pz_1EXZ6hzsiunr4r5O6yH1qigs","jeff brown tech investor")</f>
        <v>jeff brown tech investor</v>
      </c>
    </row>
    <row r="264">
      <c r="A264" s="1" t="str">
        <f t="shared" si="198"/>
        <v>jeff brown investor</v>
      </c>
      <c r="B264" s="1" t="str">
        <f t="shared" si="197"/>
        <v>https://docs.google.com/spreadsheets/d/1JUhmzbCc3W6zLwp4Pz_1EXZ6hzsiunr4r5O6yH1qigs</v>
      </c>
      <c r="C264" s="1" t="str">
        <f>HYPERLINK("https://docs.google.com/spreadsheets/d/1JUhmzbCc3W6zLwp4Pz_1EXZ6hzsiunr4r5O6yH1qigs","bill5g.com")</f>
        <v>bill5g.com</v>
      </c>
    </row>
    <row r="265">
      <c r="A265" s="1" t="str">
        <f t="shared" ref="A265:A266" si="199">HYPERLINK("https://docs.google.com/spreadsheets/d/16PbauPxBFgtcM31lad3Fg9dcayQ6X66HFdYBUhcT1wI","jeff brown stock picks for 2021")</f>
        <v>jeff brown stock picks for 2021</v>
      </c>
      <c r="B265" s="1" t="str">
        <f t="shared" ref="B265:B268" si="200">HYPERLINK("https://docs.google.com/spreadsheets/d/16PbauPxBFgtcM31lad3Fg9dcayQ6X66HFdYBUhcT1wI","https://docs.google.com/spreadsheets/d/16PbauPxBFgtcM31lad3Fg9dcayQ6X66HFdYBUhcT1wI")</f>
        <v>https://docs.google.com/spreadsheets/d/16PbauPxBFgtcM31lad3Fg9dcayQ6X66HFdYBUhcT1wI</v>
      </c>
      <c r="C265" s="1" t="str">
        <f>HYPERLINK("https://docs.google.com/spreadsheets/d/16PbauPxBFgtcM31lad3Fg9dcayQ6X66HFdYBUhcT1wI","jeff brown tech investor")</f>
        <v>jeff brown tech investor</v>
      </c>
    </row>
    <row r="266">
      <c r="A266" s="1" t="str">
        <f t="shared" si="199"/>
        <v>jeff brown stock picks for 2021</v>
      </c>
      <c r="B266" s="1" t="str">
        <f t="shared" si="200"/>
        <v>https://docs.google.com/spreadsheets/d/16PbauPxBFgtcM31lad3Fg9dcayQ6X66HFdYBUhcT1wI</v>
      </c>
      <c r="C266" s="1" t="str">
        <f>HYPERLINK("https://docs.google.com/spreadsheets/d/16PbauPxBFgtcM31lad3Fg9dcayQ6X66HFdYBUhcT1wI","bill5g.com")</f>
        <v>bill5g.com</v>
      </c>
    </row>
    <row r="267">
      <c r="A267" s="1" t="str">
        <f t="shared" ref="A267:A268" si="201">HYPERLINK("https://docs.google.com/spreadsheets/d/16PbauPxBFgtcM31lad3Fg9dcayQ6X66HFdYBUhcT1wI","jeff brown investor")</f>
        <v>jeff brown investor</v>
      </c>
      <c r="B267" s="1" t="str">
        <f t="shared" si="200"/>
        <v>https://docs.google.com/spreadsheets/d/16PbauPxBFgtcM31lad3Fg9dcayQ6X66HFdYBUhcT1wI</v>
      </c>
      <c r="C267" s="1" t="str">
        <f>HYPERLINK("https://docs.google.com/spreadsheets/d/16PbauPxBFgtcM31lad3Fg9dcayQ6X66HFdYBUhcT1wI","jeff brown tech investor")</f>
        <v>jeff brown tech investor</v>
      </c>
    </row>
    <row r="268">
      <c r="A268" s="1" t="str">
        <f t="shared" si="201"/>
        <v>jeff brown investor</v>
      </c>
      <c r="B268" s="1" t="str">
        <f t="shared" si="200"/>
        <v>https://docs.google.com/spreadsheets/d/16PbauPxBFgtcM31lad3Fg9dcayQ6X66HFdYBUhcT1wI</v>
      </c>
      <c r="C268" s="1" t="str">
        <f>HYPERLINK("https://docs.google.com/spreadsheets/d/16PbauPxBFgtcM31lad3Fg9dcayQ6X66HFdYBUhcT1wI","bill5g.com")</f>
        <v>bill5g.com</v>
      </c>
    </row>
    <row r="269">
      <c r="A269" s="1" t="str">
        <f t="shared" ref="A269:A270" si="202">HYPERLINK("https://docs.google.com/spreadsheets/d/19KSyL4bW7nIFTzuvievnYjMrqZmGFIkJjG4sp7e7INQ","jeff brown stock picks for 2021")</f>
        <v>jeff brown stock picks for 2021</v>
      </c>
      <c r="B269" s="1" t="str">
        <f t="shared" ref="B269:B272" si="203">HYPERLINK("https://docs.google.com/spreadsheets/d/19KSyL4bW7nIFTzuvievnYjMrqZmGFIkJjG4sp7e7INQ","https://docs.google.com/spreadsheets/d/19KSyL4bW7nIFTzuvievnYjMrqZmGFIkJjG4sp7e7INQ")</f>
        <v>https://docs.google.com/spreadsheets/d/19KSyL4bW7nIFTzuvievnYjMrqZmGFIkJjG4sp7e7INQ</v>
      </c>
      <c r="C269" s="1" t="str">
        <f>HYPERLINK("https://docs.google.com/spreadsheets/d/19KSyL4bW7nIFTzuvievnYjMrqZmGFIkJjG4sp7e7INQ","jeff brown tech investor")</f>
        <v>jeff brown tech investor</v>
      </c>
    </row>
    <row r="270">
      <c r="A270" s="1" t="str">
        <f t="shared" si="202"/>
        <v>jeff brown stock picks for 2021</v>
      </c>
      <c r="B270" s="1" t="str">
        <f t="shared" si="203"/>
        <v>https://docs.google.com/spreadsheets/d/19KSyL4bW7nIFTzuvievnYjMrqZmGFIkJjG4sp7e7INQ</v>
      </c>
      <c r="C270" s="1" t="str">
        <f>HYPERLINK("https://docs.google.com/spreadsheets/d/19KSyL4bW7nIFTzuvievnYjMrqZmGFIkJjG4sp7e7INQ","bill5g.com")</f>
        <v>bill5g.com</v>
      </c>
    </row>
    <row r="271">
      <c r="A271" s="1" t="str">
        <f t="shared" ref="A271:A272" si="204">HYPERLINK("https://docs.google.com/spreadsheets/d/19KSyL4bW7nIFTzuvievnYjMrqZmGFIkJjG4sp7e7INQ","jeff brown investor")</f>
        <v>jeff brown investor</v>
      </c>
      <c r="B271" s="1" t="str">
        <f t="shared" si="203"/>
        <v>https://docs.google.com/spreadsheets/d/19KSyL4bW7nIFTzuvievnYjMrqZmGFIkJjG4sp7e7INQ</v>
      </c>
      <c r="C271" s="1" t="str">
        <f>HYPERLINK("https://docs.google.com/spreadsheets/d/19KSyL4bW7nIFTzuvievnYjMrqZmGFIkJjG4sp7e7INQ","jeff brown tech investor")</f>
        <v>jeff brown tech investor</v>
      </c>
    </row>
    <row r="272">
      <c r="A272" s="1" t="str">
        <f t="shared" si="204"/>
        <v>jeff brown investor</v>
      </c>
      <c r="B272" s="1" t="str">
        <f t="shared" si="203"/>
        <v>https://docs.google.com/spreadsheets/d/19KSyL4bW7nIFTzuvievnYjMrqZmGFIkJjG4sp7e7INQ</v>
      </c>
      <c r="C272" s="1" t="str">
        <f>HYPERLINK("https://docs.google.com/spreadsheets/d/19KSyL4bW7nIFTzuvievnYjMrqZmGFIkJjG4sp7e7INQ","bill5g.com")</f>
        <v>bill5g.com</v>
      </c>
    </row>
    <row r="273">
      <c r="A273" s="1" t="str">
        <f t="shared" ref="A273:A274" si="205">HYPERLINK("https://drive.google.com/drive/folders/1oae98Wawqt3DfgyHPUW8QcOmXlH9oBqc","jeff brown stock picks for 2021")</f>
        <v>jeff brown stock picks for 2021</v>
      </c>
      <c r="B273" s="1" t="str">
        <f t="shared" ref="B273:B276" si="206">HYPERLINK("https://drive.google.com/drive/folders/1oae98Wawqt3DfgyHPUW8QcOmXlH9oBqc","https://drive.google.com/drive/folders/1oae98Wawqt3DfgyHPUW8QcOmXlH9oBqc")</f>
        <v>https://drive.google.com/drive/folders/1oae98Wawqt3DfgyHPUW8QcOmXlH9oBqc</v>
      </c>
      <c r="C273" s="1" t="str">
        <f>HYPERLINK("https://drive.google.com/drive/folders/1oae98Wawqt3DfgyHPUW8QcOmXlH9oBqc","jeff brown tech investor")</f>
        <v>jeff brown tech investor</v>
      </c>
    </row>
    <row r="274">
      <c r="A274" s="1" t="str">
        <f t="shared" si="205"/>
        <v>jeff brown stock picks for 2021</v>
      </c>
      <c r="B274" s="1" t="str">
        <f t="shared" si="206"/>
        <v>https://drive.google.com/drive/folders/1oae98Wawqt3DfgyHPUW8QcOmXlH9oBqc</v>
      </c>
      <c r="C274" s="1" t="str">
        <f>HYPERLINK("https://drive.google.com/drive/folders/1oae98Wawqt3DfgyHPUW8QcOmXlH9oBqc","bill5g.com")</f>
        <v>bill5g.com</v>
      </c>
    </row>
    <row r="275">
      <c r="A275" s="1" t="str">
        <f t="shared" ref="A275:A276" si="207">HYPERLINK("https://drive.google.com/drive/folders/1oae98Wawqt3DfgyHPUW8QcOmXlH9oBqc","jeff brown investor")</f>
        <v>jeff brown investor</v>
      </c>
      <c r="B275" s="1" t="str">
        <f t="shared" si="206"/>
        <v>https://drive.google.com/drive/folders/1oae98Wawqt3DfgyHPUW8QcOmXlH9oBqc</v>
      </c>
      <c r="C275" s="1" t="str">
        <f>HYPERLINK("https://drive.google.com/drive/folders/1oae98Wawqt3DfgyHPUW8QcOmXlH9oBqc","jeff brown tech investor")</f>
        <v>jeff brown tech investor</v>
      </c>
    </row>
    <row r="276">
      <c r="A276" s="1" t="str">
        <f t="shared" si="207"/>
        <v>jeff brown investor</v>
      </c>
      <c r="B276" s="1" t="str">
        <f t="shared" si="206"/>
        <v>https://drive.google.com/drive/folders/1oae98Wawqt3DfgyHPUW8QcOmXlH9oBqc</v>
      </c>
      <c r="C276" s="1" t="str">
        <f>HYPERLINK("https://drive.google.com/drive/folders/1oae98Wawqt3DfgyHPUW8QcOmXlH9oBqc","bill5g.com")</f>
        <v>bill5g.com</v>
      </c>
    </row>
    <row r="277">
      <c r="A277" s="1" t="str">
        <f t="shared" ref="A277:A278" si="208">HYPERLINK("https://docs.google.com/spreadsheets/d/1YKQzdyoufKeL2ZZKwsqL6kzvWdov1sjFGQCrtABdgVI","jeff brown stock picks for 2021")</f>
        <v>jeff brown stock picks for 2021</v>
      </c>
      <c r="B277" s="1" t="str">
        <f t="shared" ref="B277:B280" si="209">HYPERLINK("https://docs.google.com/spreadsheets/d/1YKQzdyoufKeL2ZZKwsqL6kzvWdov1sjFGQCrtABdgVI","https://docs.google.com/spreadsheets/d/1YKQzdyoufKeL2ZZKwsqL6kzvWdov1sjFGQCrtABdgVI")</f>
        <v>https://docs.google.com/spreadsheets/d/1YKQzdyoufKeL2ZZKwsqL6kzvWdov1sjFGQCrtABdgVI</v>
      </c>
      <c r="C277" s="1" t="str">
        <f>HYPERLINK("https://docs.google.com/spreadsheets/d/1YKQzdyoufKeL2ZZKwsqL6kzvWdov1sjFGQCrtABdgVI","jeff brown tech investor")</f>
        <v>jeff brown tech investor</v>
      </c>
    </row>
    <row r="278">
      <c r="A278" s="1" t="str">
        <f t="shared" si="208"/>
        <v>jeff brown stock picks for 2021</v>
      </c>
      <c r="B278" s="1" t="str">
        <f t="shared" si="209"/>
        <v>https://docs.google.com/spreadsheets/d/1YKQzdyoufKeL2ZZKwsqL6kzvWdov1sjFGQCrtABdgVI</v>
      </c>
      <c r="C278" s="1" t="str">
        <f>HYPERLINK("https://docs.google.com/spreadsheets/d/1YKQzdyoufKeL2ZZKwsqL6kzvWdov1sjFGQCrtABdgVI","bill5g.com")</f>
        <v>bill5g.com</v>
      </c>
    </row>
    <row r="279">
      <c r="A279" s="1" t="str">
        <f t="shared" ref="A279:A280" si="210">HYPERLINK("https://docs.google.com/spreadsheets/d/1YKQzdyoufKeL2ZZKwsqL6kzvWdov1sjFGQCrtABdgVI","jeff brown investor")</f>
        <v>jeff brown investor</v>
      </c>
      <c r="B279" s="1" t="str">
        <f t="shared" si="209"/>
        <v>https://docs.google.com/spreadsheets/d/1YKQzdyoufKeL2ZZKwsqL6kzvWdov1sjFGQCrtABdgVI</v>
      </c>
      <c r="C279" s="1" t="str">
        <f>HYPERLINK("https://docs.google.com/spreadsheets/d/1YKQzdyoufKeL2ZZKwsqL6kzvWdov1sjFGQCrtABdgVI","jeff brown tech investor")</f>
        <v>jeff brown tech investor</v>
      </c>
    </row>
    <row r="280">
      <c r="A280" s="1" t="str">
        <f t="shared" si="210"/>
        <v>jeff brown investor</v>
      </c>
      <c r="B280" s="1" t="str">
        <f t="shared" si="209"/>
        <v>https://docs.google.com/spreadsheets/d/1YKQzdyoufKeL2ZZKwsqL6kzvWdov1sjFGQCrtABdgVI</v>
      </c>
      <c r="C280" s="1" t="str">
        <f>HYPERLINK("https://docs.google.com/spreadsheets/d/1YKQzdyoufKeL2ZZKwsqL6kzvWdov1sjFGQCrtABdgVI","bill5g.com")</f>
        <v>bill5g.com</v>
      </c>
    </row>
    <row r="281">
      <c r="A281" s="1" t="str">
        <f t="shared" ref="A281:A282" si="211">HYPERLINK("https://docs.google.com/spreadsheets/d/1PEm--w65bJ2Adqu4kaSo6S4pwBol3EZYuNOUnPR9IyY","jeff brown stock picks for 2021")</f>
        <v>jeff brown stock picks for 2021</v>
      </c>
      <c r="B281" s="1" t="str">
        <f t="shared" ref="B281:B284" si="212">HYPERLINK("https://docs.google.com/spreadsheets/d/1PEm--w65bJ2Adqu4kaSo6S4pwBol3EZYuNOUnPR9IyY","https://docs.google.com/spreadsheets/d/1PEm--w65bJ2Adqu4kaSo6S4pwBol3EZYuNOUnPR9IyY")</f>
        <v>https://docs.google.com/spreadsheets/d/1PEm--w65bJ2Adqu4kaSo6S4pwBol3EZYuNOUnPR9IyY</v>
      </c>
      <c r="C281" s="1" t="str">
        <f>HYPERLINK("https://docs.google.com/spreadsheets/d/1PEm--w65bJ2Adqu4kaSo6S4pwBol3EZYuNOUnPR9IyY","jeff brown tech investor")</f>
        <v>jeff brown tech investor</v>
      </c>
    </row>
    <row r="282">
      <c r="A282" s="1" t="str">
        <f t="shared" si="211"/>
        <v>jeff brown stock picks for 2021</v>
      </c>
      <c r="B282" s="1" t="str">
        <f t="shared" si="212"/>
        <v>https://docs.google.com/spreadsheets/d/1PEm--w65bJ2Adqu4kaSo6S4pwBol3EZYuNOUnPR9IyY</v>
      </c>
      <c r="C282" s="1" t="str">
        <f>HYPERLINK("https://docs.google.com/spreadsheets/d/1PEm--w65bJ2Adqu4kaSo6S4pwBol3EZYuNOUnPR9IyY","bill5g.com")</f>
        <v>bill5g.com</v>
      </c>
    </row>
    <row r="283">
      <c r="A283" s="1" t="str">
        <f t="shared" ref="A283:A284" si="213">HYPERLINK("https://docs.google.com/spreadsheets/d/1PEm--w65bJ2Adqu4kaSo6S4pwBol3EZYuNOUnPR9IyY","jeff brown investor")</f>
        <v>jeff brown investor</v>
      </c>
      <c r="B283" s="1" t="str">
        <f t="shared" si="212"/>
        <v>https://docs.google.com/spreadsheets/d/1PEm--w65bJ2Adqu4kaSo6S4pwBol3EZYuNOUnPR9IyY</v>
      </c>
      <c r="C283" s="1" t="str">
        <f>HYPERLINK("https://docs.google.com/spreadsheets/d/1PEm--w65bJ2Adqu4kaSo6S4pwBol3EZYuNOUnPR9IyY","jeff brown tech investor")</f>
        <v>jeff brown tech investor</v>
      </c>
    </row>
    <row r="284">
      <c r="A284" s="1" t="str">
        <f t="shared" si="213"/>
        <v>jeff brown investor</v>
      </c>
      <c r="B284" s="1" t="str">
        <f t="shared" si="212"/>
        <v>https://docs.google.com/spreadsheets/d/1PEm--w65bJ2Adqu4kaSo6S4pwBol3EZYuNOUnPR9IyY</v>
      </c>
      <c r="C284" s="1" t="str">
        <f>HYPERLINK("https://docs.google.com/spreadsheets/d/1PEm--w65bJ2Adqu4kaSo6S4pwBol3EZYuNOUnPR9IyY","bill5g.com")</f>
        <v>bill5g.com</v>
      </c>
    </row>
    <row r="285">
      <c r="A285" s="1" t="str">
        <f t="shared" ref="A285:A286" si="214">HYPERLINK("https://docs.google.com/spreadsheets/d/1A23t2v_6mbkDIoHkw0zHhmTAu4CEgh1BOulKMFRrTTo","jeff brown stock picks for 2021")</f>
        <v>jeff brown stock picks for 2021</v>
      </c>
      <c r="B285" s="1" t="str">
        <f t="shared" ref="B285:B288" si="215">HYPERLINK("https://docs.google.com/spreadsheets/d/1A23t2v_6mbkDIoHkw0zHhmTAu4CEgh1BOulKMFRrTTo","https://docs.google.com/spreadsheets/d/1A23t2v_6mbkDIoHkw0zHhmTAu4CEgh1BOulKMFRrTTo")</f>
        <v>https://docs.google.com/spreadsheets/d/1A23t2v_6mbkDIoHkw0zHhmTAu4CEgh1BOulKMFRrTTo</v>
      </c>
      <c r="C285" s="1" t="str">
        <f>HYPERLINK("https://docs.google.com/spreadsheets/d/1A23t2v_6mbkDIoHkw0zHhmTAu4CEgh1BOulKMFRrTTo","jeff brown tech investor")</f>
        <v>jeff brown tech investor</v>
      </c>
    </row>
    <row r="286">
      <c r="A286" s="1" t="str">
        <f t="shared" si="214"/>
        <v>jeff brown stock picks for 2021</v>
      </c>
      <c r="B286" s="1" t="str">
        <f t="shared" si="215"/>
        <v>https://docs.google.com/spreadsheets/d/1A23t2v_6mbkDIoHkw0zHhmTAu4CEgh1BOulKMFRrTTo</v>
      </c>
      <c r="C286" s="1" t="str">
        <f>HYPERLINK("https://docs.google.com/spreadsheets/d/1A23t2v_6mbkDIoHkw0zHhmTAu4CEgh1BOulKMFRrTTo","bill5g.com")</f>
        <v>bill5g.com</v>
      </c>
    </row>
    <row r="287">
      <c r="A287" s="1" t="str">
        <f t="shared" ref="A287:A288" si="216">HYPERLINK("https://docs.google.com/spreadsheets/d/1A23t2v_6mbkDIoHkw0zHhmTAu4CEgh1BOulKMFRrTTo","jeff brown investor")</f>
        <v>jeff brown investor</v>
      </c>
      <c r="B287" s="1" t="str">
        <f t="shared" si="215"/>
        <v>https://docs.google.com/spreadsheets/d/1A23t2v_6mbkDIoHkw0zHhmTAu4CEgh1BOulKMFRrTTo</v>
      </c>
      <c r="C287" s="1" t="str">
        <f>HYPERLINK("https://docs.google.com/spreadsheets/d/1A23t2v_6mbkDIoHkw0zHhmTAu4CEgh1BOulKMFRrTTo","jeff brown tech investor")</f>
        <v>jeff brown tech investor</v>
      </c>
    </row>
    <row r="288">
      <c r="A288" s="1" t="str">
        <f t="shared" si="216"/>
        <v>jeff brown investor</v>
      </c>
      <c r="B288" s="1" t="str">
        <f t="shared" si="215"/>
        <v>https://docs.google.com/spreadsheets/d/1A23t2v_6mbkDIoHkw0zHhmTAu4CEgh1BOulKMFRrTTo</v>
      </c>
      <c r="C288" s="1" t="str">
        <f>HYPERLINK("https://docs.google.com/spreadsheets/d/1A23t2v_6mbkDIoHkw0zHhmTAu4CEgh1BOulKMFRrTTo","bill5g.com")</f>
        <v>bill5g.com</v>
      </c>
    </row>
    <row r="289">
      <c r="A289" s="1" t="str">
        <f t="shared" ref="A289:A290" si="217">HYPERLINK("https://drive.google.com/drive/folders/1muuGAA96uA-tAqXpN1CTGyU2MeSj9o3P","jeff brown stock picks for 2021")</f>
        <v>jeff brown stock picks for 2021</v>
      </c>
      <c r="B289" s="1" t="str">
        <f t="shared" ref="B289:B292" si="218">HYPERLINK("https://drive.google.com/drive/folders/1muuGAA96uA-tAqXpN1CTGyU2MeSj9o3P","https://drive.google.com/drive/folders/1muuGAA96uA-tAqXpN1CTGyU2MeSj9o3P")</f>
        <v>https://drive.google.com/drive/folders/1muuGAA96uA-tAqXpN1CTGyU2MeSj9o3P</v>
      </c>
      <c r="C289" s="1" t="str">
        <f>HYPERLINK("https://drive.google.com/drive/folders/1muuGAA96uA-tAqXpN1CTGyU2MeSj9o3P","jeff brown tech investor")</f>
        <v>jeff brown tech investor</v>
      </c>
    </row>
    <row r="290">
      <c r="A290" s="1" t="str">
        <f t="shared" si="217"/>
        <v>jeff brown stock picks for 2021</v>
      </c>
      <c r="B290" s="1" t="str">
        <f t="shared" si="218"/>
        <v>https://drive.google.com/drive/folders/1muuGAA96uA-tAqXpN1CTGyU2MeSj9o3P</v>
      </c>
      <c r="C290" s="1" t="str">
        <f>HYPERLINK("https://drive.google.com/drive/folders/1muuGAA96uA-tAqXpN1CTGyU2MeSj9o3P","bill5g.com")</f>
        <v>bill5g.com</v>
      </c>
    </row>
    <row r="291">
      <c r="A291" s="1" t="str">
        <f t="shared" ref="A291:A292" si="219">HYPERLINK("https://drive.google.com/drive/folders/1muuGAA96uA-tAqXpN1CTGyU2MeSj9o3P","jeff brown investor")</f>
        <v>jeff brown investor</v>
      </c>
      <c r="B291" s="1" t="str">
        <f t="shared" si="218"/>
        <v>https://drive.google.com/drive/folders/1muuGAA96uA-tAqXpN1CTGyU2MeSj9o3P</v>
      </c>
      <c r="C291" s="1" t="str">
        <f>HYPERLINK("https://drive.google.com/drive/folders/1muuGAA96uA-tAqXpN1CTGyU2MeSj9o3P","jeff brown tech investor")</f>
        <v>jeff brown tech investor</v>
      </c>
    </row>
    <row r="292">
      <c r="A292" s="1" t="str">
        <f t="shared" si="219"/>
        <v>jeff brown investor</v>
      </c>
      <c r="B292" s="1" t="str">
        <f t="shared" si="218"/>
        <v>https://drive.google.com/drive/folders/1muuGAA96uA-tAqXpN1CTGyU2MeSj9o3P</v>
      </c>
      <c r="C292" s="1" t="str">
        <f>HYPERLINK("https://drive.google.com/drive/folders/1muuGAA96uA-tAqXpN1CTGyU2MeSj9o3P","bill5g.com")</f>
        <v>bill5g.com</v>
      </c>
    </row>
    <row r="293">
      <c r="A293" s="1" t="str">
        <f t="shared" ref="A293:A294" si="220">HYPERLINK("https://drive.google.com/drive/folders/1ylwhZlVHj30AHKHJnfiPPY47ism6iN3I","jeff brown stock picks for 2021")</f>
        <v>jeff brown stock picks for 2021</v>
      </c>
      <c r="B293" s="1" t="str">
        <f t="shared" ref="B293:B296" si="221">HYPERLINK("https://drive.google.com/drive/folders/1ylwhZlVHj30AHKHJnfiPPY47ism6iN3I","https://drive.google.com/drive/folders/1ylwhZlVHj30AHKHJnfiPPY47ism6iN3I")</f>
        <v>https://drive.google.com/drive/folders/1ylwhZlVHj30AHKHJnfiPPY47ism6iN3I</v>
      </c>
      <c r="C293" s="1" t="str">
        <f>HYPERLINK("https://drive.google.com/drive/folders/1ylwhZlVHj30AHKHJnfiPPY47ism6iN3I","jeff brown tech investor")</f>
        <v>jeff brown tech investor</v>
      </c>
    </row>
    <row r="294">
      <c r="A294" s="1" t="str">
        <f t="shared" si="220"/>
        <v>jeff brown stock picks for 2021</v>
      </c>
      <c r="B294" s="1" t="str">
        <f t="shared" si="221"/>
        <v>https://drive.google.com/drive/folders/1ylwhZlVHj30AHKHJnfiPPY47ism6iN3I</v>
      </c>
      <c r="C294" s="1" t="str">
        <f>HYPERLINK("https://drive.google.com/drive/folders/1ylwhZlVHj30AHKHJnfiPPY47ism6iN3I","bill5g.com")</f>
        <v>bill5g.com</v>
      </c>
    </row>
    <row r="295">
      <c r="A295" s="1" t="str">
        <f t="shared" ref="A295:A296" si="222">HYPERLINK("https://drive.google.com/drive/folders/1ylwhZlVHj30AHKHJnfiPPY47ism6iN3I","jeff brown investor")</f>
        <v>jeff brown investor</v>
      </c>
      <c r="B295" s="1" t="str">
        <f t="shared" si="221"/>
        <v>https://drive.google.com/drive/folders/1ylwhZlVHj30AHKHJnfiPPY47ism6iN3I</v>
      </c>
      <c r="C295" s="1" t="str">
        <f>HYPERLINK("https://drive.google.com/drive/folders/1ylwhZlVHj30AHKHJnfiPPY47ism6iN3I","jeff brown tech investor")</f>
        <v>jeff brown tech investor</v>
      </c>
    </row>
    <row r="296">
      <c r="A296" s="1" t="str">
        <f t="shared" si="222"/>
        <v>jeff brown investor</v>
      </c>
      <c r="B296" s="1" t="str">
        <f t="shared" si="221"/>
        <v>https://drive.google.com/drive/folders/1ylwhZlVHj30AHKHJnfiPPY47ism6iN3I</v>
      </c>
      <c r="C296" s="1" t="str">
        <f>HYPERLINK("https://drive.google.com/drive/folders/1ylwhZlVHj30AHKHJnfiPPY47ism6iN3I","bill5g.com")</f>
        <v>bill5g.com</v>
      </c>
    </row>
    <row r="297">
      <c r="A297" s="1" t="str">
        <f t="shared" ref="A297:A298" si="223">HYPERLINK("https://docs.google.com/spreadsheets/d/1L60uAt-YRFS8aEzLsQX5RvTrE_zFksNxXllCCzsOqSs","jeff brown stock picks for 2021")</f>
        <v>jeff brown stock picks for 2021</v>
      </c>
      <c r="B297" s="1" t="str">
        <f t="shared" ref="B297:B300" si="224">HYPERLINK("https://docs.google.com/spreadsheets/d/1L60uAt-YRFS8aEzLsQX5RvTrE_zFksNxXllCCzsOqSs","https://docs.google.com/spreadsheets/d/1L60uAt-YRFS8aEzLsQX5RvTrE_zFksNxXllCCzsOqSs")</f>
        <v>https://docs.google.com/spreadsheets/d/1L60uAt-YRFS8aEzLsQX5RvTrE_zFksNxXllCCzsOqSs</v>
      </c>
      <c r="C297" s="1" t="str">
        <f>HYPERLINK("https://docs.google.com/spreadsheets/d/1L60uAt-YRFS8aEzLsQX5RvTrE_zFksNxXllCCzsOqSs","jeff brown tech investor")</f>
        <v>jeff brown tech investor</v>
      </c>
    </row>
    <row r="298">
      <c r="A298" s="1" t="str">
        <f t="shared" si="223"/>
        <v>jeff brown stock picks for 2021</v>
      </c>
      <c r="B298" s="1" t="str">
        <f t="shared" si="224"/>
        <v>https://docs.google.com/spreadsheets/d/1L60uAt-YRFS8aEzLsQX5RvTrE_zFksNxXllCCzsOqSs</v>
      </c>
      <c r="C298" s="1" t="str">
        <f>HYPERLINK("https://docs.google.com/spreadsheets/d/1L60uAt-YRFS8aEzLsQX5RvTrE_zFksNxXllCCzsOqSs","bill5g.com")</f>
        <v>bill5g.com</v>
      </c>
    </row>
    <row r="299">
      <c r="A299" s="1" t="str">
        <f t="shared" ref="A299:A300" si="225">HYPERLINK("https://docs.google.com/spreadsheets/d/1L60uAt-YRFS8aEzLsQX5RvTrE_zFksNxXllCCzsOqSs","jeff brown investor")</f>
        <v>jeff brown investor</v>
      </c>
      <c r="B299" s="1" t="str">
        <f t="shared" si="224"/>
        <v>https://docs.google.com/spreadsheets/d/1L60uAt-YRFS8aEzLsQX5RvTrE_zFksNxXllCCzsOqSs</v>
      </c>
      <c r="C299" s="1" t="str">
        <f>HYPERLINK("https://docs.google.com/spreadsheets/d/1L60uAt-YRFS8aEzLsQX5RvTrE_zFksNxXllCCzsOqSs","jeff brown tech investor")</f>
        <v>jeff brown tech investor</v>
      </c>
    </row>
    <row r="300">
      <c r="A300" s="1" t="str">
        <f t="shared" si="225"/>
        <v>jeff brown investor</v>
      </c>
      <c r="B300" s="1" t="str">
        <f t="shared" si="224"/>
        <v>https://docs.google.com/spreadsheets/d/1L60uAt-YRFS8aEzLsQX5RvTrE_zFksNxXllCCzsOqSs</v>
      </c>
      <c r="C300" s="1" t="str">
        <f>HYPERLINK("https://docs.google.com/spreadsheets/d/1L60uAt-YRFS8aEzLsQX5RvTrE_zFksNxXllCCzsOqSs","bill5g.com")</f>
        <v>bill5g.com</v>
      </c>
    </row>
    <row r="301">
      <c r="A301" s="1" t="str">
        <f t="shared" ref="A301:A302" si="226">HYPERLINK("https://docs.google.com/spreadsheets/d/1TQ9RFPSj9RMrzDxoWuZtcqlG_uc5lxA6byVD5EQG-fo","jeff brown stock picks for 2021")</f>
        <v>jeff brown stock picks for 2021</v>
      </c>
      <c r="B301" s="1" t="str">
        <f t="shared" ref="B301:B304" si="227">HYPERLINK("https://docs.google.com/spreadsheets/d/1TQ9RFPSj9RMrzDxoWuZtcqlG_uc5lxA6byVD5EQG-fo","https://docs.google.com/spreadsheets/d/1TQ9RFPSj9RMrzDxoWuZtcqlG_uc5lxA6byVD5EQG-fo")</f>
        <v>https://docs.google.com/spreadsheets/d/1TQ9RFPSj9RMrzDxoWuZtcqlG_uc5lxA6byVD5EQG-fo</v>
      </c>
      <c r="C301" s="1" t="str">
        <f>HYPERLINK("https://docs.google.com/spreadsheets/d/1TQ9RFPSj9RMrzDxoWuZtcqlG_uc5lxA6byVD5EQG-fo","jeff brown tech investor")</f>
        <v>jeff brown tech investor</v>
      </c>
    </row>
    <row r="302">
      <c r="A302" s="1" t="str">
        <f t="shared" si="226"/>
        <v>jeff brown stock picks for 2021</v>
      </c>
      <c r="B302" s="1" t="str">
        <f t="shared" si="227"/>
        <v>https://docs.google.com/spreadsheets/d/1TQ9RFPSj9RMrzDxoWuZtcqlG_uc5lxA6byVD5EQG-fo</v>
      </c>
      <c r="C302" s="1" t="str">
        <f>HYPERLINK("https://docs.google.com/spreadsheets/d/1TQ9RFPSj9RMrzDxoWuZtcqlG_uc5lxA6byVD5EQG-fo","bill5g.com")</f>
        <v>bill5g.com</v>
      </c>
    </row>
    <row r="303">
      <c r="A303" s="1" t="str">
        <f t="shared" ref="A303:A304" si="228">HYPERLINK("https://docs.google.com/spreadsheets/d/1TQ9RFPSj9RMrzDxoWuZtcqlG_uc5lxA6byVD5EQG-fo","jeff brown investor")</f>
        <v>jeff brown investor</v>
      </c>
      <c r="B303" s="1" t="str">
        <f t="shared" si="227"/>
        <v>https://docs.google.com/spreadsheets/d/1TQ9RFPSj9RMrzDxoWuZtcqlG_uc5lxA6byVD5EQG-fo</v>
      </c>
      <c r="C303" s="1" t="str">
        <f>HYPERLINK("https://docs.google.com/spreadsheets/d/1TQ9RFPSj9RMrzDxoWuZtcqlG_uc5lxA6byVD5EQG-fo","jeff brown tech investor")</f>
        <v>jeff brown tech investor</v>
      </c>
    </row>
    <row r="304">
      <c r="A304" s="1" t="str">
        <f t="shared" si="228"/>
        <v>jeff brown investor</v>
      </c>
      <c r="B304" s="1" t="str">
        <f t="shared" si="227"/>
        <v>https://docs.google.com/spreadsheets/d/1TQ9RFPSj9RMrzDxoWuZtcqlG_uc5lxA6byVD5EQG-fo</v>
      </c>
      <c r="C304" s="1" t="str">
        <f>HYPERLINK("https://docs.google.com/spreadsheets/d/1TQ9RFPSj9RMrzDxoWuZtcqlG_uc5lxA6byVD5EQG-fo","bill5g.com")</f>
        <v>bill5g.com</v>
      </c>
    </row>
    <row r="305">
      <c r="A305" s="1" t="str">
        <f t="shared" ref="A305:A306" si="229">HYPERLINK("https://docs.google.com/spreadsheets/d/1OWzsrLGy3hi5D8Muzs1SbuDwVYNQLljkoW4AfJ3Tung","jeff brown stock picks for 2021")</f>
        <v>jeff brown stock picks for 2021</v>
      </c>
      <c r="B305" s="1" t="str">
        <f t="shared" ref="B305:B308" si="230">HYPERLINK("https://docs.google.com/spreadsheets/d/1OWzsrLGy3hi5D8Muzs1SbuDwVYNQLljkoW4AfJ3Tung","https://docs.google.com/spreadsheets/d/1OWzsrLGy3hi5D8Muzs1SbuDwVYNQLljkoW4AfJ3Tung")</f>
        <v>https://docs.google.com/spreadsheets/d/1OWzsrLGy3hi5D8Muzs1SbuDwVYNQLljkoW4AfJ3Tung</v>
      </c>
      <c r="C305" s="1" t="str">
        <f>HYPERLINK("https://docs.google.com/spreadsheets/d/1OWzsrLGy3hi5D8Muzs1SbuDwVYNQLljkoW4AfJ3Tung","jeff brown tech investor")</f>
        <v>jeff brown tech investor</v>
      </c>
    </row>
    <row r="306">
      <c r="A306" s="1" t="str">
        <f t="shared" si="229"/>
        <v>jeff brown stock picks for 2021</v>
      </c>
      <c r="B306" s="1" t="str">
        <f t="shared" si="230"/>
        <v>https://docs.google.com/spreadsheets/d/1OWzsrLGy3hi5D8Muzs1SbuDwVYNQLljkoW4AfJ3Tung</v>
      </c>
      <c r="C306" s="1" t="str">
        <f>HYPERLINK("https://docs.google.com/spreadsheets/d/1OWzsrLGy3hi5D8Muzs1SbuDwVYNQLljkoW4AfJ3Tung","bill5g.com")</f>
        <v>bill5g.com</v>
      </c>
    </row>
    <row r="307">
      <c r="A307" s="1" t="str">
        <f t="shared" ref="A307:A308" si="231">HYPERLINK("https://docs.google.com/spreadsheets/d/1OWzsrLGy3hi5D8Muzs1SbuDwVYNQLljkoW4AfJ3Tung","jeff brown investor")</f>
        <v>jeff brown investor</v>
      </c>
      <c r="B307" s="1" t="str">
        <f t="shared" si="230"/>
        <v>https://docs.google.com/spreadsheets/d/1OWzsrLGy3hi5D8Muzs1SbuDwVYNQLljkoW4AfJ3Tung</v>
      </c>
      <c r="C307" s="1" t="str">
        <f>HYPERLINK("https://docs.google.com/spreadsheets/d/1OWzsrLGy3hi5D8Muzs1SbuDwVYNQLljkoW4AfJ3Tung","jeff brown tech investor")</f>
        <v>jeff brown tech investor</v>
      </c>
    </row>
    <row r="308">
      <c r="A308" s="1" t="str">
        <f t="shared" si="231"/>
        <v>jeff brown investor</v>
      </c>
      <c r="B308" s="1" t="str">
        <f t="shared" si="230"/>
        <v>https://docs.google.com/spreadsheets/d/1OWzsrLGy3hi5D8Muzs1SbuDwVYNQLljkoW4AfJ3Tung</v>
      </c>
      <c r="C308" s="1" t="str">
        <f>HYPERLINK("https://docs.google.com/spreadsheets/d/1OWzsrLGy3hi5D8Muzs1SbuDwVYNQLljkoW4AfJ3Tung","bill5g.com")</f>
        <v>bill5g.com</v>
      </c>
    </row>
    <row r="309">
      <c r="A309" s="1" t="str">
        <f t="shared" ref="A309:A310" si="232">HYPERLINK("https://drive.google.com/drive/folders/1vvKIuoankcmxD2aDE0-CibQZUbKRqtL7","jeff brown stock picks for 2021")</f>
        <v>jeff brown stock picks for 2021</v>
      </c>
      <c r="B309" s="1" t="str">
        <f t="shared" ref="B309:B312" si="233">HYPERLINK("https://drive.google.com/drive/folders/1vvKIuoankcmxD2aDE0-CibQZUbKRqtL7","https://drive.google.com/drive/folders/1vvKIuoankcmxD2aDE0-CibQZUbKRqtL7")</f>
        <v>https://drive.google.com/drive/folders/1vvKIuoankcmxD2aDE0-CibQZUbKRqtL7</v>
      </c>
      <c r="C309" s="1" t="str">
        <f>HYPERLINK("https://drive.google.com/drive/folders/1vvKIuoankcmxD2aDE0-CibQZUbKRqtL7","jeff brown tech investor")</f>
        <v>jeff brown tech investor</v>
      </c>
    </row>
    <row r="310">
      <c r="A310" s="1" t="str">
        <f t="shared" si="232"/>
        <v>jeff brown stock picks for 2021</v>
      </c>
      <c r="B310" s="1" t="str">
        <f t="shared" si="233"/>
        <v>https://drive.google.com/drive/folders/1vvKIuoankcmxD2aDE0-CibQZUbKRqtL7</v>
      </c>
      <c r="C310" s="1" t="str">
        <f>HYPERLINK("https://drive.google.com/drive/folders/1vvKIuoankcmxD2aDE0-CibQZUbKRqtL7","bill5g.com")</f>
        <v>bill5g.com</v>
      </c>
    </row>
    <row r="311">
      <c r="A311" s="1" t="str">
        <f t="shared" ref="A311:A312" si="234">HYPERLINK("https://drive.google.com/drive/folders/1vvKIuoankcmxD2aDE0-CibQZUbKRqtL7","jeff brown investor")</f>
        <v>jeff brown investor</v>
      </c>
      <c r="B311" s="1" t="str">
        <f t="shared" si="233"/>
        <v>https://drive.google.com/drive/folders/1vvKIuoankcmxD2aDE0-CibQZUbKRqtL7</v>
      </c>
      <c r="C311" s="1" t="str">
        <f>HYPERLINK("https://drive.google.com/drive/folders/1vvKIuoankcmxD2aDE0-CibQZUbKRqtL7","jeff brown tech investor")</f>
        <v>jeff brown tech investor</v>
      </c>
    </row>
    <row r="312">
      <c r="A312" s="1" t="str">
        <f t="shared" si="234"/>
        <v>jeff brown investor</v>
      </c>
      <c r="B312" s="1" t="str">
        <f t="shared" si="233"/>
        <v>https://drive.google.com/drive/folders/1vvKIuoankcmxD2aDE0-CibQZUbKRqtL7</v>
      </c>
      <c r="C312" s="1" t="str">
        <f>HYPERLINK("https://drive.google.com/drive/folders/1vvKIuoankcmxD2aDE0-CibQZUbKRqtL7","bill5g.com")</f>
        <v>bill5g.com</v>
      </c>
    </row>
    <row r="313">
      <c r="A313" s="1" t="str">
        <f t="shared" ref="A313:A314" si="235">HYPERLINK("https://docs.google.com/spreadsheets/d/1DL_MyFGPkII_Sl1Hz_k2vu5I5i9ucTZvXXCNvog_4m0","jeff brown stock picks for 2021")</f>
        <v>jeff brown stock picks for 2021</v>
      </c>
      <c r="B313" s="1" t="str">
        <f t="shared" ref="B313:B316" si="236">HYPERLINK("https://docs.google.com/spreadsheets/d/1DL_MyFGPkII_Sl1Hz_k2vu5I5i9ucTZvXXCNvog_4m0","https://docs.google.com/spreadsheets/d/1DL_MyFGPkII_Sl1Hz_k2vu5I5i9ucTZvXXCNvog_4m0")</f>
        <v>https://docs.google.com/spreadsheets/d/1DL_MyFGPkII_Sl1Hz_k2vu5I5i9ucTZvXXCNvog_4m0</v>
      </c>
      <c r="C313" s="1" t="str">
        <f>HYPERLINK("https://docs.google.com/spreadsheets/d/1DL_MyFGPkII_Sl1Hz_k2vu5I5i9ucTZvXXCNvog_4m0","jeff brown tech investor")</f>
        <v>jeff brown tech investor</v>
      </c>
    </row>
    <row r="314">
      <c r="A314" s="1" t="str">
        <f t="shared" si="235"/>
        <v>jeff brown stock picks for 2021</v>
      </c>
      <c r="B314" s="1" t="str">
        <f t="shared" si="236"/>
        <v>https://docs.google.com/spreadsheets/d/1DL_MyFGPkII_Sl1Hz_k2vu5I5i9ucTZvXXCNvog_4m0</v>
      </c>
      <c r="C314" s="1" t="str">
        <f>HYPERLINK("https://docs.google.com/spreadsheets/d/1DL_MyFGPkII_Sl1Hz_k2vu5I5i9ucTZvXXCNvog_4m0","bill5g.com")</f>
        <v>bill5g.com</v>
      </c>
    </row>
    <row r="315">
      <c r="A315" s="1" t="str">
        <f t="shared" ref="A315:A316" si="237">HYPERLINK("https://docs.google.com/spreadsheets/d/1DL_MyFGPkII_Sl1Hz_k2vu5I5i9ucTZvXXCNvog_4m0","jeff brown investor")</f>
        <v>jeff brown investor</v>
      </c>
      <c r="B315" s="1" t="str">
        <f t="shared" si="236"/>
        <v>https://docs.google.com/spreadsheets/d/1DL_MyFGPkII_Sl1Hz_k2vu5I5i9ucTZvXXCNvog_4m0</v>
      </c>
      <c r="C315" s="1" t="str">
        <f>HYPERLINK("https://docs.google.com/spreadsheets/d/1DL_MyFGPkII_Sl1Hz_k2vu5I5i9ucTZvXXCNvog_4m0","jeff brown tech investor")</f>
        <v>jeff brown tech investor</v>
      </c>
    </row>
    <row r="316">
      <c r="A316" s="1" t="str">
        <f t="shared" si="237"/>
        <v>jeff brown investor</v>
      </c>
      <c r="B316" s="1" t="str">
        <f t="shared" si="236"/>
        <v>https://docs.google.com/spreadsheets/d/1DL_MyFGPkII_Sl1Hz_k2vu5I5i9ucTZvXXCNvog_4m0</v>
      </c>
      <c r="C316" s="1" t="str">
        <f>HYPERLINK("https://docs.google.com/spreadsheets/d/1DL_MyFGPkII_Sl1Hz_k2vu5I5i9ucTZvXXCNvog_4m0","bill5g.com")</f>
        <v>bill5g.com</v>
      </c>
    </row>
    <row r="317">
      <c r="A317" s="1" t="str">
        <f t="shared" ref="A317:A318" si="238">HYPERLINK("https://docs.google.com/spreadsheets/d/1AyqlD4nUrYgSnF1atrzXJRFLAP5n1C8K3J7nPaDebJI","jeff brown stock picks for 2021")</f>
        <v>jeff brown stock picks for 2021</v>
      </c>
      <c r="B317" s="1" t="str">
        <f t="shared" ref="B317:B320" si="239">HYPERLINK("https://docs.google.com/spreadsheets/d/1AyqlD4nUrYgSnF1atrzXJRFLAP5n1C8K3J7nPaDebJI","https://docs.google.com/spreadsheets/d/1AyqlD4nUrYgSnF1atrzXJRFLAP5n1C8K3J7nPaDebJI")</f>
        <v>https://docs.google.com/spreadsheets/d/1AyqlD4nUrYgSnF1atrzXJRFLAP5n1C8K3J7nPaDebJI</v>
      </c>
      <c r="C317" s="1" t="str">
        <f>HYPERLINK("https://docs.google.com/spreadsheets/d/1AyqlD4nUrYgSnF1atrzXJRFLAP5n1C8K3J7nPaDebJI","jeff brown tech investor")</f>
        <v>jeff brown tech investor</v>
      </c>
    </row>
    <row r="318">
      <c r="A318" s="1" t="str">
        <f t="shared" si="238"/>
        <v>jeff brown stock picks for 2021</v>
      </c>
      <c r="B318" s="1" t="str">
        <f t="shared" si="239"/>
        <v>https://docs.google.com/spreadsheets/d/1AyqlD4nUrYgSnF1atrzXJRFLAP5n1C8K3J7nPaDebJI</v>
      </c>
      <c r="C318" s="1" t="str">
        <f>HYPERLINK("https://docs.google.com/spreadsheets/d/1AyqlD4nUrYgSnF1atrzXJRFLAP5n1C8K3J7nPaDebJI","bill5g.com")</f>
        <v>bill5g.com</v>
      </c>
    </row>
    <row r="319">
      <c r="A319" s="1" t="str">
        <f t="shared" ref="A319:A320" si="240">HYPERLINK("https://docs.google.com/spreadsheets/d/1AyqlD4nUrYgSnF1atrzXJRFLAP5n1C8K3J7nPaDebJI","jeff brown investor")</f>
        <v>jeff brown investor</v>
      </c>
      <c r="B319" s="1" t="str">
        <f t="shared" si="239"/>
        <v>https://docs.google.com/spreadsheets/d/1AyqlD4nUrYgSnF1atrzXJRFLAP5n1C8K3J7nPaDebJI</v>
      </c>
      <c r="C319" s="1" t="str">
        <f>HYPERLINK("https://docs.google.com/spreadsheets/d/1AyqlD4nUrYgSnF1atrzXJRFLAP5n1C8K3J7nPaDebJI","jeff brown tech investor")</f>
        <v>jeff brown tech investor</v>
      </c>
    </row>
    <row r="320">
      <c r="A320" s="1" t="str">
        <f t="shared" si="240"/>
        <v>jeff brown investor</v>
      </c>
      <c r="B320" s="1" t="str">
        <f t="shared" si="239"/>
        <v>https://docs.google.com/spreadsheets/d/1AyqlD4nUrYgSnF1atrzXJRFLAP5n1C8K3J7nPaDebJI</v>
      </c>
      <c r="C320" s="1" t="str">
        <f>HYPERLINK("https://docs.google.com/spreadsheets/d/1AyqlD4nUrYgSnF1atrzXJRFLAP5n1C8K3J7nPaDebJI","bill5g.com")</f>
        <v>bill5g.com</v>
      </c>
    </row>
    <row r="321">
      <c r="A321" s="1" t="str">
        <f t="shared" ref="A321:A322" si="241">HYPERLINK("https://drive.google.com/drive/folders/11YX2O8pj0kLHj2Mq72Z52nMKc9vAv7lm","jeff brown stock picks for 2021")</f>
        <v>jeff brown stock picks for 2021</v>
      </c>
      <c r="B321" s="1" t="str">
        <f t="shared" ref="B321:B324" si="242">HYPERLINK("https://drive.google.com/drive/folders/11YX2O8pj0kLHj2Mq72Z52nMKc9vAv7lm","https://drive.google.com/drive/folders/11YX2O8pj0kLHj2Mq72Z52nMKc9vAv7lm")</f>
        <v>https://drive.google.com/drive/folders/11YX2O8pj0kLHj2Mq72Z52nMKc9vAv7lm</v>
      </c>
      <c r="C321" s="1" t="str">
        <f>HYPERLINK("https://drive.google.com/drive/folders/11YX2O8pj0kLHj2Mq72Z52nMKc9vAv7lm","jeff brown tech investor")</f>
        <v>jeff brown tech investor</v>
      </c>
    </row>
    <row r="322">
      <c r="A322" s="1" t="str">
        <f t="shared" si="241"/>
        <v>jeff brown stock picks for 2021</v>
      </c>
      <c r="B322" s="1" t="str">
        <f t="shared" si="242"/>
        <v>https://drive.google.com/drive/folders/11YX2O8pj0kLHj2Mq72Z52nMKc9vAv7lm</v>
      </c>
      <c r="C322" s="1" t="str">
        <f>HYPERLINK("https://drive.google.com/drive/folders/11YX2O8pj0kLHj2Mq72Z52nMKc9vAv7lm","bill5g.com")</f>
        <v>bill5g.com</v>
      </c>
    </row>
    <row r="323">
      <c r="A323" s="1" t="str">
        <f t="shared" ref="A323:A324" si="243">HYPERLINK("https://drive.google.com/drive/folders/11YX2O8pj0kLHj2Mq72Z52nMKc9vAv7lm","jeff brown investor")</f>
        <v>jeff brown investor</v>
      </c>
      <c r="B323" s="1" t="str">
        <f t="shared" si="242"/>
        <v>https://drive.google.com/drive/folders/11YX2O8pj0kLHj2Mq72Z52nMKc9vAv7lm</v>
      </c>
      <c r="C323" s="1" t="str">
        <f>HYPERLINK("https://drive.google.com/drive/folders/11YX2O8pj0kLHj2Mq72Z52nMKc9vAv7lm","jeff brown tech investor")</f>
        <v>jeff brown tech investor</v>
      </c>
    </row>
    <row r="324">
      <c r="A324" s="1" t="str">
        <f t="shared" si="243"/>
        <v>jeff brown investor</v>
      </c>
      <c r="B324" s="1" t="str">
        <f t="shared" si="242"/>
        <v>https://drive.google.com/drive/folders/11YX2O8pj0kLHj2Mq72Z52nMKc9vAv7lm</v>
      </c>
      <c r="C324" s="1" t="str">
        <f>HYPERLINK("https://drive.google.com/drive/folders/11YX2O8pj0kLHj2Mq72Z52nMKc9vAv7lm","bill5g.com")</f>
        <v>bill5g.com</v>
      </c>
    </row>
    <row r="325">
      <c r="A325" s="1" t="str">
        <f t="shared" ref="A325:A326" si="244">HYPERLINK("https://drive.google.com/drive/folders/1d5PpuqVQut_l6_mvN-4mGmVN6T5NIPHS","jeff brown stock picks for 2021")</f>
        <v>jeff brown stock picks for 2021</v>
      </c>
      <c r="B325" s="1" t="str">
        <f t="shared" ref="B325:B328" si="245">HYPERLINK("https://drive.google.com/drive/folders/1d5PpuqVQut_l6_mvN-4mGmVN6T5NIPHS","https://drive.google.com/drive/folders/1d5PpuqVQut_l6_mvN-4mGmVN6T5NIPHS")</f>
        <v>https://drive.google.com/drive/folders/1d5PpuqVQut_l6_mvN-4mGmVN6T5NIPHS</v>
      </c>
      <c r="C325" s="1" t="str">
        <f>HYPERLINK("https://drive.google.com/drive/folders/1d5PpuqVQut_l6_mvN-4mGmVN6T5NIPHS","jeff brown tech investor")</f>
        <v>jeff brown tech investor</v>
      </c>
    </row>
    <row r="326">
      <c r="A326" s="1" t="str">
        <f t="shared" si="244"/>
        <v>jeff brown stock picks for 2021</v>
      </c>
      <c r="B326" s="1" t="str">
        <f t="shared" si="245"/>
        <v>https://drive.google.com/drive/folders/1d5PpuqVQut_l6_mvN-4mGmVN6T5NIPHS</v>
      </c>
      <c r="C326" s="1" t="str">
        <f>HYPERLINK("https://drive.google.com/drive/folders/1d5PpuqVQut_l6_mvN-4mGmVN6T5NIPHS","bill5g.com")</f>
        <v>bill5g.com</v>
      </c>
    </row>
    <row r="327">
      <c r="A327" s="1" t="str">
        <f t="shared" ref="A327:A328" si="246">HYPERLINK("https://drive.google.com/drive/folders/1d5PpuqVQut_l6_mvN-4mGmVN6T5NIPHS","jeff brown investor")</f>
        <v>jeff brown investor</v>
      </c>
      <c r="B327" s="1" t="str">
        <f t="shared" si="245"/>
        <v>https://drive.google.com/drive/folders/1d5PpuqVQut_l6_mvN-4mGmVN6T5NIPHS</v>
      </c>
      <c r="C327" s="1" t="str">
        <f>HYPERLINK("https://drive.google.com/drive/folders/1d5PpuqVQut_l6_mvN-4mGmVN6T5NIPHS","jeff brown tech investor")</f>
        <v>jeff brown tech investor</v>
      </c>
    </row>
    <row r="328">
      <c r="A328" s="1" t="str">
        <f t="shared" si="246"/>
        <v>jeff brown investor</v>
      </c>
      <c r="B328" s="1" t="str">
        <f t="shared" si="245"/>
        <v>https://drive.google.com/drive/folders/1d5PpuqVQut_l6_mvN-4mGmVN6T5NIPHS</v>
      </c>
      <c r="C328" s="1" t="str">
        <f>HYPERLINK("https://drive.google.com/drive/folders/1d5PpuqVQut_l6_mvN-4mGmVN6T5NIPHS","bill5g.com")</f>
        <v>bill5g.com</v>
      </c>
    </row>
    <row r="329">
      <c r="A329" s="1" t="str">
        <f t="shared" ref="A329:A330" si="247">HYPERLINK("https://drive.google.com/drive/folders/1p3AaJPMIyf0AJ0FUikvIpA6w80UUnEg_","jeff brown stock picks for 2021")</f>
        <v>jeff brown stock picks for 2021</v>
      </c>
      <c r="B329" s="1" t="str">
        <f t="shared" ref="B329:B332" si="248">HYPERLINK("https://drive.google.com/drive/folders/1p3AaJPMIyf0AJ0FUikvIpA6w80UUnEg_","https://drive.google.com/drive/folders/1p3AaJPMIyf0AJ0FUikvIpA6w80UUnEg_")</f>
        <v>https://drive.google.com/drive/folders/1p3AaJPMIyf0AJ0FUikvIpA6w80UUnEg_</v>
      </c>
      <c r="C329" s="1" t="str">
        <f>HYPERLINK("https://drive.google.com/drive/folders/1p3AaJPMIyf0AJ0FUikvIpA6w80UUnEg_","jeff brown tech investor")</f>
        <v>jeff brown tech investor</v>
      </c>
    </row>
    <row r="330">
      <c r="A330" s="1" t="str">
        <f t="shared" si="247"/>
        <v>jeff brown stock picks for 2021</v>
      </c>
      <c r="B330" s="1" t="str">
        <f t="shared" si="248"/>
        <v>https://drive.google.com/drive/folders/1p3AaJPMIyf0AJ0FUikvIpA6w80UUnEg_</v>
      </c>
      <c r="C330" s="1" t="str">
        <f>HYPERLINK("https://drive.google.com/drive/folders/1p3AaJPMIyf0AJ0FUikvIpA6w80UUnEg_","bill5g.com")</f>
        <v>bill5g.com</v>
      </c>
    </row>
    <row r="331">
      <c r="A331" s="1" t="str">
        <f t="shared" ref="A331:A332" si="249">HYPERLINK("https://drive.google.com/drive/folders/1p3AaJPMIyf0AJ0FUikvIpA6w80UUnEg_","jeff brown investor")</f>
        <v>jeff brown investor</v>
      </c>
      <c r="B331" s="1" t="str">
        <f t="shared" si="248"/>
        <v>https://drive.google.com/drive/folders/1p3AaJPMIyf0AJ0FUikvIpA6w80UUnEg_</v>
      </c>
      <c r="C331" s="1" t="str">
        <f>HYPERLINK("https://drive.google.com/drive/folders/1p3AaJPMIyf0AJ0FUikvIpA6w80UUnEg_","jeff brown tech investor")</f>
        <v>jeff brown tech investor</v>
      </c>
    </row>
    <row r="332">
      <c r="A332" s="1" t="str">
        <f t="shared" si="249"/>
        <v>jeff brown investor</v>
      </c>
      <c r="B332" s="1" t="str">
        <f t="shared" si="248"/>
        <v>https://drive.google.com/drive/folders/1p3AaJPMIyf0AJ0FUikvIpA6w80UUnEg_</v>
      </c>
      <c r="C332" s="1" t="str">
        <f>HYPERLINK("https://drive.google.com/drive/folders/1p3AaJPMIyf0AJ0FUikvIpA6w80UUnEg_","bill5g.com")</f>
        <v>bill5g.com</v>
      </c>
    </row>
    <row r="333">
      <c r="A333" s="1" t="str">
        <f t="shared" ref="A333:A334" si="250">HYPERLINK("https://drive.google.com/drive/folders/1-d3e3yCyuCaCTLqFfzf3BNLJ2P1ymX5v","jeff brown stock picks for 2021")</f>
        <v>jeff brown stock picks for 2021</v>
      </c>
      <c r="B333" s="1" t="str">
        <f t="shared" ref="B333:B336" si="251">HYPERLINK("https://drive.google.com/drive/folders/1-d3e3yCyuCaCTLqFfzf3BNLJ2P1ymX5v","https://drive.google.com/drive/folders/1-d3e3yCyuCaCTLqFfzf3BNLJ2P1ymX5v")</f>
        <v>https://drive.google.com/drive/folders/1-d3e3yCyuCaCTLqFfzf3BNLJ2P1ymX5v</v>
      </c>
      <c r="C333" s="1" t="str">
        <f>HYPERLINK("https://drive.google.com/drive/folders/1-d3e3yCyuCaCTLqFfzf3BNLJ2P1ymX5v","jeff brown tech investor")</f>
        <v>jeff brown tech investor</v>
      </c>
    </row>
    <row r="334">
      <c r="A334" s="1" t="str">
        <f t="shared" si="250"/>
        <v>jeff brown stock picks for 2021</v>
      </c>
      <c r="B334" s="1" t="str">
        <f t="shared" si="251"/>
        <v>https://drive.google.com/drive/folders/1-d3e3yCyuCaCTLqFfzf3BNLJ2P1ymX5v</v>
      </c>
      <c r="C334" s="1" t="str">
        <f>HYPERLINK("https://drive.google.com/drive/folders/1-d3e3yCyuCaCTLqFfzf3BNLJ2P1ymX5v","bill5g.com")</f>
        <v>bill5g.com</v>
      </c>
    </row>
    <row r="335">
      <c r="A335" s="1" t="str">
        <f t="shared" ref="A335:A336" si="252">HYPERLINK("https://drive.google.com/drive/folders/1-d3e3yCyuCaCTLqFfzf3BNLJ2P1ymX5v","jeff brown investor")</f>
        <v>jeff brown investor</v>
      </c>
      <c r="B335" s="1" t="str">
        <f t="shared" si="251"/>
        <v>https://drive.google.com/drive/folders/1-d3e3yCyuCaCTLqFfzf3BNLJ2P1ymX5v</v>
      </c>
      <c r="C335" s="1" t="str">
        <f>HYPERLINK("https://drive.google.com/drive/folders/1-d3e3yCyuCaCTLqFfzf3BNLJ2P1ymX5v","jeff brown tech investor")</f>
        <v>jeff brown tech investor</v>
      </c>
    </row>
    <row r="336">
      <c r="A336" s="1" t="str">
        <f t="shared" si="252"/>
        <v>jeff brown investor</v>
      </c>
      <c r="B336" s="1" t="str">
        <f t="shared" si="251"/>
        <v>https://drive.google.com/drive/folders/1-d3e3yCyuCaCTLqFfzf3BNLJ2P1ymX5v</v>
      </c>
      <c r="C336" s="1" t="str">
        <f>HYPERLINK("https://drive.google.com/drive/folders/1-d3e3yCyuCaCTLqFfzf3BNLJ2P1ymX5v","bill5g.com")</f>
        <v>bill5g.com</v>
      </c>
    </row>
    <row r="337">
      <c r="A337" s="1" t="str">
        <f t="shared" ref="A337:A338" si="253">HYPERLINK("https://docs.google.com/spreadsheets/d/1E-ojXur6-3uFGnWjzTs4bGE9BifkqGyEm0M-8XDafxs","jeff brown stock picks for 2021")</f>
        <v>jeff brown stock picks for 2021</v>
      </c>
      <c r="B337" s="1" t="str">
        <f t="shared" ref="B337:B340" si="254">HYPERLINK("https://docs.google.com/spreadsheets/d/1E-ojXur6-3uFGnWjzTs4bGE9BifkqGyEm0M-8XDafxs","https://docs.google.com/spreadsheets/d/1E-ojXur6-3uFGnWjzTs4bGE9BifkqGyEm0M-8XDafxs")</f>
        <v>https://docs.google.com/spreadsheets/d/1E-ojXur6-3uFGnWjzTs4bGE9BifkqGyEm0M-8XDafxs</v>
      </c>
      <c r="C337" s="1" t="str">
        <f>HYPERLINK("https://docs.google.com/spreadsheets/d/1E-ojXur6-3uFGnWjzTs4bGE9BifkqGyEm0M-8XDafxs","jeff brown tech investor")</f>
        <v>jeff brown tech investor</v>
      </c>
    </row>
    <row r="338">
      <c r="A338" s="1" t="str">
        <f t="shared" si="253"/>
        <v>jeff brown stock picks for 2021</v>
      </c>
      <c r="B338" s="1" t="str">
        <f t="shared" si="254"/>
        <v>https://docs.google.com/spreadsheets/d/1E-ojXur6-3uFGnWjzTs4bGE9BifkqGyEm0M-8XDafxs</v>
      </c>
      <c r="C338" s="1" t="str">
        <f>HYPERLINK("https://docs.google.com/spreadsheets/d/1E-ojXur6-3uFGnWjzTs4bGE9BifkqGyEm0M-8XDafxs","bill5g.com")</f>
        <v>bill5g.com</v>
      </c>
    </row>
    <row r="339">
      <c r="A339" s="1" t="str">
        <f t="shared" ref="A339:A340" si="255">HYPERLINK("https://docs.google.com/spreadsheets/d/1E-ojXur6-3uFGnWjzTs4bGE9BifkqGyEm0M-8XDafxs","jeff brown investor")</f>
        <v>jeff brown investor</v>
      </c>
      <c r="B339" s="1" t="str">
        <f t="shared" si="254"/>
        <v>https://docs.google.com/spreadsheets/d/1E-ojXur6-3uFGnWjzTs4bGE9BifkqGyEm0M-8XDafxs</v>
      </c>
      <c r="C339" s="1" t="str">
        <f>HYPERLINK("https://docs.google.com/spreadsheets/d/1E-ojXur6-3uFGnWjzTs4bGE9BifkqGyEm0M-8XDafxs","jeff brown tech investor")</f>
        <v>jeff brown tech investor</v>
      </c>
    </row>
    <row r="340">
      <c r="A340" s="1" t="str">
        <f t="shared" si="255"/>
        <v>jeff brown investor</v>
      </c>
      <c r="B340" s="1" t="str">
        <f t="shared" si="254"/>
        <v>https://docs.google.com/spreadsheets/d/1E-ojXur6-3uFGnWjzTs4bGE9BifkqGyEm0M-8XDafxs</v>
      </c>
      <c r="C340" s="1" t="str">
        <f>HYPERLINK("https://docs.google.com/spreadsheets/d/1E-ojXur6-3uFGnWjzTs4bGE9BifkqGyEm0M-8XDafxs","bill5g.com")</f>
        <v>bill5g.com</v>
      </c>
    </row>
    <row r="341">
      <c r="A341" s="1" t="str">
        <f t="shared" ref="A341:A342" si="256">HYPERLINK("https://drive.google.com/drive/folders/1zsqR9FRLCVWRzHfhFCYK3WYEMcj1M21f","jeff brown stock picks for 2021")</f>
        <v>jeff brown stock picks for 2021</v>
      </c>
      <c r="B341" s="1" t="str">
        <f t="shared" ref="B341:B344" si="257">HYPERLINK("https://drive.google.com/drive/folders/1zsqR9FRLCVWRzHfhFCYK3WYEMcj1M21f","https://drive.google.com/drive/folders/1zsqR9FRLCVWRzHfhFCYK3WYEMcj1M21f")</f>
        <v>https://drive.google.com/drive/folders/1zsqR9FRLCVWRzHfhFCYK3WYEMcj1M21f</v>
      </c>
      <c r="C341" s="1" t="str">
        <f>HYPERLINK("https://drive.google.com/drive/folders/1zsqR9FRLCVWRzHfhFCYK3WYEMcj1M21f","jeff brown tech investor")</f>
        <v>jeff brown tech investor</v>
      </c>
    </row>
    <row r="342">
      <c r="A342" s="1" t="str">
        <f t="shared" si="256"/>
        <v>jeff brown stock picks for 2021</v>
      </c>
      <c r="B342" s="1" t="str">
        <f t="shared" si="257"/>
        <v>https://drive.google.com/drive/folders/1zsqR9FRLCVWRzHfhFCYK3WYEMcj1M21f</v>
      </c>
      <c r="C342" s="1" t="str">
        <f>HYPERLINK("https://drive.google.com/drive/folders/1zsqR9FRLCVWRzHfhFCYK3WYEMcj1M21f","bill5g.com")</f>
        <v>bill5g.com</v>
      </c>
    </row>
    <row r="343">
      <c r="A343" s="1" t="str">
        <f t="shared" ref="A343:A344" si="258">HYPERLINK("https://drive.google.com/drive/folders/1zsqR9FRLCVWRzHfhFCYK3WYEMcj1M21f","jeff brown investor")</f>
        <v>jeff brown investor</v>
      </c>
      <c r="B343" s="1" t="str">
        <f t="shared" si="257"/>
        <v>https://drive.google.com/drive/folders/1zsqR9FRLCVWRzHfhFCYK3WYEMcj1M21f</v>
      </c>
      <c r="C343" s="1" t="str">
        <f>HYPERLINK("https://drive.google.com/drive/folders/1zsqR9FRLCVWRzHfhFCYK3WYEMcj1M21f","jeff brown tech investor")</f>
        <v>jeff brown tech investor</v>
      </c>
    </row>
    <row r="344">
      <c r="A344" s="1" t="str">
        <f t="shared" si="258"/>
        <v>jeff brown investor</v>
      </c>
      <c r="B344" s="1" t="str">
        <f t="shared" si="257"/>
        <v>https://drive.google.com/drive/folders/1zsqR9FRLCVWRzHfhFCYK3WYEMcj1M21f</v>
      </c>
      <c r="C344" s="1" t="str">
        <f>HYPERLINK("https://drive.google.com/drive/folders/1zsqR9FRLCVWRzHfhFCYK3WYEMcj1M21f","bill5g.com")</f>
        <v>bill5g.com</v>
      </c>
    </row>
    <row r="345">
      <c r="A345" s="1" t="str">
        <f t="shared" ref="A345:A346" si="259">HYPERLINK("https://docs.google.com/spreadsheets/d/1IxcN-SP_Afxaiu5Ab7Uh1rHEO8k3Xvn8CU8l0w-GdaE","jeff brown stock picks for 2021")</f>
        <v>jeff brown stock picks for 2021</v>
      </c>
      <c r="B345" s="1" t="str">
        <f t="shared" ref="B345:B348" si="260">HYPERLINK("https://docs.google.com/spreadsheets/d/1IxcN-SP_Afxaiu5Ab7Uh1rHEO8k3Xvn8CU8l0w-GdaE","https://docs.google.com/spreadsheets/d/1IxcN-SP_Afxaiu5Ab7Uh1rHEO8k3Xvn8CU8l0w-GdaE")</f>
        <v>https://docs.google.com/spreadsheets/d/1IxcN-SP_Afxaiu5Ab7Uh1rHEO8k3Xvn8CU8l0w-GdaE</v>
      </c>
      <c r="C345" s="1" t="str">
        <f>HYPERLINK("https://docs.google.com/spreadsheets/d/1IxcN-SP_Afxaiu5Ab7Uh1rHEO8k3Xvn8CU8l0w-GdaE","jeff brown tech investor")</f>
        <v>jeff brown tech investor</v>
      </c>
    </row>
    <row r="346">
      <c r="A346" s="1" t="str">
        <f t="shared" si="259"/>
        <v>jeff brown stock picks for 2021</v>
      </c>
      <c r="B346" s="1" t="str">
        <f t="shared" si="260"/>
        <v>https://docs.google.com/spreadsheets/d/1IxcN-SP_Afxaiu5Ab7Uh1rHEO8k3Xvn8CU8l0w-GdaE</v>
      </c>
      <c r="C346" s="1" t="str">
        <f>HYPERLINK("https://docs.google.com/spreadsheets/d/1IxcN-SP_Afxaiu5Ab7Uh1rHEO8k3Xvn8CU8l0w-GdaE","bill5g.com")</f>
        <v>bill5g.com</v>
      </c>
    </row>
    <row r="347">
      <c r="A347" s="1" t="str">
        <f t="shared" ref="A347:A348" si="261">HYPERLINK("https://docs.google.com/spreadsheets/d/1IxcN-SP_Afxaiu5Ab7Uh1rHEO8k3Xvn8CU8l0w-GdaE","jeff brown investor")</f>
        <v>jeff brown investor</v>
      </c>
      <c r="B347" s="1" t="str">
        <f t="shared" si="260"/>
        <v>https://docs.google.com/spreadsheets/d/1IxcN-SP_Afxaiu5Ab7Uh1rHEO8k3Xvn8CU8l0w-GdaE</v>
      </c>
      <c r="C347" s="1" t="str">
        <f>HYPERLINK("https://docs.google.com/spreadsheets/d/1IxcN-SP_Afxaiu5Ab7Uh1rHEO8k3Xvn8CU8l0w-GdaE","jeff brown tech investor")</f>
        <v>jeff brown tech investor</v>
      </c>
    </row>
    <row r="348">
      <c r="A348" s="1" t="str">
        <f t="shared" si="261"/>
        <v>jeff brown investor</v>
      </c>
      <c r="B348" s="1" t="str">
        <f t="shared" si="260"/>
        <v>https://docs.google.com/spreadsheets/d/1IxcN-SP_Afxaiu5Ab7Uh1rHEO8k3Xvn8CU8l0w-GdaE</v>
      </c>
      <c r="C348" s="1" t="str">
        <f>HYPERLINK("https://docs.google.com/spreadsheets/d/1IxcN-SP_Afxaiu5Ab7Uh1rHEO8k3Xvn8CU8l0w-GdaE","bill5g.com")</f>
        <v>bill5g.com</v>
      </c>
    </row>
    <row r="349">
      <c r="A349" s="1" t="str">
        <f t="shared" ref="A349:A350" si="262">HYPERLINK("https://docs.google.com/spreadsheets/d/1UoJWsqHxXpJqhu1t8g_8zAhcySthaeBUkrjYcgKUmvQ","jeff brown stock picks for 2021")</f>
        <v>jeff brown stock picks for 2021</v>
      </c>
      <c r="B349" s="1" t="str">
        <f t="shared" ref="B349:B352" si="263">HYPERLINK("https://docs.google.com/spreadsheets/d/1UoJWsqHxXpJqhu1t8g_8zAhcySthaeBUkrjYcgKUmvQ","https://docs.google.com/spreadsheets/d/1UoJWsqHxXpJqhu1t8g_8zAhcySthaeBUkrjYcgKUmvQ")</f>
        <v>https://docs.google.com/spreadsheets/d/1UoJWsqHxXpJqhu1t8g_8zAhcySthaeBUkrjYcgKUmvQ</v>
      </c>
      <c r="C349" s="1" t="str">
        <f>HYPERLINK("https://docs.google.com/spreadsheets/d/1UoJWsqHxXpJqhu1t8g_8zAhcySthaeBUkrjYcgKUmvQ","jeff brown tech investor")</f>
        <v>jeff brown tech investor</v>
      </c>
    </row>
    <row r="350">
      <c r="A350" s="1" t="str">
        <f t="shared" si="262"/>
        <v>jeff brown stock picks for 2021</v>
      </c>
      <c r="B350" s="1" t="str">
        <f t="shared" si="263"/>
        <v>https://docs.google.com/spreadsheets/d/1UoJWsqHxXpJqhu1t8g_8zAhcySthaeBUkrjYcgKUmvQ</v>
      </c>
      <c r="C350" s="1" t="str">
        <f>HYPERLINK("https://docs.google.com/spreadsheets/d/1UoJWsqHxXpJqhu1t8g_8zAhcySthaeBUkrjYcgKUmvQ","bill5g.com")</f>
        <v>bill5g.com</v>
      </c>
    </row>
    <row r="351">
      <c r="A351" s="1" t="str">
        <f t="shared" ref="A351:A352" si="264">HYPERLINK("https://docs.google.com/spreadsheets/d/1UoJWsqHxXpJqhu1t8g_8zAhcySthaeBUkrjYcgKUmvQ","jeff brown investor")</f>
        <v>jeff brown investor</v>
      </c>
      <c r="B351" s="1" t="str">
        <f t="shared" si="263"/>
        <v>https://docs.google.com/spreadsheets/d/1UoJWsqHxXpJqhu1t8g_8zAhcySthaeBUkrjYcgKUmvQ</v>
      </c>
      <c r="C351" s="1" t="str">
        <f>HYPERLINK("https://docs.google.com/spreadsheets/d/1UoJWsqHxXpJqhu1t8g_8zAhcySthaeBUkrjYcgKUmvQ","jeff brown tech investor")</f>
        <v>jeff brown tech investor</v>
      </c>
    </row>
    <row r="352">
      <c r="A352" s="1" t="str">
        <f t="shared" si="264"/>
        <v>jeff brown investor</v>
      </c>
      <c r="B352" s="1" t="str">
        <f t="shared" si="263"/>
        <v>https://docs.google.com/spreadsheets/d/1UoJWsqHxXpJqhu1t8g_8zAhcySthaeBUkrjYcgKUmvQ</v>
      </c>
      <c r="C352" s="1" t="str">
        <f>HYPERLINK("https://docs.google.com/spreadsheets/d/1UoJWsqHxXpJqhu1t8g_8zAhcySthaeBUkrjYcgKUmvQ","bill5g.com")</f>
        <v>bill5g.com</v>
      </c>
    </row>
    <row r="353">
      <c r="A353" s="1" t="str">
        <f t="shared" ref="A353:A354" si="265">HYPERLINK("https://drive.google.com/drive/folders/1yEWUJ7a2P6ibupu1BGILkQFcamY3USDR","jeff brown stock picks for 2021")</f>
        <v>jeff brown stock picks for 2021</v>
      </c>
      <c r="B353" s="1" t="str">
        <f t="shared" ref="B353:B356" si="266">HYPERLINK("https://drive.google.com/drive/folders/1yEWUJ7a2P6ibupu1BGILkQFcamY3USDR","https://drive.google.com/drive/folders/1yEWUJ7a2P6ibupu1BGILkQFcamY3USDR")</f>
        <v>https://drive.google.com/drive/folders/1yEWUJ7a2P6ibupu1BGILkQFcamY3USDR</v>
      </c>
      <c r="C353" s="1" t="str">
        <f>HYPERLINK("https://drive.google.com/drive/folders/1yEWUJ7a2P6ibupu1BGILkQFcamY3USDR","jeff brown tech investor")</f>
        <v>jeff brown tech investor</v>
      </c>
    </row>
    <row r="354">
      <c r="A354" s="1" t="str">
        <f t="shared" si="265"/>
        <v>jeff brown stock picks for 2021</v>
      </c>
      <c r="B354" s="1" t="str">
        <f t="shared" si="266"/>
        <v>https://drive.google.com/drive/folders/1yEWUJ7a2P6ibupu1BGILkQFcamY3USDR</v>
      </c>
      <c r="C354" s="1" t="str">
        <f>HYPERLINK("https://drive.google.com/drive/folders/1yEWUJ7a2P6ibupu1BGILkQFcamY3USDR","bill5g.com")</f>
        <v>bill5g.com</v>
      </c>
    </row>
    <row r="355">
      <c r="A355" s="1" t="str">
        <f t="shared" ref="A355:A356" si="267">HYPERLINK("https://drive.google.com/drive/folders/1yEWUJ7a2P6ibupu1BGILkQFcamY3USDR","jeff brown investor")</f>
        <v>jeff brown investor</v>
      </c>
      <c r="B355" s="1" t="str">
        <f t="shared" si="266"/>
        <v>https://drive.google.com/drive/folders/1yEWUJ7a2P6ibupu1BGILkQFcamY3USDR</v>
      </c>
      <c r="C355" s="1" t="str">
        <f>HYPERLINK("https://drive.google.com/drive/folders/1yEWUJ7a2P6ibupu1BGILkQFcamY3USDR","jeff brown tech investor")</f>
        <v>jeff brown tech investor</v>
      </c>
    </row>
    <row r="356">
      <c r="A356" s="1" t="str">
        <f t="shared" si="267"/>
        <v>jeff brown investor</v>
      </c>
      <c r="B356" s="1" t="str">
        <f t="shared" si="266"/>
        <v>https://drive.google.com/drive/folders/1yEWUJ7a2P6ibupu1BGILkQFcamY3USDR</v>
      </c>
      <c r="C356" s="1" t="str">
        <f>HYPERLINK("https://drive.google.com/drive/folders/1yEWUJ7a2P6ibupu1BGILkQFcamY3USDR","bill5g.com")</f>
        <v>bill5g.com</v>
      </c>
    </row>
    <row r="357">
      <c r="A357" s="1" t="str">
        <f t="shared" ref="A357:A358" si="268">HYPERLINK("https://docs.google.com/spreadsheets/d/1ivN9JnUvaPZ1xO7_E8Ia23N_W-KCpjSIsJOJK9nXnIA","jeff brown stock picks for 2021")</f>
        <v>jeff brown stock picks for 2021</v>
      </c>
      <c r="B357" s="1" t="str">
        <f t="shared" ref="B357:B360" si="269">HYPERLINK("https://docs.google.com/spreadsheets/d/1ivN9JnUvaPZ1xO7_E8Ia23N_W-KCpjSIsJOJK9nXnIA","https://docs.google.com/spreadsheets/d/1ivN9JnUvaPZ1xO7_E8Ia23N_W-KCpjSIsJOJK9nXnIA")</f>
        <v>https://docs.google.com/spreadsheets/d/1ivN9JnUvaPZ1xO7_E8Ia23N_W-KCpjSIsJOJK9nXnIA</v>
      </c>
      <c r="C357" s="1" t="str">
        <f>HYPERLINK("https://docs.google.com/spreadsheets/d/1ivN9JnUvaPZ1xO7_E8Ia23N_W-KCpjSIsJOJK9nXnIA","jeff brown tech investor")</f>
        <v>jeff brown tech investor</v>
      </c>
    </row>
    <row r="358">
      <c r="A358" s="1" t="str">
        <f t="shared" si="268"/>
        <v>jeff brown stock picks for 2021</v>
      </c>
      <c r="B358" s="1" t="str">
        <f t="shared" si="269"/>
        <v>https://docs.google.com/spreadsheets/d/1ivN9JnUvaPZ1xO7_E8Ia23N_W-KCpjSIsJOJK9nXnIA</v>
      </c>
      <c r="C358" s="1" t="str">
        <f>HYPERLINK("https://docs.google.com/spreadsheets/d/1ivN9JnUvaPZ1xO7_E8Ia23N_W-KCpjSIsJOJK9nXnIA","bill5g.com")</f>
        <v>bill5g.com</v>
      </c>
    </row>
    <row r="359">
      <c r="A359" s="1" t="str">
        <f t="shared" ref="A359:A360" si="270">HYPERLINK("https://docs.google.com/spreadsheets/d/1ivN9JnUvaPZ1xO7_E8Ia23N_W-KCpjSIsJOJK9nXnIA","jeff brown investor")</f>
        <v>jeff brown investor</v>
      </c>
      <c r="B359" s="1" t="str">
        <f t="shared" si="269"/>
        <v>https://docs.google.com/spreadsheets/d/1ivN9JnUvaPZ1xO7_E8Ia23N_W-KCpjSIsJOJK9nXnIA</v>
      </c>
      <c r="C359" s="1" t="str">
        <f>HYPERLINK("https://docs.google.com/spreadsheets/d/1ivN9JnUvaPZ1xO7_E8Ia23N_W-KCpjSIsJOJK9nXnIA","jeff brown tech investor")</f>
        <v>jeff brown tech investor</v>
      </c>
    </row>
    <row r="360">
      <c r="A360" s="1" t="str">
        <f t="shared" si="270"/>
        <v>jeff brown investor</v>
      </c>
      <c r="B360" s="1" t="str">
        <f t="shared" si="269"/>
        <v>https://docs.google.com/spreadsheets/d/1ivN9JnUvaPZ1xO7_E8Ia23N_W-KCpjSIsJOJK9nXnIA</v>
      </c>
      <c r="C360" s="1" t="str">
        <f>HYPERLINK("https://docs.google.com/spreadsheets/d/1ivN9JnUvaPZ1xO7_E8Ia23N_W-KCpjSIsJOJK9nXnIA","bill5g.com")</f>
        <v>bill5g.com</v>
      </c>
    </row>
    <row r="361">
      <c r="A361" s="1" t="str">
        <f t="shared" ref="A361:A362" si="271">HYPERLINK("https://drive.google.com/drive/folders/1KKjxIWxZV0dK4Eldxa33QRD8vrBIjoqH","jeff brown stock picks for 2021")</f>
        <v>jeff brown stock picks for 2021</v>
      </c>
      <c r="B361" s="1" t="str">
        <f t="shared" ref="B361:B364" si="272">HYPERLINK("https://drive.google.com/drive/folders/1KKjxIWxZV0dK4Eldxa33QRD8vrBIjoqH","https://drive.google.com/drive/folders/1KKjxIWxZV0dK4Eldxa33QRD8vrBIjoqH")</f>
        <v>https://drive.google.com/drive/folders/1KKjxIWxZV0dK4Eldxa33QRD8vrBIjoqH</v>
      </c>
      <c r="C361" s="1" t="str">
        <f>HYPERLINK("https://drive.google.com/drive/folders/1KKjxIWxZV0dK4Eldxa33QRD8vrBIjoqH","jeff brown tech investor")</f>
        <v>jeff brown tech investor</v>
      </c>
    </row>
    <row r="362">
      <c r="A362" s="1" t="str">
        <f t="shared" si="271"/>
        <v>jeff brown stock picks for 2021</v>
      </c>
      <c r="B362" s="1" t="str">
        <f t="shared" si="272"/>
        <v>https://drive.google.com/drive/folders/1KKjxIWxZV0dK4Eldxa33QRD8vrBIjoqH</v>
      </c>
      <c r="C362" s="1" t="str">
        <f>HYPERLINK("https://drive.google.com/drive/folders/1KKjxIWxZV0dK4Eldxa33QRD8vrBIjoqH","bill5g.com")</f>
        <v>bill5g.com</v>
      </c>
    </row>
    <row r="363">
      <c r="A363" s="1" t="str">
        <f t="shared" ref="A363:A364" si="273">HYPERLINK("https://drive.google.com/drive/folders/1KKjxIWxZV0dK4Eldxa33QRD8vrBIjoqH","jeff brown investor")</f>
        <v>jeff brown investor</v>
      </c>
      <c r="B363" s="1" t="str">
        <f t="shared" si="272"/>
        <v>https://drive.google.com/drive/folders/1KKjxIWxZV0dK4Eldxa33QRD8vrBIjoqH</v>
      </c>
      <c r="C363" s="1" t="str">
        <f>HYPERLINK("https://drive.google.com/drive/folders/1KKjxIWxZV0dK4Eldxa33QRD8vrBIjoqH","jeff brown tech investor")</f>
        <v>jeff brown tech investor</v>
      </c>
    </row>
    <row r="364">
      <c r="A364" s="1" t="str">
        <f t="shared" si="273"/>
        <v>jeff brown investor</v>
      </c>
      <c r="B364" s="1" t="str">
        <f t="shared" si="272"/>
        <v>https://drive.google.com/drive/folders/1KKjxIWxZV0dK4Eldxa33QRD8vrBIjoqH</v>
      </c>
      <c r="C364" s="1" t="str">
        <f>HYPERLINK("https://drive.google.com/drive/folders/1KKjxIWxZV0dK4Eldxa33QRD8vrBIjoqH","bill5g.com")</f>
        <v>bill5g.com</v>
      </c>
    </row>
    <row r="365">
      <c r="A365" s="1" t="str">
        <f t="shared" ref="A365:A366" si="274">HYPERLINK("https://drive.google.com/drive/folders/1sdKtmZnep4h1jsz7hc9yUyVsZ96khFqA","jeff brown stock picks for 2021")</f>
        <v>jeff brown stock picks for 2021</v>
      </c>
      <c r="B365" s="1" t="str">
        <f t="shared" ref="B365:B368" si="275">HYPERLINK("https://drive.google.com/drive/folders/1sdKtmZnep4h1jsz7hc9yUyVsZ96khFqA","https://drive.google.com/drive/folders/1sdKtmZnep4h1jsz7hc9yUyVsZ96khFqA")</f>
        <v>https://drive.google.com/drive/folders/1sdKtmZnep4h1jsz7hc9yUyVsZ96khFqA</v>
      </c>
      <c r="C365" s="1" t="str">
        <f>HYPERLINK("https://drive.google.com/drive/folders/1sdKtmZnep4h1jsz7hc9yUyVsZ96khFqA","jeff brown tech investor")</f>
        <v>jeff brown tech investor</v>
      </c>
    </row>
    <row r="366">
      <c r="A366" s="1" t="str">
        <f t="shared" si="274"/>
        <v>jeff brown stock picks for 2021</v>
      </c>
      <c r="B366" s="1" t="str">
        <f t="shared" si="275"/>
        <v>https://drive.google.com/drive/folders/1sdKtmZnep4h1jsz7hc9yUyVsZ96khFqA</v>
      </c>
      <c r="C366" s="1" t="str">
        <f>HYPERLINK("https://drive.google.com/drive/folders/1sdKtmZnep4h1jsz7hc9yUyVsZ96khFqA","bill5g.com")</f>
        <v>bill5g.com</v>
      </c>
    </row>
    <row r="367">
      <c r="A367" s="1" t="str">
        <f t="shared" ref="A367:A368" si="276">HYPERLINK("https://drive.google.com/drive/folders/1sdKtmZnep4h1jsz7hc9yUyVsZ96khFqA","jeff brown investor")</f>
        <v>jeff brown investor</v>
      </c>
      <c r="B367" s="1" t="str">
        <f t="shared" si="275"/>
        <v>https://drive.google.com/drive/folders/1sdKtmZnep4h1jsz7hc9yUyVsZ96khFqA</v>
      </c>
      <c r="C367" s="1" t="str">
        <f>HYPERLINK("https://drive.google.com/drive/folders/1sdKtmZnep4h1jsz7hc9yUyVsZ96khFqA","jeff brown tech investor")</f>
        <v>jeff brown tech investor</v>
      </c>
    </row>
    <row r="368">
      <c r="A368" s="1" t="str">
        <f t="shared" si="276"/>
        <v>jeff brown investor</v>
      </c>
      <c r="B368" s="1" t="str">
        <f t="shared" si="275"/>
        <v>https://drive.google.com/drive/folders/1sdKtmZnep4h1jsz7hc9yUyVsZ96khFqA</v>
      </c>
      <c r="C368" s="1" t="str">
        <f>HYPERLINK("https://drive.google.com/drive/folders/1sdKtmZnep4h1jsz7hc9yUyVsZ96khFqA","bill5g.com")</f>
        <v>bill5g.com</v>
      </c>
    </row>
    <row r="369">
      <c r="A369" s="1" t="str">
        <f t="shared" ref="A369:A370" si="277">HYPERLINK("https://docs.google.com/spreadsheets/d/1jVLgAz4Po9MMXfxCPu466lebH0pBPXNG1UGjr3713TM","jeff brown stock picks for 2021")</f>
        <v>jeff brown stock picks for 2021</v>
      </c>
      <c r="B369" s="1" t="str">
        <f t="shared" ref="B369:B372" si="278">HYPERLINK("https://docs.google.com/spreadsheets/d/1jVLgAz4Po9MMXfxCPu466lebH0pBPXNG1UGjr3713TM","https://docs.google.com/spreadsheets/d/1jVLgAz4Po9MMXfxCPu466lebH0pBPXNG1UGjr3713TM")</f>
        <v>https://docs.google.com/spreadsheets/d/1jVLgAz4Po9MMXfxCPu466lebH0pBPXNG1UGjr3713TM</v>
      </c>
      <c r="C369" s="1" t="str">
        <f>HYPERLINK("https://docs.google.com/spreadsheets/d/1jVLgAz4Po9MMXfxCPu466lebH0pBPXNG1UGjr3713TM","jeff brown tech investor")</f>
        <v>jeff brown tech investor</v>
      </c>
    </row>
    <row r="370">
      <c r="A370" s="1" t="str">
        <f t="shared" si="277"/>
        <v>jeff brown stock picks for 2021</v>
      </c>
      <c r="B370" s="1" t="str">
        <f t="shared" si="278"/>
        <v>https://docs.google.com/spreadsheets/d/1jVLgAz4Po9MMXfxCPu466lebH0pBPXNG1UGjr3713TM</v>
      </c>
      <c r="C370" s="1" t="str">
        <f>HYPERLINK("https://docs.google.com/spreadsheets/d/1jVLgAz4Po9MMXfxCPu466lebH0pBPXNG1UGjr3713TM","bill5g.com")</f>
        <v>bill5g.com</v>
      </c>
    </row>
    <row r="371">
      <c r="A371" s="1" t="str">
        <f t="shared" ref="A371:A372" si="279">HYPERLINK("https://docs.google.com/spreadsheets/d/1jVLgAz4Po9MMXfxCPu466lebH0pBPXNG1UGjr3713TM","jeff brown investor")</f>
        <v>jeff brown investor</v>
      </c>
      <c r="B371" s="1" t="str">
        <f t="shared" si="278"/>
        <v>https://docs.google.com/spreadsheets/d/1jVLgAz4Po9MMXfxCPu466lebH0pBPXNG1UGjr3713TM</v>
      </c>
      <c r="C371" s="1" t="str">
        <f>HYPERLINK("https://docs.google.com/spreadsheets/d/1jVLgAz4Po9MMXfxCPu466lebH0pBPXNG1UGjr3713TM","jeff brown tech investor")</f>
        <v>jeff brown tech investor</v>
      </c>
    </row>
    <row r="372">
      <c r="A372" s="1" t="str">
        <f t="shared" si="279"/>
        <v>jeff brown investor</v>
      </c>
      <c r="B372" s="1" t="str">
        <f t="shared" si="278"/>
        <v>https://docs.google.com/spreadsheets/d/1jVLgAz4Po9MMXfxCPu466lebH0pBPXNG1UGjr3713TM</v>
      </c>
      <c r="C372" s="1" t="str">
        <f>HYPERLINK("https://docs.google.com/spreadsheets/d/1jVLgAz4Po9MMXfxCPu466lebH0pBPXNG1UGjr3713TM","bill5g.com")</f>
        <v>bill5g.com</v>
      </c>
    </row>
    <row r="373">
      <c r="A373" s="1" t="str">
        <f t="shared" ref="A373:A374" si="280">HYPERLINK("https://docs.google.com/spreadsheets/d/1z4x1_aPEnwqmVHKhaQ7rdXa4CrlBcJXWIrE2l-v06SY","jeff brown stock picks for 2021")</f>
        <v>jeff brown stock picks for 2021</v>
      </c>
      <c r="B373" s="1" t="str">
        <f t="shared" ref="B373:B376" si="281">HYPERLINK("https://docs.google.com/spreadsheets/d/1z4x1_aPEnwqmVHKhaQ7rdXa4CrlBcJXWIrE2l-v06SY","https://docs.google.com/spreadsheets/d/1z4x1_aPEnwqmVHKhaQ7rdXa4CrlBcJXWIrE2l-v06SY")</f>
        <v>https://docs.google.com/spreadsheets/d/1z4x1_aPEnwqmVHKhaQ7rdXa4CrlBcJXWIrE2l-v06SY</v>
      </c>
      <c r="C373" s="1" t="str">
        <f>HYPERLINK("https://docs.google.com/spreadsheets/d/1z4x1_aPEnwqmVHKhaQ7rdXa4CrlBcJXWIrE2l-v06SY","jeff brown tech investor")</f>
        <v>jeff brown tech investor</v>
      </c>
    </row>
    <row r="374">
      <c r="A374" s="1" t="str">
        <f t="shared" si="280"/>
        <v>jeff brown stock picks for 2021</v>
      </c>
      <c r="B374" s="1" t="str">
        <f t="shared" si="281"/>
        <v>https://docs.google.com/spreadsheets/d/1z4x1_aPEnwqmVHKhaQ7rdXa4CrlBcJXWIrE2l-v06SY</v>
      </c>
      <c r="C374" s="1" t="str">
        <f>HYPERLINK("https://docs.google.com/spreadsheets/d/1z4x1_aPEnwqmVHKhaQ7rdXa4CrlBcJXWIrE2l-v06SY","bill5g.com")</f>
        <v>bill5g.com</v>
      </c>
    </row>
    <row r="375">
      <c r="A375" s="1" t="str">
        <f t="shared" ref="A375:A376" si="282">HYPERLINK("https://docs.google.com/spreadsheets/d/1z4x1_aPEnwqmVHKhaQ7rdXa4CrlBcJXWIrE2l-v06SY","jeff brown investor")</f>
        <v>jeff brown investor</v>
      </c>
      <c r="B375" s="1" t="str">
        <f t="shared" si="281"/>
        <v>https://docs.google.com/spreadsheets/d/1z4x1_aPEnwqmVHKhaQ7rdXa4CrlBcJXWIrE2l-v06SY</v>
      </c>
      <c r="C375" s="1" t="str">
        <f>HYPERLINK("https://docs.google.com/spreadsheets/d/1z4x1_aPEnwqmVHKhaQ7rdXa4CrlBcJXWIrE2l-v06SY","jeff brown tech investor")</f>
        <v>jeff brown tech investor</v>
      </c>
    </row>
    <row r="376">
      <c r="A376" s="1" t="str">
        <f t="shared" si="282"/>
        <v>jeff brown investor</v>
      </c>
      <c r="B376" s="1" t="str">
        <f t="shared" si="281"/>
        <v>https://docs.google.com/spreadsheets/d/1z4x1_aPEnwqmVHKhaQ7rdXa4CrlBcJXWIrE2l-v06SY</v>
      </c>
      <c r="C376" s="1" t="str">
        <f>HYPERLINK("https://docs.google.com/spreadsheets/d/1z4x1_aPEnwqmVHKhaQ7rdXa4CrlBcJXWIrE2l-v06SY","bill5g.com")</f>
        <v>bill5g.com</v>
      </c>
    </row>
    <row r="377">
      <c r="A377" s="1" t="str">
        <f t="shared" ref="A377:A378" si="283">HYPERLINK("https://docs.google.com/spreadsheets/d/1p0xaI5SVSkwwtaxQfbM5pajA0XlHU4FtaWTB32VYoho","jeff brown stock picks for 2021")</f>
        <v>jeff brown stock picks for 2021</v>
      </c>
      <c r="B377" s="1" t="str">
        <f t="shared" ref="B377:B380" si="284">HYPERLINK("https://docs.google.com/spreadsheets/d/1p0xaI5SVSkwwtaxQfbM5pajA0XlHU4FtaWTB32VYoho","https://docs.google.com/spreadsheets/d/1p0xaI5SVSkwwtaxQfbM5pajA0XlHU4FtaWTB32VYoho")</f>
        <v>https://docs.google.com/spreadsheets/d/1p0xaI5SVSkwwtaxQfbM5pajA0XlHU4FtaWTB32VYoho</v>
      </c>
      <c r="C377" s="1" t="str">
        <f>HYPERLINK("https://docs.google.com/spreadsheets/d/1p0xaI5SVSkwwtaxQfbM5pajA0XlHU4FtaWTB32VYoho","jeff brown tech investor")</f>
        <v>jeff brown tech investor</v>
      </c>
    </row>
    <row r="378">
      <c r="A378" s="1" t="str">
        <f t="shared" si="283"/>
        <v>jeff brown stock picks for 2021</v>
      </c>
      <c r="B378" s="1" t="str">
        <f t="shared" si="284"/>
        <v>https://docs.google.com/spreadsheets/d/1p0xaI5SVSkwwtaxQfbM5pajA0XlHU4FtaWTB32VYoho</v>
      </c>
      <c r="C378" s="1" t="str">
        <f>HYPERLINK("https://docs.google.com/spreadsheets/d/1p0xaI5SVSkwwtaxQfbM5pajA0XlHU4FtaWTB32VYoho","bill5g.com")</f>
        <v>bill5g.com</v>
      </c>
    </row>
    <row r="379">
      <c r="A379" s="1" t="str">
        <f t="shared" ref="A379:A380" si="285">HYPERLINK("https://docs.google.com/spreadsheets/d/1p0xaI5SVSkwwtaxQfbM5pajA0XlHU4FtaWTB32VYoho","jeff brown investor")</f>
        <v>jeff brown investor</v>
      </c>
      <c r="B379" s="1" t="str">
        <f t="shared" si="284"/>
        <v>https://docs.google.com/spreadsheets/d/1p0xaI5SVSkwwtaxQfbM5pajA0XlHU4FtaWTB32VYoho</v>
      </c>
      <c r="C379" s="1" t="str">
        <f>HYPERLINK("https://docs.google.com/spreadsheets/d/1p0xaI5SVSkwwtaxQfbM5pajA0XlHU4FtaWTB32VYoho","jeff brown tech investor")</f>
        <v>jeff brown tech investor</v>
      </c>
    </row>
    <row r="380">
      <c r="A380" s="1" t="str">
        <f t="shared" si="285"/>
        <v>jeff brown investor</v>
      </c>
      <c r="B380" s="1" t="str">
        <f t="shared" si="284"/>
        <v>https://docs.google.com/spreadsheets/d/1p0xaI5SVSkwwtaxQfbM5pajA0XlHU4FtaWTB32VYoho</v>
      </c>
      <c r="C380" s="1" t="str">
        <f>HYPERLINK("https://docs.google.com/spreadsheets/d/1p0xaI5SVSkwwtaxQfbM5pajA0XlHU4FtaWTB32VYoho","bill5g.com")</f>
        <v>bill5g.com</v>
      </c>
    </row>
    <row r="381">
      <c r="A381" s="1" t="str">
        <f t="shared" ref="A381:A382" si="286">HYPERLINK("https://drive.google.com/drive/folders/1Pj2uzn0ykXq_BSu4oaoBLiReru5XttvK","jeff brown stock picks for 2021")</f>
        <v>jeff brown stock picks for 2021</v>
      </c>
      <c r="B381" s="1" t="str">
        <f t="shared" ref="B381:B384" si="287">HYPERLINK("https://drive.google.com/drive/folders/1Pj2uzn0ykXq_BSu4oaoBLiReru5XttvK","https://drive.google.com/drive/folders/1Pj2uzn0ykXq_BSu4oaoBLiReru5XttvK")</f>
        <v>https://drive.google.com/drive/folders/1Pj2uzn0ykXq_BSu4oaoBLiReru5XttvK</v>
      </c>
      <c r="C381" s="1" t="str">
        <f>HYPERLINK("https://drive.google.com/drive/folders/1Pj2uzn0ykXq_BSu4oaoBLiReru5XttvK","jeff brown tech investor")</f>
        <v>jeff brown tech investor</v>
      </c>
    </row>
    <row r="382">
      <c r="A382" s="1" t="str">
        <f t="shared" si="286"/>
        <v>jeff brown stock picks for 2021</v>
      </c>
      <c r="B382" s="1" t="str">
        <f t="shared" si="287"/>
        <v>https://drive.google.com/drive/folders/1Pj2uzn0ykXq_BSu4oaoBLiReru5XttvK</v>
      </c>
      <c r="C382" s="1" t="str">
        <f>HYPERLINK("https://drive.google.com/drive/folders/1Pj2uzn0ykXq_BSu4oaoBLiReru5XttvK","bill5g.com")</f>
        <v>bill5g.com</v>
      </c>
    </row>
    <row r="383">
      <c r="A383" s="1" t="str">
        <f t="shared" ref="A383:A384" si="288">HYPERLINK("https://drive.google.com/drive/folders/1Pj2uzn0ykXq_BSu4oaoBLiReru5XttvK","jeff brown investor")</f>
        <v>jeff brown investor</v>
      </c>
      <c r="B383" s="1" t="str">
        <f t="shared" si="287"/>
        <v>https://drive.google.com/drive/folders/1Pj2uzn0ykXq_BSu4oaoBLiReru5XttvK</v>
      </c>
      <c r="C383" s="1" t="str">
        <f>HYPERLINK("https://drive.google.com/drive/folders/1Pj2uzn0ykXq_BSu4oaoBLiReru5XttvK","jeff brown tech investor")</f>
        <v>jeff brown tech investor</v>
      </c>
    </row>
    <row r="384">
      <c r="A384" s="1" t="str">
        <f t="shared" si="288"/>
        <v>jeff brown investor</v>
      </c>
      <c r="B384" s="1" t="str">
        <f t="shared" si="287"/>
        <v>https://drive.google.com/drive/folders/1Pj2uzn0ykXq_BSu4oaoBLiReru5XttvK</v>
      </c>
      <c r="C384" s="1" t="str">
        <f>HYPERLINK("https://drive.google.com/drive/folders/1Pj2uzn0ykXq_BSu4oaoBLiReru5XttvK","bill5g.com")</f>
        <v>bill5g.com</v>
      </c>
    </row>
    <row r="385">
      <c r="A385" s="1" t="str">
        <f t="shared" ref="A385:A386" si="289">HYPERLINK("https://docs.google.com/spreadsheets/d/1cGNZ-hVPz0BicOHBh7-bEgpL-p1nRQvpf7FqXdqWDY4","jeff brown stock picks for 2021")</f>
        <v>jeff brown stock picks for 2021</v>
      </c>
      <c r="B385" s="1" t="str">
        <f t="shared" ref="B385:B388" si="290">HYPERLINK("https://docs.google.com/spreadsheets/d/1cGNZ-hVPz0BicOHBh7-bEgpL-p1nRQvpf7FqXdqWDY4","https://docs.google.com/spreadsheets/d/1cGNZ-hVPz0BicOHBh7-bEgpL-p1nRQvpf7FqXdqWDY4")</f>
        <v>https://docs.google.com/spreadsheets/d/1cGNZ-hVPz0BicOHBh7-bEgpL-p1nRQvpf7FqXdqWDY4</v>
      </c>
      <c r="C385" s="1" t="str">
        <f>HYPERLINK("https://docs.google.com/spreadsheets/d/1cGNZ-hVPz0BicOHBh7-bEgpL-p1nRQvpf7FqXdqWDY4","jeff brown tech investor")</f>
        <v>jeff brown tech investor</v>
      </c>
    </row>
    <row r="386">
      <c r="A386" s="1" t="str">
        <f t="shared" si="289"/>
        <v>jeff brown stock picks for 2021</v>
      </c>
      <c r="B386" s="1" t="str">
        <f t="shared" si="290"/>
        <v>https://docs.google.com/spreadsheets/d/1cGNZ-hVPz0BicOHBh7-bEgpL-p1nRQvpf7FqXdqWDY4</v>
      </c>
      <c r="C386" s="1" t="str">
        <f>HYPERLINK("https://docs.google.com/spreadsheets/d/1cGNZ-hVPz0BicOHBh7-bEgpL-p1nRQvpf7FqXdqWDY4","bill5g.com")</f>
        <v>bill5g.com</v>
      </c>
    </row>
    <row r="387">
      <c r="A387" s="1" t="str">
        <f t="shared" ref="A387:A388" si="291">HYPERLINK("https://docs.google.com/spreadsheets/d/1cGNZ-hVPz0BicOHBh7-bEgpL-p1nRQvpf7FqXdqWDY4","jeff brown investor")</f>
        <v>jeff brown investor</v>
      </c>
      <c r="B387" s="1" t="str">
        <f t="shared" si="290"/>
        <v>https://docs.google.com/spreadsheets/d/1cGNZ-hVPz0BicOHBh7-bEgpL-p1nRQvpf7FqXdqWDY4</v>
      </c>
      <c r="C387" s="1" t="str">
        <f>HYPERLINK("https://docs.google.com/spreadsheets/d/1cGNZ-hVPz0BicOHBh7-bEgpL-p1nRQvpf7FqXdqWDY4","jeff brown tech investor")</f>
        <v>jeff brown tech investor</v>
      </c>
    </row>
    <row r="388">
      <c r="A388" s="1" t="str">
        <f t="shared" si="291"/>
        <v>jeff brown investor</v>
      </c>
      <c r="B388" s="1" t="str">
        <f t="shared" si="290"/>
        <v>https://docs.google.com/spreadsheets/d/1cGNZ-hVPz0BicOHBh7-bEgpL-p1nRQvpf7FqXdqWDY4</v>
      </c>
      <c r="C388" s="1" t="str">
        <f>HYPERLINK("https://docs.google.com/spreadsheets/d/1cGNZ-hVPz0BicOHBh7-bEgpL-p1nRQvpf7FqXdqWDY4","bill5g.com")</f>
        <v>bill5g.com</v>
      </c>
    </row>
    <row r="389">
      <c r="A389" s="1" t="str">
        <f t="shared" ref="A389:A390" si="292">HYPERLINK("https://drive.google.com/drive/folders/1taAe0abrNXx_irIrr3KvX3EfnMe5aHJj","jeff brown stock picks for 2021")</f>
        <v>jeff brown stock picks for 2021</v>
      </c>
      <c r="B389" s="1" t="str">
        <f t="shared" ref="B389:B392" si="293">HYPERLINK("https://drive.google.com/drive/folders/1taAe0abrNXx_irIrr3KvX3EfnMe5aHJj","https://drive.google.com/drive/folders/1taAe0abrNXx_irIrr3KvX3EfnMe5aHJj")</f>
        <v>https://drive.google.com/drive/folders/1taAe0abrNXx_irIrr3KvX3EfnMe5aHJj</v>
      </c>
      <c r="C389" s="1" t="str">
        <f>HYPERLINK("https://drive.google.com/drive/folders/1taAe0abrNXx_irIrr3KvX3EfnMe5aHJj","jeff brown tech investor")</f>
        <v>jeff brown tech investor</v>
      </c>
    </row>
    <row r="390">
      <c r="A390" s="1" t="str">
        <f t="shared" si="292"/>
        <v>jeff brown stock picks for 2021</v>
      </c>
      <c r="B390" s="1" t="str">
        <f t="shared" si="293"/>
        <v>https://drive.google.com/drive/folders/1taAe0abrNXx_irIrr3KvX3EfnMe5aHJj</v>
      </c>
      <c r="C390" s="1" t="str">
        <f>HYPERLINK("https://drive.google.com/drive/folders/1taAe0abrNXx_irIrr3KvX3EfnMe5aHJj","bill5g.com")</f>
        <v>bill5g.com</v>
      </c>
    </row>
    <row r="391">
      <c r="A391" s="1" t="str">
        <f t="shared" ref="A391:A392" si="294">HYPERLINK("https://drive.google.com/drive/folders/1taAe0abrNXx_irIrr3KvX3EfnMe5aHJj","jeff brown investor")</f>
        <v>jeff brown investor</v>
      </c>
      <c r="B391" s="1" t="str">
        <f t="shared" si="293"/>
        <v>https://drive.google.com/drive/folders/1taAe0abrNXx_irIrr3KvX3EfnMe5aHJj</v>
      </c>
      <c r="C391" s="1" t="str">
        <f>HYPERLINK("https://drive.google.com/drive/folders/1taAe0abrNXx_irIrr3KvX3EfnMe5aHJj","jeff brown tech investor")</f>
        <v>jeff brown tech investor</v>
      </c>
    </row>
    <row r="392">
      <c r="A392" s="1" t="str">
        <f t="shared" si="294"/>
        <v>jeff brown investor</v>
      </c>
      <c r="B392" s="1" t="str">
        <f t="shared" si="293"/>
        <v>https://drive.google.com/drive/folders/1taAe0abrNXx_irIrr3KvX3EfnMe5aHJj</v>
      </c>
      <c r="C392" s="1" t="str">
        <f>HYPERLINK("https://drive.google.com/drive/folders/1taAe0abrNXx_irIrr3KvX3EfnMe5aHJj","bill5g.com")</f>
        <v>bill5g.com</v>
      </c>
    </row>
    <row r="393">
      <c r="A393" s="1" t="str">
        <f t="shared" ref="A393:A394" si="295">HYPERLINK("https://drive.google.com/drive/folders/1az_bAlUD0BOJ5_-hzOuGxkEr8zS-4EP3","jeff brown stock picks for 2021")</f>
        <v>jeff brown stock picks for 2021</v>
      </c>
      <c r="B393" s="1" t="str">
        <f t="shared" ref="B393:B396" si="296">HYPERLINK("https://drive.google.com/drive/folders/1az_bAlUD0BOJ5_-hzOuGxkEr8zS-4EP3","https://drive.google.com/drive/folders/1az_bAlUD0BOJ5_-hzOuGxkEr8zS-4EP3")</f>
        <v>https://drive.google.com/drive/folders/1az_bAlUD0BOJ5_-hzOuGxkEr8zS-4EP3</v>
      </c>
      <c r="C393" s="1" t="str">
        <f>HYPERLINK("https://drive.google.com/drive/folders/1az_bAlUD0BOJ5_-hzOuGxkEr8zS-4EP3","jeff brown tech investor")</f>
        <v>jeff brown tech investor</v>
      </c>
    </row>
    <row r="394">
      <c r="A394" s="1" t="str">
        <f t="shared" si="295"/>
        <v>jeff brown stock picks for 2021</v>
      </c>
      <c r="B394" s="1" t="str">
        <f t="shared" si="296"/>
        <v>https://drive.google.com/drive/folders/1az_bAlUD0BOJ5_-hzOuGxkEr8zS-4EP3</v>
      </c>
      <c r="C394" s="1" t="str">
        <f>HYPERLINK("https://drive.google.com/drive/folders/1az_bAlUD0BOJ5_-hzOuGxkEr8zS-4EP3","bill5g.com")</f>
        <v>bill5g.com</v>
      </c>
    </row>
    <row r="395">
      <c r="A395" s="1" t="str">
        <f t="shared" ref="A395:A396" si="297">HYPERLINK("https://drive.google.com/drive/folders/1az_bAlUD0BOJ5_-hzOuGxkEr8zS-4EP3","jeff brown investor")</f>
        <v>jeff brown investor</v>
      </c>
      <c r="B395" s="1" t="str">
        <f t="shared" si="296"/>
        <v>https://drive.google.com/drive/folders/1az_bAlUD0BOJ5_-hzOuGxkEr8zS-4EP3</v>
      </c>
      <c r="C395" s="1" t="str">
        <f>HYPERLINK("https://drive.google.com/drive/folders/1az_bAlUD0BOJ5_-hzOuGxkEr8zS-4EP3","jeff brown tech investor")</f>
        <v>jeff brown tech investor</v>
      </c>
    </row>
    <row r="396">
      <c r="A396" s="1" t="str">
        <f t="shared" si="297"/>
        <v>jeff brown investor</v>
      </c>
      <c r="B396" s="1" t="str">
        <f t="shared" si="296"/>
        <v>https://drive.google.com/drive/folders/1az_bAlUD0BOJ5_-hzOuGxkEr8zS-4EP3</v>
      </c>
      <c r="C396" s="1" t="str">
        <f>HYPERLINK("https://drive.google.com/drive/folders/1az_bAlUD0BOJ5_-hzOuGxkEr8zS-4EP3","bill5g.com")</f>
        <v>bill5g.com</v>
      </c>
    </row>
    <row r="397">
      <c r="A397" s="1" t="str">
        <f t="shared" ref="A397:A398" si="298">HYPERLINK("https://drive.google.com/drive/folders/1mORaQYH3MwI28mc_p8SSlrwBXlBhFM-g","jeff brown stock picks for 2021")</f>
        <v>jeff brown stock picks for 2021</v>
      </c>
      <c r="B397" s="1" t="str">
        <f t="shared" ref="B397:B400" si="299">HYPERLINK("https://drive.google.com/drive/folders/1mORaQYH3MwI28mc_p8SSlrwBXlBhFM-g","https://drive.google.com/drive/folders/1mORaQYH3MwI28mc_p8SSlrwBXlBhFM-g")</f>
        <v>https://drive.google.com/drive/folders/1mORaQYH3MwI28mc_p8SSlrwBXlBhFM-g</v>
      </c>
      <c r="C397" s="1" t="str">
        <f>HYPERLINK("https://drive.google.com/drive/folders/1mORaQYH3MwI28mc_p8SSlrwBXlBhFM-g","jeff brown tech investor")</f>
        <v>jeff brown tech investor</v>
      </c>
    </row>
    <row r="398">
      <c r="A398" s="1" t="str">
        <f t="shared" si="298"/>
        <v>jeff brown stock picks for 2021</v>
      </c>
      <c r="B398" s="1" t="str">
        <f t="shared" si="299"/>
        <v>https://drive.google.com/drive/folders/1mORaQYH3MwI28mc_p8SSlrwBXlBhFM-g</v>
      </c>
      <c r="C398" s="1" t="str">
        <f>HYPERLINK("https://drive.google.com/drive/folders/1mORaQYH3MwI28mc_p8SSlrwBXlBhFM-g","bill5g.com")</f>
        <v>bill5g.com</v>
      </c>
    </row>
    <row r="399">
      <c r="A399" s="1" t="str">
        <f t="shared" ref="A399:A400" si="300">HYPERLINK("https://drive.google.com/drive/folders/1mORaQYH3MwI28mc_p8SSlrwBXlBhFM-g","jeff brown investor")</f>
        <v>jeff brown investor</v>
      </c>
      <c r="B399" s="1" t="str">
        <f t="shared" si="299"/>
        <v>https://drive.google.com/drive/folders/1mORaQYH3MwI28mc_p8SSlrwBXlBhFM-g</v>
      </c>
      <c r="C399" s="1" t="str">
        <f>HYPERLINK("https://drive.google.com/drive/folders/1mORaQYH3MwI28mc_p8SSlrwBXlBhFM-g","jeff brown tech investor")</f>
        <v>jeff brown tech investor</v>
      </c>
    </row>
    <row r="400">
      <c r="A400" s="1" t="str">
        <f t="shared" si="300"/>
        <v>jeff brown investor</v>
      </c>
      <c r="B400" s="1" t="str">
        <f t="shared" si="299"/>
        <v>https://drive.google.com/drive/folders/1mORaQYH3MwI28mc_p8SSlrwBXlBhFM-g</v>
      </c>
      <c r="C400" s="1" t="str">
        <f>HYPERLINK("https://drive.google.com/drive/folders/1mORaQYH3MwI28mc_p8SSlrwBXlBhFM-g","bill5g.com")</f>
        <v>bill5g.com</v>
      </c>
    </row>
    <row r="401">
      <c r="A401" s="1" t="str">
        <f t="shared" ref="A401:A402" si="301">HYPERLINK("https://drive.google.com/drive/folders/1og3HIdfvDyjYILEsJmytqizI6CL_zJ8e","jeff brown stock picks for 2021")</f>
        <v>jeff brown stock picks for 2021</v>
      </c>
      <c r="B401" s="1" t="str">
        <f t="shared" ref="B401:B404" si="302">HYPERLINK("https://drive.google.com/drive/folders/1og3HIdfvDyjYILEsJmytqizI6CL_zJ8e","https://drive.google.com/drive/folders/1og3HIdfvDyjYILEsJmytqizI6CL_zJ8e")</f>
        <v>https://drive.google.com/drive/folders/1og3HIdfvDyjYILEsJmytqizI6CL_zJ8e</v>
      </c>
      <c r="C401" s="1" t="str">
        <f>HYPERLINK("https://drive.google.com/drive/folders/1og3HIdfvDyjYILEsJmytqizI6CL_zJ8e","jeff brown tech investor")</f>
        <v>jeff brown tech investor</v>
      </c>
    </row>
    <row r="402">
      <c r="A402" s="1" t="str">
        <f t="shared" si="301"/>
        <v>jeff brown stock picks for 2021</v>
      </c>
      <c r="B402" s="1" t="str">
        <f t="shared" si="302"/>
        <v>https://drive.google.com/drive/folders/1og3HIdfvDyjYILEsJmytqizI6CL_zJ8e</v>
      </c>
      <c r="C402" s="1" t="str">
        <f>HYPERLINK("https://drive.google.com/drive/folders/1og3HIdfvDyjYILEsJmytqizI6CL_zJ8e","bill5g.com")</f>
        <v>bill5g.com</v>
      </c>
    </row>
    <row r="403">
      <c r="A403" s="1" t="str">
        <f t="shared" ref="A403:A404" si="303">HYPERLINK("https://drive.google.com/drive/folders/1og3HIdfvDyjYILEsJmytqizI6CL_zJ8e","jeff brown investor")</f>
        <v>jeff brown investor</v>
      </c>
      <c r="B403" s="1" t="str">
        <f t="shared" si="302"/>
        <v>https://drive.google.com/drive/folders/1og3HIdfvDyjYILEsJmytqizI6CL_zJ8e</v>
      </c>
      <c r="C403" s="1" t="str">
        <f>HYPERLINK("https://drive.google.com/drive/folders/1og3HIdfvDyjYILEsJmytqizI6CL_zJ8e","jeff brown tech investor")</f>
        <v>jeff brown tech investor</v>
      </c>
    </row>
    <row r="404">
      <c r="A404" s="1" t="str">
        <f t="shared" si="303"/>
        <v>jeff brown investor</v>
      </c>
      <c r="B404" s="1" t="str">
        <f t="shared" si="302"/>
        <v>https://drive.google.com/drive/folders/1og3HIdfvDyjYILEsJmytqizI6CL_zJ8e</v>
      </c>
      <c r="C404" s="1" t="str">
        <f>HYPERLINK("https://drive.google.com/drive/folders/1og3HIdfvDyjYILEsJmytqizI6CL_zJ8e","bill5g.com")</f>
        <v>bill5g.com</v>
      </c>
    </row>
    <row r="405">
      <c r="A405" s="1" t="str">
        <f t="shared" ref="A405:A406" si="304">HYPERLINK("https://drive.google.com/drive/folders/1Kp_JJsQ_LomkY0Eg3Nif3_8P2aYOAokl","jeff brown stock picks for 2021")</f>
        <v>jeff brown stock picks for 2021</v>
      </c>
      <c r="B405" s="1" t="str">
        <f t="shared" ref="B405:B408" si="305">HYPERLINK("https://drive.google.com/drive/folders/1Kp_JJsQ_LomkY0Eg3Nif3_8P2aYOAokl","https://drive.google.com/drive/folders/1Kp_JJsQ_LomkY0Eg3Nif3_8P2aYOAokl")</f>
        <v>https://drive.google.com/drive/folders/1Kp_JJsQ_LomkY0Eg3Nif3_8P2aYOAokl</v>
      </c>
      <c r="C405" s="1" t="str">
        <f>HYPERLINK("https://drive.google.com/drive/folders/1Kp_JJsQ_LomkY0Eg3Nif3_8P2aYOAokl","jeff brown tech investor")</f>
        <v>jeff brown tech investor</v>
      </c>
    </row>
    <row r="406">
      <c r="A406" s="1" t="str">
        <f t="shared" si="304"/>
        <v>jeff brown stock picks for 2021</v>
      </c>
      <c r="B406" s="1" t="str">
        <f t="shared" si="305"/>
        <v>https://drive.google.com/drive/folders/1Kp_JJsQ_LomkY0Eg3Nif3_8P2aYOAokl</v>
      </c>
      <c r="C406" s="1" t="str">
        <f>HYPERLINK("https://drive.google.com/drive/folders/1Kp_JJsQ_LomkY0Eg3Nif3_8P2aYOAokl","bill5g.com")</f>
        <v>bill5g.com</v>
      </c>
    </row>
    <row r="407">
      <c r="A407" s="1" t="str">
        <f t="shared" ref="A407:A408" si="306">HYPERLINK("https://drive.google.com/drive/folders/1Kp_JJsQ_LomkY0Eg3Nif3_8P2aYOAokl","jeff brown investor")</f>
        <v>jeff brown investor</v>
      </c>
      <c r="B407" s="1" t="str">
        <f t="shared" si="305"/>
        <v>https://drive.google.com/drive/folders/1Kp_JJsQ_LomkY0Eg3Nif3_8P2aYOAokl</v>
      </c>
      <c r="C407" s="1" t="str">
        <f>HYPERLINK("https://drive.google.com/drive/folders/1Kp_JJsQ_LomkY0Eg3Nif3_8P2aYOAokl","jeff brown tech investor")</f>
        <v>jeff brown tech investor</v>
      </c>
    </row>
    <row r="408">
      <c r="A408" s="1" t="str">
        <f t="shared" si="306"/>
        <v>jeff brown investor</v>
      </c>
      <c r="B408" s="1" t="str">
        <f t="shared" si="305"/>
        <v>https://drive.google.com/drive/folders/1Kp_JJsQ_LomkY0Eg3Nif3_8P2aYOAokl</v>
      </c>
      <c r="C408" s="1" t="str">
        <f>HYPERLINK("https://drive.google.com/drive/folders/1Kp_JJsQ_LomkY0Eg3Nif3_8P2aYOAokl","bill5g.com")</f>
        <v>bill5g.com</v>
      </c>
    </row>
    <row r="409">
      <c r="A409" s="1" t="str">
        <f t="shared" ref="A409:A410" si="307">HYPERLINK("https://drive.google.com/drive/folders/1x4dnf4WeIK9BgXOIFPCK3ArL_XGEfkjq","jeff brown stock picks for 2021")</f>
        <v>jeff brown stock picks for 2021</v>
      </c>
      <c r="B409" s="1" t="str">
        <f t="shared" ref="B409:B412" si="308">HYPERLINK("https://drive.google.com/drive/folders/1x4dnf4WeIK9BgXOIFPCK3ArL_XGEfkjq","https://drive.google.com/drive/folders/1x4dnf4WeIK9BgXOIFPCK3ArL_XGEfkjq")</f>
        <v>https://drive.google.com/drive/folders/1x4dnf4WeIK9BgXOIFPCK3ArL_XGEfkjq</v>
      </c>
      <c r="C409" s="1" t="str">
        <f>HYPERLINK("https://drive.google.com/drive/folders/1x4dnf4WeIK9BgXOIFPCK3ArL_XGEfkjq","jeff brown tech investor")</f>
        <v>jeff brown tech investor</v>
      </c>
    </row>
    <row r="410">
      <c r="A410" s="1" t="str">
        <f t="shared" si="307"/>
        <v>jeff brown stock picks for 2021</v>
      </c>
      <c r="B410" s="1" t="str">
        <f t="shared" si="308"/>
        <v>https://drive.google.com/drive/folders/1x4dnf4WeIK9BgXOIFPCK3ArL_XGEfkjq</v>
      </c>
      <c r="C410" s="1" t="str">
        <f>HYPERLINK("https://drive.google.com/drive/folders/1x4dnf4WeIK9BgXOIFPCK3ArL_XGEfkjq","bill5g.com")</f>
        <v>bill5g.com</v>
      </c>
    </row>
    <row r="411">
      <c r="A411" s="1" t="str">
        <f t="shared" ref="A411:A412" si="309">HYPERLINK("https://drive.google.com/drive/folders/1x4dnf4WeIK9BgXOIFPCK3ArL_XGEfkjq","jeff brown investor")</f>
        <v>jeff brown investor</v>
      </c>
      <c r="B411" s="1" t="str">
        <f t="shared" si="308"/>
        <v>https://drive.google.com/drive/folders/1x4dnf4WeIK9BgXOIFPCK3ArL_XGEfkjq</v>
      </c>
      <c r="C411" s="1" t="str">
        <f>HYPERLINK("https://drive.google.com/drive/folders/1x4dnf4WeIK9BgXOIFPCK3ArL_XGEfkjq","jeff brown tech investor")</f>
        <v>jeff brown tech investor</v>
      </c>
    </row>
    <row r="412">
      <c r="A412" s="1" t="str">
        <f t="shared" si="309"/>
        <v>jeff brown investor</v>
      </c>
      <c r="B412" s="1" t="str">
        <f t="shared" si="308"/>
        <v>https://drive.google.com/drive/folders/1x4dnf4WeIK9BgXOIFPCK3ArL_XGEfkjq</v>
      </c>
      <c r="C412" s="1" t="str">
        <f>HYPERLINK("https://drive.google.com/drive/folders/1x4dnf4WeIK9BgXOIFPCK3ArL_XGEfkjq","bill5g.com")</f>
        <v>bill5g.com</v>
      </c>
    </row>
    <row r="413">
      <c r="A413" s="1" t="str">
        <f t="shared" ref="A413:A414" si="310">HYPERLINK("https://docs.google.com/spreadsheets/d/1ub8NMUOkbspnJk0_SZgFfz4LGHHcz9gx9kai_rtNenA","jeff brown stock picks for 2021")</f>
        <v>jeff brown stock picks for 2021</v>
      </c>
      <c r="B413" s="1" t="str">
        <f t="shared" ref="B413:B416" si="311">HYPERLINK("https://docs.google.com/spreadsheets/d/1ub8NMUOkbspnJk0_SZgFfz4LGHHcz9gx9kai_rtNenA","https://docs.google.com/spreadsheets/d/1ub8NMUOkbspnJk0_SZgFfz4LGHHcz9gx9kai_rtNenA")</f>
        <v>https://docs.google.com/spreadsheets/d/1ub8NMUOkbspnJk0_SZgFfz4LGHHcz9gx9kai_rtNenA</v>
      </c>
      <c r="C413" s="1" t="str">
        <f>HYPERLINK("https://docs.google.com/spreadsheets/d/1ub8NMUOkbspnJk0_SZgFfz4LGHHcz9gx9kai_rtNenA","jeff brown tech investor")</f>
        <v>jeff brown tech investor</v>
      </c>
    </row>
    <row r="414">
      <c r="A414" s="1" t="str">
        <f t="shared" si="310"/>
        <v>jeff brown stock picks for 2021</v>
      </c>
      <c r="B414" s="1" t="str">
        <f t="shared" si="311"/>
        <v>https://docs.google.com/spreadsheets/d/1ub8NMUOkbspnJk0_SZgFfz4LGHHcz9gx9kai_rtNenA</v>
      </c>
      <c r="C414" s="1" t="str">
        <f>HYPERLINK("https://docs.google.com/spreadsheets/d/1ub8NMUOkbspnJk0_SZgFfz4LGHHcz9gx9kai_rtNenA","bill5g.com")</f>
        <v>bill5g.com</v>
      </c>
    </row>
    <row r="415">
      <c r="A415" s="1" t="str">
        <f t="shared" ref="A415:A416" si="312">HYPERLINK("https://docs.google.com/spreadsheets/d/1ub8NMUOkbspnJk0_SZgFfz4LGHHcz9gx9kai_rtNenA","jeff brown investor")</f>
        <v>jeff brown investor</v>
      </c>
      <c r="B415" s="1" t="str">
        <f t="shared" si="311"/>
        <v>https://docs.google.com/spreadsheets/d/1ub8NMUOkbspnJk0_SZgFfz4LGHHcz9gx9kai_rtNenA</v>
      </c>
      <c r="C415" s="1" t="str">
        <f>HYPERLINK("https://docs.google.com/spreadsheets/d/1ub8NMUOkbspnJk0_SZgFfz4LGHHcz9gx9kai_rtNenA","jeff brown tech investor")</f>
        <v>jeff brown tech investor</v>
      </c>
    </row>
    <row r="416">
      <c r="A416" s="1" t="str">
        <f t="shared" si="312"/>
        <v>jeff brown investor</v>
      </c>
      <c r="B416" s="1" t="str">
        <f t="shared" si="311"/>
        <v>https://docs.google.com/spreadsheets/d/1ub8NMUOkbspnJk0_SZgFfz4LGHHcz9gx9kai_rtNenA</v>
      </c>
      <c r="C416" s="1" t="str">
        <f>HYPERLINK("https://docs.google.com/spreadsheets/d/1ub8NMUOkbspnJk0_SZgFfz4LGHHcz9gx9kai_rtNenA","bill5g.com")</f>
        <v>bill5g.com</v>
      </c>
    </row>
    <row r="417">
      <c r="A417" s="1" t="str">
        <f t="shared" ref="A417:A418" si="313">HYPERLINK("https://docs.google.com/spreadsheets/d/1aPCNlI4Uy8gZhpBBNp86gBKi_s4Jsd6ENleudx2NLQQ","jeff brown stock picks for 2021")</f>
        <v>jeff brown stock picks for 2021</v>
      </c>
      <c r="B417" s="1" t="str">
        <f t="shared" ref="B417:B420" si="314">HYPERLINK("https://docs.google.com/spreadsheets/d/1aPCNlI4Uy8gZhpBBNp86gBKi_s4Jsd6ENleudx2NLQQ","https://docs.google.com/spreadsheets/d/1aPCNlI4Uy8gZhpBBNp86gBKi_s4Jsd6ENleudx2NLQQ")</f>
        <v>https://docs.google.com/spreadsheets/d/1aPCNlI4Uy8gZhpBBNp86gBKi_s4Jsd6ENleudx2NLQQ</v>
      </c>
      <c r="C417" s="1" t="str">
        <f>HYPERLINK("https://docs.google.com/spreadsheets/d/1aPCNlI4Uy8gZhpBBNp86gBKi_s4Jsd6ENleudx2NLQQ","jeff brown tech investor")</f>
        <v>jeff brown tech investor</v>
      </c>
    </row>
    <row r="418">
      <c r="A418" s="1" t="str">
        <f t="shared" si="313"/>
        <v>jeff brown stock picks for 2021</v>
      </c>
      <c r="B418" s="1" t="str">
        <f t="shared" si="314"/>
        <v>https://docs.google.com/spreadsheets/d/1aPCNlI4Uy8gZhpBBNp86gBKi_s4Jsd6ENleudx2NLQQ</v>
      </c>
      <c r="C418" s="1" t="str">
        <f>HYPERLINK("https://docs.google.com/spreadsheets/d/1aPCNlI4Uy8gZhpBBNp86gBKi_s4Jsd6ENleudx2NLQQ","bill5g.com")</f>
        <v>bill5g.com</v>
      </c>
    </row>
    <row r="419">
      <c r="A419" s="1" t="str">
        <f t="shared" ref="A419:A420" si="315">HYPERLINK("https://docs.google.com/spreadsheets/d/1aPCNlI4Uy8gZhpBBNp86gBKi_s4Jsd6ENleudx2NLQQ","jeff brown investor")</f>
        <v>jeff brown investor</v>
      </c>
      <c r="B419" s="1" t="str">
        <f t="shared" si="314"/>
        <v>https://docs.google.com/spreadsheets/d/1aPCNlI4Uy8gZhpBBNp86gBKi_s4Jsd6ENleudx2NLQQ</v>
      </c>
      <c r="C419" s="1" t="str">
        <f>HYPERLINK("https://docs.google.com/spreadsheets/d/1aPCNlI4Uy8gZhpBBNp86gBKi_s4Jsd6ENleudx2NLQQ","jeff brown tech investor")</f>
        <v>jeff brown tech investor</v>
      </c>
    </row>
    <row r="420">
      <c r="A420" s="1" t="str">
        <f t="shared" si="315"/>
        <v>jeff brown investor</v>
      </c>
      <c r="B420" s="1" t="str">
        <f t="shared" si="314"/>
        <v>https://docs.google.com/spreadsheets/d/1aPCNlI4Uy8gZhpBBNp86gBKi_s4Jsd6ENleudx2NLQQ</v>
      </c>
      <c r="C420" s="1" t="str">
        <f>HYPERLINK("https://docs.google.com/spreadsheets/d/1aPCNlI4Uy8gZhpBBNp86gBKi_s4Jsd6ENleudx2NLQQ","bill5g.com")</f>
        <v>bill5g.com</v>
      </c>
    </row>
    <row r="421">
      <c r="A421" s="1" t="str">
        <f t="shared" ref="A421:A422" si="316">HYPERLINK("https://drive.google.com/drive/folders/1hIjl-M_hkN_XJWbQNhDDrGEnacreEiWE","jeff brown stock picks for 2021")</f>
        <v>jeff brown stock picks for 2021</v>
      </c>
      <c r="B421" s="1" t="str">
        <f t="shared" ref="B421:B424" si="317">HYPERLINK("https://drive.google.com/drive/folders/1hIjl-M_hkN_XJWbQNhDDrGEnacreEiWE","https://drive.google.com/drive/folders/1hIjl-M_hkN_XJWbQNhDDrGEnacreEiWE")</f>
        <v>https://drive.google.com/drive/folders/1hIjl-M_hkN_XJWbQNhDDrGEnacreEiWE</v>
      </c>
      <c r="C421" s="1" t="str">
        <f>HYPERLINK("https://drive.google.com/drive/folders/1hIjl-M_hkN_XJWbQNhDDrGEnacreEiWE","jeff brown tech investor")</f>
        <v>jeff brown tech investor</v>
      </c>
    </row>
    <row r="422">
      <c r="A422" s="1" t="str">
        <f t="shared" si="316"/>
        <v>jeff brown stock picks for 2021</v>
      </c>
      <c r="B422" s="1" t="str">
        <f t="shared" si="317"/>
        <v>https://drive.google.com/drive/folders/1hIjl-M_hkN_XJWbQNhDDrGEnacreEiWE</v>
      </c>
      <c r="C422" s="1" t="str">
        <f>HYPERLINK("https://drive.google.com/drive/folders/1hIjl-M_hkN_XJWbQNhDDrGEnacreEiWE","bill5g.com")</f>
        <v>bill5g.com</v>
      </c>
    </row>
    <row r="423">
      <c r="A423" s="1" t="str">
        <f t="shared" ref="A423:A424" si="318">HYPERLINK("https://drive.google.com/drive/folders/1hIjl-M_hkN_XJWbQNhDDrGEnacreEiWE","jeff brown investor")</f>
        <v>jeff brown investor</v>
      </c>
      <c r="B423" s="1" t="str">
        <f t="shared" si="317"/>
        <v>https://drive.google.com/drive/folders/1hIjl-M_hkN_XJWbQNhDDrGEnacreEiWE</v>
      </c>
      <c r="C423" s="1" t="str">
        <f>HYPERLINK("https://drive.google.com/drive/folders/1hIjl-M_hkN_XJWbQNhDDrGEnacreEiWE","jeff brown tech investor")</f>
        <v>jeff brown tech investor</v>
      </c>
    </row>
    <row r="424">
      <c r="A424" s="1" t="str">
        <f t="shared" si="318"/>
        <v>jeff brown investor</v>
      </c>
      <c r="B424" s="1" t="str">
        <f t="shared" si="317"/>
        <v>https://drive.google.com/drive/folders/1hIjl-M_hkN_XJWbQNhDDrGEnacreEiWE</v>
      </c>
      <c r="C424" s="1" t="str">
        <f>HYPERLINK("https://drive.google.com/drive/folders/1hIjl-M_hkN_XJWbQNhDDrGEnacreEiWE","bill5g.com")</f>
        <v>bill5g.com</v>
      </c>
    </row>
    <row r="425">
      <c r="A425" s="1" t="str">
        <f t="shared" ref="A425:A426" si="319">HYPERLINK("https://drive.google.com/drive/folders/1JybnM6rzP0fcmpZpwNM9y8PqwAKZ92ya","jeff brown stock picks for 2021")</f>
        <v>jeff brown stock picks for 2021</v>
      </c>
      <c r="B425" s="1" t="str">
        <f t="shared" ref="B425:B428" si="320">HYPERLINK("https://drive.google.com/drive/folders/1JybnM6rzP0fcmpZpwNM9y8PqwAKZ92ya","https://drive.google.com/drive/folders/1JybnM6rzP0fcmpZpwNM9y8PqwAKZ92ya")</f>
        <v>https://drive.google.com/drive/folders/1JybnM6rzP0fcmpZpwNM9y8PqwAKZ92ya</v>
      </c>
      <c r="C425" s="1" t="str">
        <f>HYPERLINK("https://drive.google.com/drive/folders/1JybnM6rzP0fcmpZpwNM9y8PqwAKZ92ya","jeff brown tech investor")</f>
        <v>jeff brown tech investor</v>
      </c>
    </row>
    <row r="426">
      <c r="A426" s="1" t="str">
        <f t="shared" si="319"/>
        <v>jeff brown stock picks for 2021</v>
      </c>
      <c r="B426" s="1" t="str">
        <f t="shared" si="320"/>
        <v>https://drive.google.com/drive/folders/1JybnM6rzP0fcmpZpwNM9y8PqwAKZ92ya</v>
      </c>
      <c r="C426" s="1" t="str">
        <f>HYPERLINK("https://drive.google.com/drive/folders/1JybnM6rzP0fcmpZpwNM9y8PqwAKZ92ya","bill5g.com")</f>
        <v>bill5g.com</v>
      </c>
    </row>
    <row r="427">
      <c r="A427" s="1" t="str">
        <f t="shared" ref="A427:A428" si="321">HYPERLINK("https://drive.google.com/drive/folders/1JybnM6rzP0fcmpZpwNM9y8PqwAKZ92ya","jeff brown investor")</f>
        <v>jeff brown investor</v>
      </c>
      <c r="B427" s="1" t="str">
        <f t="shared" si="320"/>
        <v>https://drive.google.com/drive/folders/1JybnM6rzP0fcmpZpwNM9y8PqwAKZ92ya</v>
      </c>
      <c r="C427" s="1" t="str">
        <f>HYPERLINK("https://drive.google.com/drive/folders/1JybnM6rzP0fcmpZpwNM9y8PqwAKZ92ya","jeff brown tech investor")</f>
        <v>jeff brown tech investor</v>
      </c>
    </row>
    <row r="428">
      <c r="A428" s="1" t="str">
        <f t="shared" si="321"/>
        <v>jeff brown investor</v>
      </c>
      <c r="B428" s="1" t="str">
        <f t="shared" si="320"/>
        <v>https://drive.google.com/drive/folders/1JybnM6rzP0fcmpZpwNM9y8PqwAKZ92ya</v>
      </c>
      <c r="C428" s="1" t="str">
        <f>HYPERLINK("https://drive.google.com/drive/folders/1JybnM6rzP0fcmpZpwNM9y8PqwAKZ92ya","bill5g.com")</f>
        <v>bill5g.com</v>
      </c>
    </row>
    <row r="429">
      <c r="A429" s="1" t="str">
        <f t="shared" ref="A429:A430" si="322">HYPERLINK("https://docs.google.com/spreadsheets/d/1eAUVnJ3J2zb0vmOHXnr9jYTIWIeSr6ESJyTz0-yhfY0","jeff brown stock picks for 2021")</f>
        <v>jeff brown stock picks for 2021</v>
      </c>
      <c r="B429" s="1" t="str">
        <f t="shared" ref="B429:B432" si="323">HYPERLINK("https://docs.google.com/spreadsheets/d/1eAUVnJ3J2zb0vmOHXnr9jYTIWIeSr6ESJyTz0-yhfY0","https://docs.google.com/spreadsheets/d/1eAUVnJ3J2zb0vmOHXnr9jYTIWIeSr6ESJyTz0-yhfY0")</f>
        <v>https://docs.google.com/spreadsheets/d/1eAUVnJ3J2zb0vmOHXnr9jYTIWIeSr6ESJyTz0-yhfY0</v>
      </c>
      <c r="C429" s="1" t="str">
        <f>HYPERLINK("https://docs.google.com/spreadsheets/d/1eAUVnJ3J2zb0vmOHXnr9jYTIWIeSr6ESJyTz0-yhfY0","jeff brown tech investor")</f>
        <v>jeff brown tech investor</v>
      </c>
    </row>
    <row r="430">
      <c r="A430" s="1" t="str">
        <f t="shared" si="322"/>
        <v>jeff brown stock picks for 2021</v>
      </c>
      <c r="B430" s="1" t="str">
        <f t="shared" si="323"/>
        <v>https://docs.google.com/spreadsheets/d/1eAUVnJ3J2zb0vmOHXnr9jYTIWIeSr6ESJyTz0-yhfY0</v>
      </c>
      <c r="C430" s="1" t="str">
        <f>HYPERLINK("https://docs.google.com/spreadsheets/d/1eAUVnJ3J2zb0vmOHXnr9jYTIWIeSr6ESJyTz0-yhfY0","bill5g.com")</f>
        <v>bill5g.com</v>
      </c>
    </row>
    <row r="431">
      <c r="A431" s="1" t="str">
        <f t="shared" ref="A431:A432" si="324">HYPERLINK("https://docs.google.com/spreadsheets/d/1eAUVnJ3J2zb0vmOHXnr9jYTIWIeSr6ESJyTz0-yhfY0","jeff brown investor")</f>
        <v>jeff brown investor</v>
      </c>
      <c r="B431" s="1" t="str">
        <f t="shared" si="323"/>
        <v>https://docs.google.com/spreadsheets/d/1eAUVnJ3J2zb0vmOHXnr9jYTIWIeSr6ESJyTz0-yhfY0</v>
      </c>
      <c r="C431" s="1" t="str">
        <f>HYPERLINK("https://docs.google.com/spreadsheets/d/1eAUVnJ3J2zb0vmOHXnr9jYTIWIeSr6ESJyTz0-yhfY0","jeff brown tech investor")</f>
        <v>jeff brown tech investor</v>
      </c>
    </row>
    <row r="432">
      <c r="A432" s="1" t="str">
        <f t="shared" si="324"/>
        <v>jeff brown investor</v>
      </c>
      <c r="B432" s="1" t="str">
        <f t="shared" si="323"/>
        <v>https://docs.google.com/spreadsheets/d/1eAUVnJ3J2zb0vmOHXnr9jYTIWIeSr6ESJyTz0-yhfY0</v>
      </c>
      <c r="C432" s="1" t="str">
        <f>HYPERLINK("https://docs.google.com/spreadsheets/d/1eAUVnJ3J2zb0vmOHXnr9jYTIWIeSr6ESJyTz0-yhfY0","bill5g.com")</f>
        <v>bill5g.com</v>
      </c>
    </row>
    <row r="433">
      <c r="A433" s="1" t="str">
        <f t="shared" ref="A433:A434" si="325">HYPERLINK("https://docs.google.com/spreadsheets/d/1QdvGVcKyCDmlMRGypNd1B3BhRrzopZArPYYCwd1ig5c","jeff brown stock picks for 2021")</f>
        <v>jeff brown stock picks for 2021</v>
      </c>
      <c r="B433" s="1" t="str">
        <f t="shared" ref="B433:B436" si="326">HYPERLINK("https://docs.google.com/spreadsheets/d/1QdvGVcKyCDmlMRGypNd1B3BhRrzopZArPYYCwd1ig5c","https://docs.google.com/spreadsheets/d/1QdvGVcKyCDmlMRGypNd1B3BhRrzopZArPYYCwd1ig5c")</f>
        <v>https://docs.google.com/spreadsheets/d/1QdvGVcKyCDmlMRGypNd1B3BhRrzopZArPYYCwd1ig5c</v>
      </c>
      <c r="C433" s="1" t="str">
        <f>HYPERLINK("https://docs.google.com/spreadsheets/d/1QdvGVcKyCDmlMRGypNd1B3BhRrzopZArPYYCwd1ig5c","jeff brown tech investor")</f>
        <v>jeff brown tech investor</v>
      </c>
    </row>
    <row r="434">
      <c r="A434" s="1" t="str">
        <f t="shared" si="325"/>
        <v>jeff brown stock picks for 2021</v>
      </c>
      <c r="B434" s="1" t="str">
        <f t="shared" si="326"/>
        <v>https://docs.google.com/spreadsheets/d/1QdvGVcKyCDmlMRGypNd1B3BhRrzopZArPYYCwd1ig5c</v>
      </c>
      <c r="C434" s="1" t="str">
        <f>HYPERLINK("https://docs.google.com/spreadsheets/d/1QdvGVcKyCDmlMRGypNd1B3BhRrzopZArPYYCwd1ig5c","bill5g.com")</f>
        <v>bill5g.com</v>
      </c>
    </row>
    <row r="435">
      <c r="A435" s="1" t="str">
        <f t="shared" ref="A435:A436" si="327">HYPERLINK("https://docs.google.com/spreadsheets/d/1QdvGVcKyCDmlMRGypNd1B3BhRrzopZArPYYCwd1ig5c","jeff brown investor")</f>
        <v>jeff brown investor</v>
      </c>
      <c r="B435" s="1" t="str">
        <f t="shared" si="326"/>
        <v>https://docs.google.com/spreadsheets/d/1QdvGVcKyCDmlMRGypNd1B3BhRrzopZArPYYCwd1ig5c</v>
      </c>
      <c r="C435" s="1" t="str">
        <f>HYPERLINK("https://docs.google.com/spreadsheets/d/1QdvGVcKyCDmlMRGypNd1B3BhRrzopZArPYYCwd1ig5c","jeff brown tech investor")</f>
        <v>jeff brown tech investor</v>
      </c>
    </row>
    <row r="436">
      <c r="A436" s="1" t="str">
        <f t="shared" si="327"/>
        <v>jeff brown investor</v>
      </c>
      <c r="B436" s="1" t="str">
        <f t="shared" si="326"/>
        <v>https://docs.google.com/spreadsheets/d/1QdvGVcKyCDmlMRGypNd1B3BhRrzopZArPYYCwd1ig5c</v>
      </c>
      <c r="C436" s="1" t="str">
        <f>HYPERLINK("https://docs.google.com/spreadsheets/d/1QdvGVcKyCDmlMRGypNd1B3BhRrzopZArPYYCwd1ig5c","bill5g.com")</f>
        <v>bill5g.com</v>
      </c>
    </row>
    <row r="437">
      <c r="A437" s="1" t="str">
        <f t="shared" ref="A437:A438" si="328">HYPERLINK("https://drive.google.com/drive/folders/1_mnYOJPBKkNty4lznYVnVHTkQrgavCtO","jeff brown stock picks for 2021")</f>
        <v>jeff brown stock picks for 2021</v>
      </c>
      <c r="B437" s="1" t="str">
        <f t="shared" ref="B437:B440" si="329">HYPERLINK("https://drive.google.com/drive/folders/1_mnYOJPBKkNty4lznYVnVHTkQrgavCtO","https://drive.google.com/drive/folders/1_mnYOJPBKkNty4lznYVnVHTkQrgavCtO")</f>
        <v>https://drive.google.com/drive/folders/1_mnYOJPBKkNty4lznYVnVHTkQrgavCtO</v>
      </c>
      <c r="C437" s="1" t="str">
        <f>HYPERLINK("https://drive.google.com/drive/folders/1_mnYOJPBKkNty4lznYVnVHTkQrgavCtO","jeff brown tech investor")</f>
        <v>jeff brown tech investor</v>
      </c>
    </row>
    <row r="438">
      <c r="A438" s="1" t="str">
        <f t="shared" si="328"/>
        <v>jeff brown stock picks for 2021</v>
      </c>
      <c r="B438" s="1" t="str">
        <f t="shared" si="329"/>
        <v>https://drive.google.com/drive/folders/1_mnYOJPBKkNty4lznYVnVHTkQrgavCtO</v>
      </c>
      <c r="C438" s="1" t="str">
        <f>HYPERLINK("https://drive.google.com/drive/folders/1_mnYOJPBKkNty4lznYVnVHTkQrgavCtO","bill5g.com")</f>
        <v>bill5g.com</v>
      </c>
    </row>
    <row r="439">
      <c r="A439" s="1" t="str">
        <f t="shared" ref="A439:A440" si="330">HYPERLINK("https://drive.google.com/drive/folders/1_mnYOJPBKkNty4lznYVnVHTkQrgavCtO","jeff brown investor")</f>
        <v>jeff brown investor</v>
      </c>
      <c r="B439" s="1" t="str">
        <f t="shared" si="329"/>
        <v>https://drive.google.com/drive/folders/1_mnYOJPBKkNty4lznYVnVHTkQrgavCtO</v>
      </c>
      <c r="C439" s="1" t="str">
        <f>HYPERLINK("https://drive.google.com/drive/folders/1_mnYOJPBKkNty4lznYVnVHTkQrgavCtO","jeff brown tech investor")</f>
        <v>jeff brown tech investor</v>
      </c>
    </row>
    <row r="440">
      <c r="A440" s="1" t="str">
        <f t="shared" si="330"/>
        <v>jeff brown investor</v>
      </c>
      <c r="B440" s="1" t="str">
        <f t="shared" si="329"/>
        <v>https://drive.google.com/drive/folders/1_mnYOJPBKkNty4lznYVnVHTkQrgavCtO</v>
      </c>
      <c r="C440" s="1" t="str">
        <f>HYPERLINK("https://drive.google.com/drive/folders/1_mnYOJPBKkNty4lznYVnVHTkQrgavCtO","bill5g.com")</f>
        <v>bill5g.com</v>
      </c>
    </row>
    <row r="441">
      <c r="A441" s="1" t="str">
        <f t="shared" ref="A441:A442" si="331">HYPERLINK("https://drive.google.com/drive/folders/1c_JZ_IHrCdFh15_5rk5qgdQUArC7JFY4","jeff brown stock picks for 2021")</f>
        <v>jeff brown stock picks for 2021</v>
      </c>
      <c r="B441" s="1" t="str">
        <f t="shared" ref="B441:B444" si="332">HYPERLINK("https://drive.google.com/drive/folders/1c_JZ_IHrCdFh15_5rk5qgdQUArC7JFY4","https://drive.google.com/drive/folders/1c_JZ_IHrCdFh15_5rk5qgdQUArC7JFY4")</f>
        <v>https://drive.google.com/drive/folders/1c_JZ_IHrCdFh15_5rk5qgdQUArC7JFY4</v>
      </c>
      <c r="C441" s="1" t="str">
        <f>HYPERLINK("https://drive.google.com/drive/folders/1c_JZ_IHrCdFh15_5rk5qgdQUArC7JFY4","jeff brown tech investor")</f>
        <v>jeff brown tech investor</v>
      </c>
    </row>
    <row r="442">
      <c r="A442" s="1" t="str">
        <f t="shared" si="331"/>
        <v>jeff brown stock picks for 2021</v>
      </c>
      <c r="B442" s="1" t="str">
        <f t="shared" si="332"/>
        <v>https://drive.google.com/drive/folders/1c_JZ_IHrCdFh15_5rk5qgdQUArC7JFY4</v>
      </c>
      <c r="C442" s="1" t="str">
        <f>HYPERLINK("https://drive.google.com/drive/folders/1c_JZ_IHrCdFh15_5rk5qgdQUArC7JFY4","bill5g.com")</f>
        <v>bill5g.com</v>
      </c>
    </row>
    <row r="443">
      <c r="A443" s="1" t="str">
        <f t="shared" ref="A443:A444" si="333">HYPERLINK("https://drive.google.com/drive/folders/1c_JZ_IHrCdFh15_5rk5qgdQUArC7JFY4","jeff brown investor")</f>
        <v>jeff brown investor</v>
      </c>
      <c r="B443" s="1" t="str">
        <f t="shared" si="332"/>
        <v>https://drive.google.com/drive/folders/1c_JZ_IHrCdFh15_5rk5qgdQUArC7JFY4</v>
      </c>
      <c r="C443" s="1" t="str">
        <f>HYPERLINK("https://drive.google.com/drive/folders/1c_JZ_IHrCdFh15_5rk5qgdQUArC7JFY4","jeff brown tech investor")</f>
        <v>jeff brown tech investor</v>
      </c>
    </row>
    <row r="444">
      <c r="A444" s="1" t="str">
        <f t="shared" si="333"/>
        <v>jeff brown investor</v>
      </c>
      <c r="B444" s="1" t="str">
        <f t="shared" si="332"/>
        <v>https://drive.google.com/drive/folders/1c_JZ_IHrCdFh15_5rk5qgdQUArC7JFY4</v>
      </c>
      <c r="C444" s="1" t="str">
        <f>HYPERLINK("https://drive.google.com/drive/folders/1c_JZ_IHrCdFh15_5rk5qgdQUArC7JFY4","bill5g.com")</f>
        <v>bill5g.com</v>
      </c>
    </row>
    <row r="445">
      <c r="A445" s="1" t="str">
        <f t="shared" ref="A445:A446" si="334">HYPERLINK("https://drive.google.com/drive/folders/1Mi5U4Nk1swJBw8dPTtVwJcbpp48CL2iL","jeff brown stock picks for 2021")</f>
        <v>jeff brown stock picks for 2021</v>
      </c>
      <c r="B445" s="1" t="str">
        <f t="shared" ref="B445:B448" si="335">HYPERLINK("https://drive.google.com/drive/folders/1Mi5U4Nk1swJBw8dPTtVwJcbpp48CL2iL","https://drive.google.com/drive/folders/1Mi5U4Nk1swJBw8dPTtVwJcbpp48CL2iL")</f>
        <v>https://drive.google.com/drive/folders/1Mi5U4Nk1swJBw8dPTtVwJcbpp48CL2iL</v>
      </c>
      <c r="C445" s="1" t="str">
        <f>HYPERLINK("https://drive.google.com/drive/folders/1Mi5U4Nk1swJBw8dPTtVwJcbpp48CL2iL","jeff brown tech investor")</f>
        <v>jeff brown tech investor</v>
      </c>
    </row>
    <row r="446">
      <c r="A446" s="1" t="str">
        <f t="shared" si="334"/>
        <v>jeff brown stock picks for 2021</v>
      </c>
      <c r="B446" s="1" t="str">
        <f t="shared" si="335"/>
        <v>https://drive.google.com/drive/folders/1Mi5U4Nk1swJBw8dPTtVwJcbpp48CL2iL</v>
      </c>
      <c r="C446" s="1" t="str">
        <f>HYPERLINK("https://drive.google.com/drive/folders/1Mi5U4Nk1swJBw8dPTtVwJcbpp48CL2iL","bill5g.com")</f>
        <v>bill5g.com</v>
      </c>
    </row>
    <row r="447">
      <c r="A447" s="1" t="str">
        <f t="shared" ref="A447:A448" si="336">HYPERLINK("https://drive.google.com/drive/folders/1Mi5U4Nk1swJBw8dPTtVwJcbpp48CL2iL","jeff brown investor")</f>
        <v>jeff brown investor</v>
      </c>
      <c r="B447" s="1" t="str">
        <f t="shared" si="335"/>
        <v>https://drive.google.com/drive/folders/1Mi5U4Nk1swJBw8dPTtVwJcbpp48CL2iL</v>
      </c>
      <c r="C447" s="1" t="str">
        <f>HYPERLINK("https://drive.google.com/drive/folders/1Mi5U4Nk1swJBw8dPTtVwJcbpp48CL2iL","jeff brown tech investor")</f>
        <v>jeff brown tech investor</v>
      </c>
    </row>
    <row r="448">
      <c r="A448" s="1" t="str">
        <f t="shared" si="336"/>
        <v>jeff brown investor</v>
      </c>
      <c r="B448" s="1" t="str">
        <f t="shared" si="335"/>
        <v>https://drive.google.com/drive/folders/1Mi5U4Nk1swJBw8dPTtVwJcbpp48CL2iL</v>
      </c>
      <c r="C448" s="1" t="str">
        <f>HYPERLINK("https://drive.google.com/drive/folders/1Mi5U4Nk1swJBw8dPTtVwJcbpp48CL2iL","bill5g.com")</f>
        <v>bill5g.com</v>
      </c>
    </row>
    <row r="449">
      <c r="A449" s="1" t="str">
        <f t="shared" ref="A449:A450" si="337">HYPERLINK("https://drive.google.com/drive/folders/1lwbspJTU2URNyvK43hlvrSP26fij_Tu0","jeff brown stock picks for 2021")</f>
        <v>jeff brown stock picks for 2021</v>
      </c>
      <c r="B449" s="1" t="str">
        <f t="shared" ref="B449:B452" si="338">HYPERLINK("https://drive.google.com/drive/folders/1lwbspJTU2URNyvK43hlvrSP26fij_Tu0","https://drive.google.com/drive/folders/1lwbspJTU2URNyvK43hlvrSP26fij_Tu0")</f>
        <v>https://drive.google.com/drive/folders/1lwbspJTU2URNyvK43hlvrSP26fij_Tu0</v>
      </c>
      <c r="C449" s="1" t="str">
        <f>HYPERLINK("https://drive.google.com/drive/folders/1lwbspJTU2URNyvK43hlvrSP26fij_Tu0","jeff brown tech investor")</f>
        <v>jeff brown tech investor</v>
      </c>
    </row>
    <row r="450">
      <c r="A450" s="1" t="str">
        <f t="shared" si="337"/>
        <v>jeff brown stock picks for 2021</v>
      </c>
      <c r="B450" s="1" t="str">
        <f t="shared" si="338"/>
        <v>https://drive.google.com/drive/folders/1lwbspJTU2URNyvK43hlvrSP26fij_Tu0</v>
      </c>
      <c r="C450" s="1" t="str">
        <f>HYPERLINK("https://drive.google.com/drive/folders/1lwbspJTU2URNyvK43hlvrSP26fij_Tu0","bill5g.com")</f>
        <v>bill5g.com</v>
      </c>
    </row>
    <row r="451">
      <c r="A451" s="1" t="str">
        <f t="shared" ref="A451:A452" si="339">HYPERLINK("https://drive.google.com/drive/folders/1lwbspJTU2URNyvK43hlvrSP26fij_Tu0","jeff brown investor")</f>
        <v>jeff brown investor</v>
      </c>
      <c r="B451" s="1" t="str">
        <f t="shared" si="338"/>
        <v>https://drive.google.com/drive/folders/1lwbspJTU2URNyvK43hlvrSP26fij_Tu0</v>
      </c>
      <c r="C451" s="1" t="str">
        <f>HYPERLINK("https://drive.google.com/drive/folders/1lwbspJTU2URNyvK43hlvrSP26fij_Tu0","jeff brown tech investor")</f>
        <v>jeff brown tech investor</v>
      </c>
    </row>
    <row r="452">
      <c r="A452" s="1" t="str">
        <f t="shared" si="339"/>
        <v>jeff brown investor</v>
      </c>
      <c r="B452" s="1" t="str">
        <f t="shared" si="338"/>
        <v>https://drive.google.com/drive/folders/1lwbspJTU2URNyvK43hlvrSP26fij_Tu0</v>
      </c>
      <c r="C452" s="1" t="str">
        <f>HYPERLINK("https://drive.google.com/drive/folders/1lwbspJTU2URNyvK43hlvrSP26fij_Tu0","bill5g.com")</f>
        <v>bill5g.com</v>
      </c>
    </row>
    <row r="453">
      <c r="A453" s="1" t="str">
        <f t="shared" ref="A453:A454" si="340">HYPERLINK("https://drive.google.com/drive/folders/1svKsdfzNBQtWOMjPge88fd4XQzQ8H0G2","jeff brown stock picks for 2021")</f>
        <v>jeff brown stock picks for 2021</v>
      </c>
      <c r="B453" s="1" t="str">
        <f t="shared" ref="B453:B456" si="341">HYPERLINK("https://drive.google.com/drive/folders/1svKsdfzNBQtWOMjPge88fd4XQzQ8H0G2","https://drive.google.com/drive/folders/1svKsdfzNBQtWOMjPge88fd4XQzQ8H0G2")</f>
        <v>https://drive.google.com/drive/folders/1svKsdfzNBQtWOMjPge88fd4XQzQ8H0G2</v>
      </c>
      <c r="C453" s="1" t="str">
        <f>HYPERLINK("https://drive.google.com/drive/folders/1svKsdfzNBQtWOMjPge88fd4XQzQ8H0G2","jeff brown tech investor")</f>
        <v>jeff brown tech investor</v>
      </c>
    </row>
    <row r="454">
      <c r="A454" s="1" t="str">
        <f t="shared" si="340"/>
        <v>jeff brown stock picks for 2021</v>
      </c>
      <c r="B454" s="1" t="str">
        <f t="shared" si="341"/>
        <v>https://drive.google.com/drive/folders/1svKsdfzNBQtWOMjPge88fd4XQzQ8H0G2</v>
      </c>
      <c r="C454" s="1" t="str">
        <f>HYPERLINK("https://drive.google.com/drive/folders/1svKsdfzNBQtWOMjPge88fd4XQzQ8H0G2","bill5g.com")</f>
        <v>bill5g.com</v>
      </c>
    </row>
    <row r="455">
      <c r="A455" s="1" t="str">
        <f t="shared" ref="A455:A456" si="342">HYPERLINK("https://drive.google.com/drive/folders/1svKsdfzNBQtWOMjPge88fd4XQzQ8H0G2","jeff brown investor")</f>
        <v>jeff brown investor</v>
      </c>
      <c r="B455" s="1" t="str">
        <f t="shared" si="341"/>
        <v>https://drive.google.com/drive/folders/1svKsdfzNBQtWOMjPge88fd4XQzQ8H0G2</v>
      </c>
      <c r="C455" s="1" t="str">
        <f>HYPERLINK("https://drive.google.com/drive/folders/1svKsdfzNBQtWOMjPge88fd4XQzQ8H0G2","jeff brown tech investor")</f>
        <v>jeff brown tech investor</v>
      </c>
    </row>
    <row r="456">
      <c r="A456" s="1" t="str">
        <f t="shared" si="342"/>
        <v>jeff brown investor</v>
      </c>
      <c r="B456" s="1" t="str">
        <f t="shared" si="341"/>
        <v>https://drive.google.com/drive/folders/1svKsdfzNBQtWOMjPge88fd4XQzQ8H0G2</v>
      </c>
      <c r="C456" s="1" t="str">
        <f>HYPERLINK("https://drive.google.com/drive/folders/1svKsdfzNBQtWOMjPge88fd4XQzQ8H0G2","bill5g.com")</f>
        <v>bill5g.com</v>
      </c>
    </row>
    <row r="457">
      <c r="A457" s="1" t="str">
        <f t="shared" ref="A457:A458" si="343">HYPERLINK("https://docs.google.com/spreadsheets/d/1fxtEoWbXUJpk4AhpzDsdm1xk7NXtUFjsZ4dUThZqjmQ","jeff brown stock picks for 2021")</f>
        <v>jeff brown stock picks for 2021</v>
      </c>
      <c r="B457" s="1" t="str">
        <f t="shared" ref="B457:B460" si="344">HYPERLINK("https://docs.google.com/spreadsheets/d/1fxtEoWbXUJpk4AhpzDsdm1xk7NXtUFjsZ4dUThZqjmQ","https://docs.google.com/spreadsheets/d/1fxtEoWbXUJpk4AhpzDsdm1xk7NXtUFjsZ4dUThZqjmQ")</f>
        <v>https://docs.google.com/spreadsheets/d/1fxtEoWbXUJpk4AhpzDsdm1xk7NXtUFjsZ4dUThZqjmQ</v>
      </c>
      <c r="C457" s="1" t="str">
        <f>HYPERLINK("https://docs.google.com/spreadsheets/d/1fxtEoWbXUJpk4AhpzDsdm1xk7NXtUFjsZ4dUThZqjmQ","jeff brown tech investor")</f>
        <v>jeff brown tech investor</v>
      </c>
    </row>
    <row r="458">
      <c r="A458" s="1" t="str">
        <f t="shared" si="343"/>
        <v>jeff brown stock picks for 2021</v>
      </c>
      <c r="B458" s="1" t="str">
        <f t="shared" si="344"/>
        <v>https://docs.google.com/spreadsheets/d/1fxtEoWbXUJpk4AhpzDsdm1xk7NXtUFjsZ4dUThZqjmQ</v>
      </c>
      <c r="C458" s="1" t="str">
        <f>HYPERLINK("https://docs.google.com/spreadsheets/d/1fxtEoWbXUJpk4AhpzDsdm1xk7NXtUFjsZ4dUThZqjmQ","bill5g.com")</f>
        <v>bill5g.com</v>
      </c>
    </row>
    <row r="459">
      <c r="A459" s="1" t="str">
        <f t="shared" ref="A459:A460" si="345">HYPERLINK("https://docs.google.com/spreadsheets/d/1fxtEoWbXUJpk4AhpzDsdm1xk7NXtUFjsZ4dUThZqjmQ","jeff brown investor")</f>
        <v>jeff brown investor</v>
      </c>
      <c r="B459" s="1" t="str">
        <f t="shared" si="344"/>
        <v>https://docs.google.com/spreadsheets/d/1fxtEoWbXUJpk4AhpzDsdm1xk7NXtUFjsZ4dUThZqjmQ</v>
      </c>
      <c r="C459" s="1" t="str">
        <f>HYPERLINK("https://docs.google.com/spreadsheets/d/1fxtEoWbXUJpk4AhpzDsdm1xk7NXtUFjsZ4dUThZqjmQ","jeff brown tech investor")</f>
        <v>jeff brown tech investor</v>
      </c>
    </row>
    <row r="460">
      <c r="A460" s="1" t="str">
        <f t="shared" si="345"/>
        <v>jeff brown investor</v>
      </c>
      <c r="B460" s="1" t="str">
        <f t="shared" si="344"/>
        <v>https://docs.google.com/spreadsheets/d/1fxtEoWbXUJpk4AhpzDsdm1xk7NXtUFjsZ4dUThZqjmQ</v>
      </c>
      <c r="C460" s="1" t="str">
        <f>HYPERLINK("https://docs.google.com/spreadsheets/d/1fxtEoWbXUJpk4AhpzDsdm1xk7NXtUFjsZ4dUThZqjmQ","bill5g.com")</f>
        <v>bill5g.com</v>
      </c>
    </row>
    <row r="461">
      <c r="A461" s="1" t="str">
        <f t="shared" ref="A461:A462" si="346">HYPERLINK("https://docs.google.com/spreadsheets/d/1TuO0RTsxUwIVseOO3Fek2ujQIdd9V_mRQkYn3CZN0L0","jeff brown stock picks for 2021")</f>
        <v>jeff brown stock picks for 2021</v>
      </c>
      <c r="B461" s="1" t="str">
        <f t="shared" ref="B461:B464" si="347">HYPERLINK("https://docs.google.com/spreadsheets/d/1TuO0RTsxUwIVseOO3Fek2ujQIdd9V_mRQkYn3CZN0L0","https://docs.google.com/spreadsheets/d/1TuO0RTsxUwIVseOO3Fek2ujQIdd9V_mRQkYn3CZN0L0")</f>
        <v>https://docs.google.com/spreadsheets/d/1TuO0RTsxUwIVseOO3Fek2ujQIdd9V_mRQkYn3CZN0L0</v>
      </c>
      <c r="C461" s="1" t="str">
        <f>HYPERLINK("https://docs.google.com/spreadsheets/d/1TuO0RTsxUwIVseOO3Fek2ujQIdd9V_mRQkYn3CZN0L0","jeff brown tech investor")</f>
        <v>jeff brown tech investor</v>
      </c>
    </row>
    <row r="462">
      <c r="A462" s="1" t="str">
        <f t="shared" si="346"/>
        <v>jeff brown stock picks for 2021</v>
      </c>
      <c r="B462" s="1" t="str">
        <f t="shared" si="347"/>
        <v>https://docs.google.com/spreadsheets/d/1TuO0RTsxUwIVseOO3Fek2ujQIdd9V_mRQkYn3CZN0L0</v>
      </c>
      <c r="C462" s="1" t="str">
        <f>HYPERLINK("https://docs.google.com/spreadsheets/d/1TuO0RTsxUwIVseOO3Fek2ujQIdd9V_mRQkYn3CZN0L0","bill5g.com")</f>
        <v>bill5g.com</v>
      </c>
    </row>
    <row r="463">
      <c r="A463" s="1" t="str">
        <f t="shared" ref="A463:A464" si="348">HYPERLINK("https://docs.google.com/spreadsheets/d/1TuO0RTsxUwIVseOO3Fek2ujQIdd9V_mRQkYn3CZN0L0","jeff brown investor")</f>
        <v>jeff brown investor</v>
      </c>
      <c r="B463" s="1" t="str">
        <f t="shared" si="347"/>
        <v>https://docs.google.com/spreadsheets/d/1TuO0RTsxUwIVseOO3Fek2ujQIdd9V_mRQkYn3CZN0L0</v>
      </c>
      <c r="C463" s="1" t="str">
        <f>HYPERLINK("https://docs.google.com/spreadsheets/d/1TuO0RTsxUwIVseOO3Fek2ujQIdd9V_mRQkYn3CZN0L0","jeff brown tech investor")</f>
        <v>jeff brown tech investor</v>
      </c>
    </row>
    <row r="464">
      <c r="A464" s="1" t="str">
        <f t="shared" si="348"/>
        <v>jeff brown investor</v>
      </c>
      <c r="B464" s="1" t="str">
        <f t="shared" si="347"/>
        <v>https://docs.google.com/spreadsheets/d/1TuO0RTsxUwIVseOO3Fek2ujQIdd9V_mRQkYn3CZN0L0</v>
      </c>
      <c r="C464" s="1" t="str">
        <f>HYPERLINK("https://docs.google.com/spreadsheets/d/1TuO0RTsxUwIVseOO3Fek2ujQIdd9V_mRQkYn3CZN0L0","bill5g.com")</f>
        <v>bill5g.com</v>
      </c>
    </row>
    <row r="465">
      <c r="A465" s="1" t="str">
        <f t="shared" ref="A465:A466" si="349">HYPERLINK("https://drive.google.com/drive/folders/17D3IQlcpz85qNSYJUPRKIxs8IdEwSSSZ","jeff brown stock picks for 2021")</f>
        <v>jeff brown stock picks for 2021</v>
      </c>
      <c r="B465" s="1" t="str">
        <f t="shared" ref="B465:B468" si="350">HYPERLINK("https://drive.google.com/drive/folders/17D3IQlcpz85qNSYJUPRKIxs8IdEwSSSZ","https://drive.google.com/drive/folders/17D3IQlcpz85qNSYJUPRKIxs8IdEwSSSZ")</f>
        <v>https://drive.google.com/drive/folders/17D3IQlcpz85qNSYJUPRKIxs8IdEwSSSZ</v>
      </c>
      <c r="C465" s="1" t="str">
        <f>HYPERLINK("https://drive.google.com/drive/folders/17D3IQlcpz85qNSYJUPRKIxs8IdEwSSSZ","jeff brown tech investor")</f>
        <v>jeff brown tech investor</v>
      </c>
    </row>
    <row r="466">
      <c r="A466" s="1" t="str">
        <f t="shared" si="349"/>
        <v>jeff brown stock picks for 2021</v>
      </c>
      <c r="B466" s="1" t="str">
        <f t="shared" si="350"/>
        <v>https://drive.google.com/drive/folders/17D3IQlcpz85qNSYJUPRKIxs8IdEwSSSZ</v>
      </c>
      <c r="C466" s="1" t="str">
        <f>HYPERLINK("https://drive.google.com/drive/folders/17D3IQlcpz85qNSYJUPRKIxs8IdEwSSSZ","bill5g.com")</f>
        <v>bill5g.com</v>
      </c>
    </row>
    <row r="467">
      <c r="A467" s="1" t="str">
        <f t="shared" ref="A467:A468" si="351">HYPERLINK("https://drive.google.com/drive/folders/17D3IQlcpz85qNSYJUPRKIxs8IdEwSSSZ","jeff brown investor")</f>
        <v>jeff brown investor</v>
      </c>
      <c r="B467" s="1" t="str">
        <f t="shared" si="350"/>
        <v>https://drive.google.com/drive/folders/17D3IQlcpz85qNSYJUPRKIxs8IdEwSSSZ</v>
      </c>
      <c r="C467" s="1" t="str">
        <f>HYPERLINK("https://drive.google.com/drive/folders/17D3IQlcpz85qNSYJUPRKIxs8IdEwSSSZ","jeff brown tech investor")</f>
        <v>jeff brown tech investor</v>
      </c>
    </row>
    <row r="468">
      <c r="A468" s="1" t="str">
        <f t="shared" si="351"/>
        <v>jeff brown investor</v>
      </c>
      <c r="B468" s="1" t="str">
        <f t="shared" si="350"/>
        <v>https://drive.google.com/drive/folders/17D3IQlcpz85qNSYJUPRKIxs8IdEwSSSZ</v>
      </c>
      <c r="C468" s="1" t="str">
        <f>HYPERLINK("https://drive.google.com/drive/folders/17D3IQlcpz85qNSYJUPRKIxs8IdEwSSSZ","bill5g.com")</f>
        <v>bill5g.com</v>
      </c>
    </row>
    <row r="469">
      <c r="A469" s="1" t="str">
        <f t="shared" ref="A469:A470" si="352">HYPERLINK("https://drive.google.com/drive/folders/1bfzOfpEFth2lAX_I7dpk1KPdlxUzl4qk","jeff brown stock picks for 2021")</f>
        <v>jeff brown stock picks for 2021</v>
      </c>
      <c r="B469" s="1" t="str">
        <f t="shared" ref="B469:B472" si="353">HYPERLINK("https://drive.google.com/drive/folders/1bfzOfpEFth2lAX_I7dpk1KPdlxUzl4qk","https://drive.google.com/drive/folders/1bfzOfpEFth2lAX_I7dpk1KPdlxUzl4qk")</f>
        <v>https://drive.google.com/drive/folders/1bfzOfpEFth2lAX_I7dpk1KPdlxUzl4qk</v>
      </c>
      <c r="C469" s="1" t="str">
        <f>HYPERLINK("https://drive.google.com/drive/folders/1bfzOfpEFth2lAX_I7dpk1KPdlxUzl4qk","jeff brown tech investor")</f>
        <v>jeff brown tech investor</v>
      </c>
    </row>
    <row r="470">
      <c r="A470" s="1" t="str">
        <f t="shared" si="352"/>
        <v>jeff brown stock picks for 2021</v>
      </c>
      <c r="B470" s="1" t="str">
        <f t="shared" si="353"/>
        <v>https://drive.google.com/drive/folders/1bfzOfpEFth2lAX_I7dpk1KPdlxUzl4qk</v>
      </c>
      <c r="C470" s="1" t="str">
        <f>HYPERLINK("https://drive.google.com/drive/folders/1bfzOfpEFth2lAX_I7dpk1KPdlxUzl4qk","bill5g.com")</f>
        <v>bill5g.com</v>
      </c>
    </row>
    <row r="471">
      <c r="A471" s="1" t="str">
        <f t="shared" ref="A471:A472" si="354">HYPERLINK("https://drive.google.com/drive/folders/1bfzOfpEFth2lAX_I7dpk1KPdlxUzl4qk","jeff brown investor")</f>
        <v>jeff brown investor</v>
      </c>
      <c r="B471" s="1" t="str">
        <f t="shared" si="353"/>
        <v>https://drive.google.com/drive/folders/1bfzOfpEFth2lAX_I7dpk1KPdlxUzl4qk</v>
      </c>
      <c r="C471" s="1" t="str">
        <f>HYPERLINK("https://drive.google.com/drive/folders/1bfzOfpEFth2lAX_I7dpk1KPdlxUzl4qk","jeff brown tech investor")</f>
        <v>jeff brown tech investor</v>
      </c>
    </row>
    <row r="472">
      <c r="A472" s="1" t="str">
        <f t="shared" si="354"/>
        <v>jeff brown investor</v>
      </c>
      <c r="B472" s="1" t="str">
        <f t="shared" si="353"/>
        <v>https://drive.google.com/drive/folders/1bfzOfpEFth2lAX_I7dpk1KPdlxUzl4qk</v>
      </c>
      <c r="C472" s="1" t="str">
        <f>HYPERLINK("https://drive.google.com/drive/folders/1bfzOfpEFth2lAX_I7dpk1KPdlxUzl4qk","bill5g.com")</f>
        <v>bill5g.com</v>
      </c>
    </row>
    <row r="473">
      <c r="A473" s="1" t="str">
        <f t="shared" ref="A473:A474" si="355">HYPERLINK("https://docs.google.com/spreadsheets/d/1mtdg608SuknNfzbfYToo4CwArCLP3aCkDbe0bfwi9rY","jeff brown stock picks for 2021")</f>
        <v>jeff brown stock picks for 2021</v>
      </c>
      <c r="B473" s="1" t="str">
        <f t="shared" ref="B473:B476" si="356">HYPERLINK("https://docs.google.com/spreadsheets/d/1mtdg608SuknNfzbfYToo4CwArCLP3aCkDbe0bfwi9rY","https://docs.google.com/spreadsheets/d/1mtdg608SuknNfzbfYToo4CwArCLP3aCkDbe0bfwi9rY")</f>
        <v>https://docs.google.com/spreadsheets/d/1mtdg608SuknNfzbfYToo4CwArCLP3aCkDbe0bfwi9rY</v>
      </c>
      <c r="C473" s="1" t="str">
        <f>HYPERLINK("https://docs.google.com/spreadsheets/d/1mtdg608SuknNfzbfYToo4CwArCLP3aCkDbe0bfwi9rY","jeff brown tech investor")</f>
        <v>jeff brown tech investor</v>
      </c>
    </row>
    <row r="474">
      <c r="A474" s="1" t="str">
        <f t="shared" si="355"/>
        <v>jeff brown stock picks for 2021</v>
      </c>
      <c r="B474" s="1" t="str">
        <f t="shared" si="356"/>
        <v>https://docs.google.com/spreadsheets/d/1mtdg608SuknNfzbfYToo4CwArCLP3aCkDbe0bfwi9rY</v>
      </c>
      <c r="C474" s="1" t="str">
        <f>HYPERLINK("https://docs.google.com/spreadsheets/d/1mtdg608SuknNfzbfYToo4CwArCLP3aCkDbe0bfwi9rY","bill5g.com")</f>
        <v>bill5g.com</v>
      </c>
    </row>
    <row r="475">
      <c r="A475" s="1" t="str">
        <f t="shared" ref="A475:A476" si="357">HYPERLINK("https://docs.google.com/spreadsheets/d/1mtdg608SuknNfzbfYToo4CwArCLP3aCkDbe0bfwi9rY","jeff brown investor")</f>
        <v>jeff brown investor</v>
      </c>
      <c r="B475" s="1" t="str">
        <f t="shared" si="356"/>
        <v>https://docs.google.com/spreadsheets/d/1mtdg608SuknNfzbfYToo4CwArCLP3aCkDbe0bfwi9rY</v>
      </c>
      <c r="C475" s="1" t="str">
        <f>HYPERLINK("https://docs.google.com/spreadsheets/d/1mtdg608SuknNfzbfYToo4CwArCLP3aCkDbe0bfwi9rY","jeff brown tech investor")</f>
        <v>jeff brown tech investor</v>
      </c>
    </row>
    <row r="476">
      <c r="A476" s="1" t="str">
        <f t="shared" si="357"/>
        <v>jeff brown investor</v>
      </c>
      <c r="B476" s="1" t="str">
        <f t="shared" si="356"/>
        <v>https://docs.google.com/spreadsheets/d/1mtdg608SuknNfzbfYToo4CwArCLP3aCkDbe0bfwi9rY</v>
      </c>
      <c r="C476" s="1" t="str">
        <f>HYPERLINK("https://docs.google.com/spreadsheets/d/1mtdg608SuknNfzbfYToo4CwArCLP3aCkDbe0bfwi9rY","bill5g.com")</f>
        <v>bill5g.com</v>
      </c>
    </row>
    <row r="477">
      <c r="A477" s="1" t="str">
        <f t="shared" ref="A477:A478" si="358">HYPERLINK("https://docs.google.com/spreadsheets/d/1S2S9qW4Vv1WpFYJo7bmJu3fbT5n0wKDh5VbljGLtI9E","jeff brown stock picks for 2021")</f>
        <v>jeff brown stock picks for 2021</v>
      </c>
      <c r="B477" s="1" t="str">
        <f t="shared" ref="B477:B480" si="359">HYPERLINK("https://docs.google.com/spreadsheets/d/1S2S9qW4Vv1WpFYJo7bmJu3fbT5n0wKDh5VbljGLtI9E","https://docs.google.com/spreadsheets/d/1S2S9qW4Vv1WpFYJo7bmJu3fbT5n0wKDh5VbljGLtI9E")</f>
        <v>https://docs.google.com/spreadsheets/d/1S2S9qW4Vv1WpFYJo7bmJu3fbT5n0wKDh5VbljGLtI9E</v>
      </c>
      <c r="C477" s="1" t="str">
        <f>HYPERLINK("https://docs.google.com/spreadsheets/d/1S2S9qW4Vv1WpFYJo7bmJu3fbT5n0wKDh5VbljGLtI9E","jeff brown tech investor")</f>
        <v>jeff brown tech investor</v>
      </c>
    </row>
    <row r="478">
      <c r="A478" s="1" t="str">
        <f t="shared" si="358"/>
        <v>jeff brown stock picks for 2021</v>
      </c>
      <c r="B478" s="1" t="str">
        <f t="shared" si="359"/>
        <v>https://docs.google.com/spreadsheets/d/1S2S9qW4Vv1WpFYJo7bmJu3fbT5n0wKDh5VbljGLtI9E</v>
      </c>
      <c r="C478" s="1" t="str">
        <f>HYPERLINK("https://docs.google.com/spreadsheets/d/1S2S9qW4Vv1WpFYJo7bmJu3fbT5n0wKDh5VbljGLtI9E","bill5g.com")</f>
        <v>bill5g.com</v>
      </c>
    </row>
    <row r="479">
      <c r="A479" s="1" t="str">
        <f t="shared" ref="A479:A480" si="360">HYPERLINK("https://docs.google.com/spreadsheets/d/1S2S9qW4Vv1WpFYJo7bmJu3fbT5n0wKDh5VbljGLtI9E","jeff brown investor")</f>
        <v>jeff brown investor</v>
      </c>
      <c r="B479" s="1" t="str">
        <f t="shared" si="359"/>
        <v>https://docs.google.com/spreadsheets/d/1S2S9qW4Vv1WpFYJo7bmJu3fbT5n0wKDh5VbljGLtI9E</v>
      </c>
      <c r="C479" s="1" t="str">
        <f>HYPERLINK("https://docs.google.com/spreadsheets/d/1S2S9qW4Vv1WpFYJo7bmJu3fbT5n0wKDh5VbljGLtI9E","jeff brown tech investor")</f>
        <v>jeff brown tech investor</v>
      </c>
    </row>
    <row r="480">
      <c r="A480" s="1" t="str">
        <f t="shared" si="360"/>
        <v>jeff brown investor</v>
      </c>
      <c r="B480" s="1" t="str">
        <f t="shared" si="359"/>
        <v>https://docs.google.com/spreadsheets/d/1S2S9qW4Vv1WpFYJo7bmJu3fbT5n0wKDh5VbljGLtI9E</v>
      </c>
      <c r="C480" s="1" t="str">
        <f>HYPERLINK("https://docs.google.com/spreadsheets/d/1S2S9qW4Vv1WpFYJo7bmJu3fbT5n0wKDh5VbljGLtI9E","bill5g.com")</f>
        <v>bill5g.com</v>
      </c>
    </row>
    <row r="481">
      <c r="A481" s="1" t="str">
        <f t="shared" ref="A481:A482" si="361">HYPERLINK("https://docs.google.com/spreadsheets/d/1uauUoOMgwC8_QNixJwK_quPIX_cpWs8usu1sptA4w-M","jeff brown stock picks for 2021")</f>
        <v>jeff brown stock picks for 2021</v>
      </c>
      <c r="B481" s="1" t="str">
        <f t="shared" ref="B481:B484" si="362">HYPERLINK("https://docs.google.com/spreadsheets/d/1uauUoOMgwC8_QNixJwK_quPIX_cpWs8usu1sptA4w-M","https://docs.google.com/spreadsheets/d/1uauUoOMgwC8_QNixJwK_quPIX_cpWs8usu1sptA4w-M")</f>
        <v>https://docs.google.com/spreadsheets/d/1uauUoOMgwC8_QNixJwK_quPIX_cpWs8usu1sptA4w-M</v>
      </c>
      <c r="C481" s="1" t="str">
        <f>HYPERLINK("https://docs.google.com/spreadsheets/d/1uauUoOMgwC8_QNixJwK_quPIX_cpWs8usu1sptA4w-M","jeff brown tech investor")</f>
        <v>jeff brown tech investor</v>
      </c>
    </row>
    <row r="482">
      <c r="A482" s="1" t="str">
        <f t="shared" si="361"/>
        <v>jeff brown stock picks for 2021</v>
      </c>
      <c r="B482" s="1" t="str">
        <f t="shared" si="362"/>
        <v>https://docs.google.com/spreadsheets/d/1uauUoOMgwC8_QNixJwK_quPIX_cpWs8usu1sptA4w-M</v>
      </c>
      <c r="C482" s="1" t="str">
        <f>HYPERLINK("https://docs.google.com/spreadsheets/d/1uauUoOMgwC8_QNixJwK_quPIX_cpWs8usu1sptA4w-M","bill5g.com")</f>
        <v>bill5g.com</v>
      </c>
    </row>
    <row r="483">
      <c r="A483" s="1" t="str">
        <f t="shared" ref="A483:A484" si="363">HYPERLINK("https://docs.google.com/spreadsheets/d/1uauUoOMgwC8_QNixJwK_quPIX_cpWs8usu1sptA4w-M","jeff brown investor")</f>
        <v>jeff brown investor</v>
      </c>
      <c r="B483" s="1" t="str">
        <f t="shared" si="362"/>
        <v>https://docs.google.com/spreadsheets/d/1uauUoOMgwC8_QNixJwK_quPIX_cpWs8usu1sptA4w-M</v>
      </c>
      <c r="C483" s="1" t="str">
        <f>HYPERLINK("https://docs.google.com/spreadsheets/d/1uauUoOMgwC8_QNixJwK_quPIX_cpWs8usu1sptA4w-M","jeff brown tech investor")</f>
        <v>jeff brown tech investor</v>
      </c>
    </row>
    <row r="484">
      <c r="A484" s="1" t="str">
        <f t="shared" si="363"/>
        <v>jeff brown investor</v>
      </c>
      <c r="B484" s="1" t="str">
        <f t="shared" si="362"/>
        <v>https://docs.google.com/spreadsheets/d/1uauUoOMgwC8_QNixJwK_quPIX_cpWs8usu1sptA4w-M</v>
      </c>
      <c r="C484" s="1" t="str">
        <f>HYPERLINK("https://docs.google.com/spreadsheets/d/1uauUoOMgwC8_QNixJwK_quPIX_cpWs8usu1sptA4w-M","bill5g.com")</f>
        <v>bill5g.com</v>
      </c>
    </row>
    <row r="485">
      <c r="A485" s="1" t="str">
        <f t="shared" ref="A485:A486" si="364">HYPERLINK("https://docs.google.com/spreadsheets/d/1QtgfwGeRAvGTFDiPjibjTiO8rv1bb1cWkpgT51E7Pp0","jeff brown stock picks for 2021")</f>
        <v>jeff brown stock picks for 2021</v>
      </c>
      <c r="B485" s="1" t="str">
        <f t="shared" ref="B485:B488" si="365">HYPERLINK("https://docs.google.com/spreadsheets/d/1QtgfwGeRAvGTFDiPjibjTiO8rv1bb1cWkpgT51E7Pp0","https://docs.google.com/spreadsheets/d/1QtgfwGeRAvGTFDiPjibjTiO8rv1bb1cWkpgT51E7Pp0")</f>
        <v>https://docs.google.com/spreadsheets/d/1QtgfwGeRAvGTFDiPjibjTiO8rv1bb1cWkpgT51E7Pp0</v>
      </c>
      <c r="C485" s="1" t="str">
        <f>HYPERLINK("https://docs.google.com/spreadsheets/d/1QtgfwGeRAvGTFDiPjibjTiO8rv1bb1cWkpgT51E7Pp0","jeff brown tech investor")</f>
        <v>jeff brown tech investor</v>
      </c>
    </row>
    <row r="486">
      <c r="A486" s="1" t="str">
        <f t="shared" si="364"/>
        <v>jeff brown stock picks for 2021</v>
      </c>
      <c r="B486" s="1" t="str">
        <f t="shared" si="365"/>
        <v>https://docs.google.com/spreadsheets/d/1QtgfwGeRAvGTFDiPjibjTiO8rv1bb1cWkpgT51E7Pp0</v>
      </c>
      <c r="C486" s="1" t="str">
        <f>HYPERLINK("https://docs.google.com/spreadsheets/d/1QtgfwGeRAvGTFDiPjibjTiO8rv1bb1cWkpgT51E7Pp0","bill5g.com")</f>
        <v>bill5g.com</v>
      </c>
    </row>
    <row r="487">
      <c r="A487" s="1" t="str">
        <f t="shared" ref="A487:A488" si="366">HYPERLINK("https://docs.google.com/spreadsheets/d/1QtgfwGeRAvGTFDiPjibjTiO8rv1bb1cWkpgT51E7Pp0","jeff brown investor")</f>
        <v>jeff brown investor</v>
      </c>
      <c r="B487" s="1" t="str">
        <f t="shared" si="365"/>
        <v>https://docs.google.com/spreadsheets/d/1QtgfwGeRAvGTFDiPjibjTiO8rv1bb1cWkpgT51E7Pp0</v>
      </c>
      <c r="C487" s="1" t="str">
        <f>HYPERLINK("https://docs.google.com/spreadsheets/d/1QtgfwGeRAvGTFDiPjibjTiO8rv1bb1cWkpgT51E7Pp0","jeff brown tech investor")</f>
        <v>jeff brown tech investor</v>
      </c>
    </row>
    <row r="488">
      <c r="A488" s="1" t="str">
        <f t="shared" si="366"/>
        <v>jeff brown investor</v>
      </c>
      <c r="B488" s="1" t="str">
        <f t="shared" si="365"/>
        <v>https://docs.google.com/spreadsheets/d/1QtgfwGeRAvGTFDiPjibjTiO8rv1bb1cWkpgT51E7Pp0</v>
      </c>
      <c r="C488" s="1" t="str">
        <f>HYPERLINK("https://docs.google.com/spreadsheets/d/1QtgfwGeRAvGTFDiPjibjTiO8rv1bb1cWkpgT51E7Pp0","bill5g.com")</f>
        <v>bill5g.com</v>
      </c>
    </row>
    <row r="489">
      <c r="A489" s="1" t="str">
        <f t="shared" ref="A489:A490" si="367">HYPERLINK("https://docs.google.com/spreadsheets/d/1Ts0n_QSwJdnWRN9RtrOF6lvJzTLqcwYNQFZwp8oOJP8","jeff brown stock picks for 2021")</f>
        <v>jeff brown stock picks for 2021</v>
      </c>
      <c r="B489" s="1" t="str">
        <f t="shared" ref="B489:B492" si="368">HYPERLINK("https://docs.google.com/spreadsheets/d/1Ts0n_QSwJdnWRN9RtrOF6lvJzTLqcwYNQFZwp8oOJP8","https://docs.google.com/spreadsheets/d/1Ts0n_QSwJdnWRN9RtrOF6lvJzTLqcwYNQFZwp8oOJP8")</f>
        <v>https://docs.google.com/spreadsheets/d/1Ts0n_QSwJdnWRN9RtrOF6lvJzTLqcwYNQFZwp8oOJP8</v>
      </c>
      <c r="C489" s="1" t="str">
        <f>HYPERLINK("https://docs.google.com/spreadsheets/d/1Ts0n_QSwJdnWRN9RtrOF6lvJzTLqcwYNQFZwp8oOJP8","jeff brown tech investor")</f>
        <v>jeff brown tech investor</v>
      </c>
    </row>
    <row r="490">
      <c r="A490" s="1" t="str">
        <f t="shared" si="367"/>
        <v>jeff brown stock picks for 2021</v>
      </c>
      <c r="B490" s="1" t="str">
        <f t="shared" si="368"/>
        <v>https://docs.google.com/spreadsheets/d/1Ts0n_QSwJdnWRN9RtrOF6lvJzTLqcwYNQFZwp8oOJP8</v>
      </c>
      <c r="C490" s="1" t="str">
        <f>HYPERLINK("https://docs.google.com/spreadsheets/d/1Ts0n_QSwJdnWRN9RtrOF6lvJzTLqcwYNQFZwp8oOJP8","bill5g.com")</f>
        <v>bill5g.com</v>
      </c>
    </row>
    <row r="491">
      <c r="A491" s="1" t="str">
        <f t="shared" ref="A491:A492" si="369">HYPERLINK("https://docs.google.com/spreadsheets/d/1Ts0n_QSwJdnWRN9RtrOF6lvJzTLqcwYNQFZwp8oOJP8","jeff brown investor")</f>
        <v>jeff brown investor</v>
      </c>
      <c r="B491" s="1" t="str">
        <f t="shared" si="368"/>
        <v>https://docs.google.com/spreadsheets/d/1Ts0n_QSwJdnWRN9RtrOF6lvJzTLqcwYNQFZwp8oOJP8</v>
      </c>
      <c r="C491" s="1" t="str">
        <f>HYPERLINK("https://docs.google.com/spreadsheets/d/1Ts0n_QSwJdnWRN9RtrOF6lvJzTLqcwYNQFZwp8oOJP8","jeff brown tech investor")</f>
        <v>jeff brown tech investor</v>
      </c>
    </row>
    <row r="492">
      <c r="A492" s="1" t="str">
        <f t="shared" si="369"/>
        <v>jeff brown investor</v>
      </c>
      <c r="B492" s="1" t="str">
        <f t="shared" si="368"/>
        <v>https://docs.google.com/spreadsheets/d/1Ts0n_QSwJdnWRN9RtrOF6lvJzTLqcwYNQFZwp8oOJP8</v>
      </c>
      <c r="C492" s="1" t="str">
        <f>HYPERLINK("https://docs.google.com/spreadsheets/d/1Ts0n_QSwJdnWRN9RtrOF6lvJzTLqcwYNQFZwp8oOJP8","bill5g.com")</f>
        <v>bill5g.com</v>
      </c>
    </row>
    <row r="493">
      <c r="A493" s="1" t="str">
        <f t="shared" ref="A493:A494" si="370">HYPERLINK("https://docs.google.com/spreadsheets/d/1lBYKSuOWjIgdNaan39xk4h6IzeYo9Cj3AbB8zKx7CUg","jeff brown stock picks for 2021")</f>
        <v>jeff brown stock picks for 2021</v>
      </c>
      <c r="B493" s="1" t="str">
        <f t="shared" ref="B493:B496" si="371">HYPERLINK("https://docs.google.com/spreadsheets/d/1lBYKSuOWjIgdNaan39xk4h6IzeYo9Cj3AbB8zKx7CUg","https://docs.google.com/spreadsheets/d/1lBYKSuOWjIgdNaan39xk4h6IzeYo9Cj3AbB8zKx7CUg")</f>
        <v>https://docs.google.com/spreadsheets/d/1lBYKSuOWjIgdNaan39xk4h6IzeYo9Cj3AbB8zKx7CUg</v>
      </c>
      <c r="C493" s="1" t="str">
        <f>HYPERLINK("https://docs.google.com/spreadsheets/d/1lBYKSuOWjIgdNaan39xk4h6IzeYo9Cj3AbB8zKx7CUg","jeff brown tech investor")</f>
        <v>jeff brown tech investor</v>
      </c>
    </row>
    <row r="494">
      <c r="A494" s="1" t="str">
        <f t="shared" si="370"/>
        <v>jeff brown stock picks for 2021</v>
      </c>
      <c r="B494" s="1" t="str">
        <f t="shared" si="371"/>
        <v>https://docs.google.com/spreadsheets/d/1lBYKSuOWjIgdNaan39xk4h6IzeYo9Cj3AbB8zKx7CUg</v>
      </c>
      <c r="C494" s="1" t="str">
        <f>HYPERLINK("https://docs.google.com/spreadsheets/d/1lBYKSuOWjIgdNaan39xk4h6IzeYo9Cj3AbB8zKx7CUg","bill5g.com")</f>
        <v>bill5g.com</v>
      </c>
    </row>
    <row r="495">
      <c r="A495" s="1" t="str">
        <f t="shared" ref="A495:A496" si="372">HYPERLINK("https://docs.google.com/spreadsheets/d/1lBYKSuOWjIgdNaan39xk4h6IzeYo9Cj3AbB8zKx7CUg","jeff brown investor")</f>
        <v>jeff brown investor</v>
      </c>
      <c r="B495" s="1" t="str">
        <f t="shared" si="371"/>
        <v>https://docs.google.com/spreadsheets/d/1lBYKSuOWjIgdNaan39xk4h6IzeYo9Cj3AbB8zKx7CUg</v>
      </c>
      <c r="C495" s="1" t="str">
        <f>HYPERLINK("https://docs.google.com/spreadsheets/d/1lBYKSuOWjIgdNaan39xk4h6IzeYo9Cj3AbB8zKx7CUg","jeff brown tech investor")</f>
        <v>jeff brown tech investor</v>
      </c>
    </row>
    <row r="496">
      <c r="A496" s="1" t="str">
        <f t="shared" si="372"/>
        <v>jeff brown investor</v>
      </c>
      <c r="B496" s="1" t="str">
        <f t="shared" si="371"/>
        <v>https://docs.google.com/spreadsheets/d/1lBYKSuOWjIgdNaan39xk4h6IzeYo9Cj3AbB8zKx7CUg</v>
      </c>
      <c r="C496" s="1" t="str">
        <f>HYPERLINK("https://docs.google.com/spreadsheets/d/1lBYKSuOWjIgdNaan39xk4h6IzeYo9Cj3AbB8zKx7CUg","bill5g.com")</f>
        <v>bill5g.com</v>
      </c>
    </row>
    <row r="497">
      <c r="A497" s="1" t="str">
        <f t="shared" ref="A497:A498" si="373">HYPERLINK("https://docs.google.com/spreadsheets/d/1P0nli-GS0T-SZgZ4SiFSZGWok5U2UxLjIPkxug1CmMQ","jeff brown stock picks for 2021")</f>
        <v>jeff brown stock picks for 2021</v>
      </c>
      <c r="B497" s="1" t="str">
        <f t="shared" ref="B497:B500" si="374">HYPERLINK("https://docs.google.com/spreadsheets/d/1P0nli-GS0T-SZgZ4SiFSZGWok5U2UxLjIPkxug1CmMQ","https://docs.google.com/spreadsheets/d/1P0nli-GS0T-SZgZ4SiFSZGWok5U2UxLjIPkxug1CmMQ")</f>
        <v>https://docs.google.com/spreadsheets/d/1P0nli-GS0T-SZgZ4SiFSZGWok5U2UxLjIPkxug1CmMQ</v>
      </c>
      <c r="C497" s="1" t="str">
        <f>HYPERLINK("https://docs.google.com/spreadsheets/d/1P0nli-GS0T-SZgZ4SiFSZGWok5U2UxLjIPkxug1CmMQ","jeff brown tech investor")</f>
        <v>jeff brown tech investor</v>
      </c>
    </row>
    <row r="498">
      <c r="A498" s="1" t="str">
        <f t="shared" si="373"/>
        <v>jeff brown stock picks for 2021</v>
      </c>
      <c r="B498" s="1" t="str">
        <f t="shared" si="374"/>
        <v>https://docs.google.com/spreadsheets/d/1P0nli-GS0T-SZgZ4SiFSZGWok5U2UxLjIPkxug1CmMQ</v>
      </c>
      <c r="C498" s="1" t="str">
        <f>HYPERLINK("https://docs.google.com/spreadsheets/d/1P0nli-GS0T-SZgZ4SiFSZGWok5U2UxLjIPkxug1CmMQ","bill5g.com")</f>
        <v>bill5g.com</v>
      </c>
    </row>
    <row r="499">
      <c r="A499" s="1" t="str">
        <f t="shared" ref="A499:A500" si="375">HYPERLINK("https://docs.google.com/spreadsheets/d/1P0nli-GS0T-SZgZ4SiFSZGWok5U2UxLjIPkxug1CmMQ","jeff brown investor")</f>
        <v>jeff brown investor</v>
      </c>
      <c r="B499" s="1" t="str">
        <f t="shared" si="374"/>
        <v>https://docs.google.com/spreadsheets/d/1P0nli-GS0T-SZgZ4SiFSZGWok5U2UxLjIPkxug1CmMQ</v>
      </c>
      <c r="C499" s="1" t="str">
        <f>HYPERLINK("https://docs.google.com/spreadsheets/d/1P0nli-GS0T-SZgZ4SiFSZGWok5U2UxLjIPkxug1CmMQ","jeff brown tech investor")</f>
        <v>jeff brown tech investor</v>
      </c>
    </row>
    <row r="500">
      <c r="A500" s="1" t="str">
        <f t="shared" si="375"/>
        <v>jeff brown investor</v>
      </c>
      <c r="B500" s="1" t="str">
        <f t="shared" si="374"/>
        <v>https://docs.google.com/spreadsheets/d/1P0nli-GS0T-SZgZ4SiFSZGWok5U2UxLjIPkxug1CmMQ</v>
      </c>
      <c r="C500" s="1" t="str">
        <f>HYPERLINK("https://docs.google.com/spreadsheets/d/1P0nli-GS0T-SZgZ4SiFSZGWok5U2UxLjIPkxug1CmMQ","bill5g.com")</f>
        <v>bill5g.com</v>
      </c>
    </row>
    <row r="501">
      <c r="A501" s="1" t="str">
        <f t="shared" ref="A501:A502" si="376">HYPERLINK("https://drive.google.com/drive/folders/17FCMP8ok1LhQpNJnMDVArbDS6dz3l0rD","jeff brown stock picks for 2021")</f>
        <v>jeff brown stock picks for 2021</v>
      </c>
      <c r="B501" s="1" t="str">
        <f t="shared" ref="B501:B504" si="377">HYPERLINK("https://drive.google.com/drive/folders/17FCMP8ok1LhQpNJnMDVArbDS6dz3l0rD","https://drive.google.com/drive/folders/17FCMP8ok1LhQpNJnMDVArbDS6dz3l0rD")</f>
        <v>https://drive.google.com/drive/folders/17FCMP8ok1LhQpNJnMDVArbDS6dz3l0rD</v>
      </c>
      <c r="C501" s="1" t="str">
        <f>HYPERLINK("https://drive.google.com/drive/folders/17FCMP8ok1LhQpNJnMDVArbDS6dz3l0rD","jeff brown tech investor")</f>
        <v>jeff brown tech investor</v>
      </c>
    </row>
    <row r="502">
      <c r="A502" s="1" t="str">
        <f t="shared" si="376"/>
        <v>jeff brown stock picks for 2021</v>
      </c>
      <c r="B502" s="1" t="str">
        <f t="shared" si="377"/>
        <v>https://drive.google.com/drive/folders/17FCMP8ok1LhQpNJnMDVArbDS6dz3l0rD</v>
      </c>
      <c r="C502" s="1" t="str">
        <f>HYPERLINK("https://drive.google.com/drive/folders/17FCMP8ok1LhQpNJnMDVArbDS6dz3l0rD","bill5g.com")</f>
        <v>bill5g.com</v>
      </c>
    </row>
    <row r="503">
      <c r="A503" s="1" t="str">
        <f t="shared" ref="A503:A504" si="378">HYPERLINK("https://drive.google.com/drive/folders/17FCMP8ok1LhQpNJnMDVArbDS6dz3l0rD","jeff brown investor")</f>
        <v>jeff brown investor</v>
      </c>
      <c r="B503" s="1" t="str">
        <f t="shared" si="377"/>
        <v>https://drive.google.com/drive/folders/17FCMP8ok1LhQpNJnMDVArbDS6dz3l0rD</v>
      </c>
      <c r="C503" s="1" t="str">
        <f>HYPERLINK("https://drive.google.com/drive/folders/17FCMP8ok1LhQpNJnMDVArbDS6dz3l0rD","jeff brown tech investor")</f>
        <v>jeff brown tech investor</v>
      </c>
    </row>
    <row r="504">
      <c r="A504" s="1" t="str">
        <f t="shared" si="378"/>
        <v>jeff brown investor</v>
      </c>
      <c r="B504" s="1" t="str">
        <f t="shared" si="377"/>
        <v>https://drive.google.com/drive/folders/17FCMP8ok1LhQpNJnMDVArbDS6dz3l0rD</v>
      </c>
      <c r="C504" s="1" t="str">
        <f>HYPERLINK("https://drive.google.com/drive/folders/17FCMP8ok1LhQpNJnMDVArbDS6dz3l0rD","bill5g.com")</f>
        <v>bill5g.com</v>
      </c>
    </row>
    <row r="505">
      <c r="A505" s="1" t="str">
        <f t="shared" ref="A505:A506" si="379">HYPERLINK("https://docs.google.com/spreadsheets/d/15YJZru4K_mL1taQlH3NqeXzfLDlX4GhO31EvcZfp49Q","jeff brown stock picks for 2021")</f>
        <v>jeff brown stock picks for 2021</v>
      </c>
      <c r="B505" s="1" t="str">
        <f t="shared" ref="B505:B508" si="380">HYPERLINK("https://docs.google.com/spreadsheets/d/15YJZru4K_mL1taQlH3NqeXzfLDlX4GhO31EvcZfp49Q","https://docs.google.com/spreadsheets/d/15YJZru4K_mL1taQlH3NqeXzfLDlX4GhO31EvcZfp49Q")</f>
        <v>https://docs.google.com/spreadsheets/d/15YJZru4K_mL1taQlH3NqeXzfLDlX4GhO31EvcZfp49Q</v>
      </c>
      <c r="C505" s="1" t="str">
        <f>HYPERLINK("https://docs.google.com/spreadsheets/d/15YJZru4K_mL1taQlH3NqeXzfLDlX4GhO31EvcZfp49Q","jeff brown tech investor")</f>
        <v>jeff brown tech investor</v>
      </c>
    </row>
    <row r="506">
      <c r="A506" s="1" t="str">
        <f t="shared" si="379"/>
        <v>jeff brown stock picks for 2021</v>
      </c>
      <c r="B506" s="1" t="str">
        <f t="shared" si="380"/>
        <v>https://docs.google.com/spreadsheets/d/15YJZru4K_mL1taQlH3NqeXzfLDlX4GhO31EvcZfp49Q</v>
      </c>
      <c r="C506" s="1" t="str">
        <f>HYPERLINK("https://docs.google.com/spreadsheets/d/15YJZru4K_mL1taQlH3NqeXzfLDlX4GhO31EvcZfp49Q","bill5g.com")</f>
        <v>bill5g.com</v>
      </c>
    </row>
    <row r="507">
      <c r="A507" s="1" t="str">
        <f t="shared" ref="A507:A508" si="381">HYPERLINK("https://docs.google.com/spreadsheets/d/15YJZru4K_mL1taQlH3NqeXzfLDlX4GhO31EvcZfp49Q","jeff brown investor")</f>
        <v>jeff brown investor</v>
      </c>
      <c r="B507" s="1" t="str">
        <f t="shared" si="380"/>
        <v>https://docs.google.com/spreadsheets/d/15YJZru4K_mL1taQlH3NqeXzfLDlX4GhO31EvcZfp49Q</v>
      </c>
      <c r="C507" s="1" t="str">
        <f>HYPERLINK("https://docs.google.com/spreadsheets/d/15YJZru4K_mL1taQlH3NqeXzfLDlX4GhO31EvcZfp49Q","jeff brown tech investor")</f>
        <v>jeff brown tech investor</v>
      </c>
    </row>
    <row r="508">
      <c r="A508" s="1" t="str">
        <f t="shared" si="381"/>
        <v>jeff brown investor</v>
      </c>
      <c r="B508" s="1" t="str">
        <f t="shared" si="380"/>
        <v>https://docs.google.com/spreadsheets/d/15YJZru4K_mL1taQlH3NqeXzfLDlX4GhO31EvcZfp49Q</v>
      </c>
      <c r="C508" s="1" t="str">
        <f>HYPERLINK("https://docs.google.com/spreadsheets/d/15YJZru4K_mL1taQlH3NqeXzfLDlX4GhO31EvcZfp49Q","bill5g.com")</f>
        <v>bill5g.com</v>
      </c>
    </row>
    <row r="509">
      <c r="A509" s="1" t="str">
        <f t="shared" ref="A509:A510" si="382">HYPERLINK("https://docs.google.com/spreadsheets/d/1lUY-e5nvri8N0LrgE3PyIsjC1xGO8VS9PyzDwHbqSU4","jeff brown stock picks for 2021")</f>
        <v>jeff brown stock picks for 2021</v>
      </c>
      <c r="B509" s="1" t="str">
        <f t="shared" ref="B509:B512" si="383">HYPERLINK("https://docs.google.com/spreadsheets/d/1lUY-e5nvri8N0LrgE3PyIsjC1xGO8VS9PyzDwHbqSU4","https://docs.google.com/spreadsheets/d/1lUY-e5nvri8N0LrgE3PyIsjC1xGO8VS9PyzDwHbqSU4")</f>
        <v>https://docs.google.com/spreadsheets/d/1lUY-e5nvri8N0LrgE3PyIsjC1xGO8VS9PyzDwHbqSU4</v>
      </c>
      <c r="C509" s="1" t="str">
        <f>HYPERLINK("https://docs.google.com/spreadsheets/d/1lUY-e5nvri8N0LrgE3PyIsjC1xGO8VS9PyzDwHbqSU4","jeff brown tech investor")</f>
        <v>jeff brown tech investor</v>
      </c>
    </row>
    <row r="510">
      <c r="A510" s="1" t="str">
        <f t="shared" si="382"/>
        <v>jeff brown stock picks for 2021</v>
      </c>
      <c r="B510" s="1" t="str">
        <f t="shared" si="383"/>
        <v>https://docs.google.com/spreadsheets/d/1lUY-e5nvri8N0LrgE3PyIsjC1xGO8VS9PyzDwHbqSU4</v>
      </c>
      <c r="C510" s="1" t="str">
        <f>HYPERLINK("https://docs.google.com/spreadsheets/d/1lUY-e5nvri8N0LrgE3PyIsjC1xGO8VS9PyzDwHbqSU4","bill5g.com")</f>
        <v>bill5g.com</v>
      </c>
    </row>
    <row r="511">
      <c r="A511" s="1" t="str">
        <f t="shared" ref="A511:A512" si="384">HYPERLINK("https://docs.google.com/spreadsheets/d/1lUY-e5nvri8N0LrgE3PyIsjC1xGO8VS9PyzDwHbqSU4","jeff brown investor")</f>
        <v>jeff brown investor</v>
      </c>
      <c r="B511" s="1" t="str">
        <f t="shared" si="383"/>
        <v>https://docs.google.com/spreadsheets/d/1lUY-e5nvri8N0LrgE3PyIsjC1xGO8VS9PyzDwHbqSU4</v>
      </c>
      <c r="C511" s="1" t="str">
        <f>HYPERLINK("https://docs.google.com/spreadsheets/d/1lUY-e5nvri8N0LrgE3PyIsjC1xGO8VS9PyzDwHbqSU4","jeff brown tech investor")</f>
        <v>jeff brown tech investor</v>
      </c>
    </row>
    <row r="512">
      <c r="A512" s="1" t="str">
        <f t="shared" si="384"/>
        <v>jeff brown investor</v>
      </c>
      <c r="B512" s="1" t="str">
        <f t="shared" si="383"/>
        <v>https://docs.google.com/spreadsheets/d/1lUY-e5nvri8N0LrgE3PyIsjC1xGO8VS9PyzDwHbqSU4</v>
      </c>
      <c r="C512" s="1" t="str">
        <f>HYPERLINK("https://docs.google.com/spreadsheets/d/1lUY-e5nvri8N0LrgE3PyIsjC1xGO8VS9PyzDwHbqSU4","bill5g.com")</f>
        <v>bill5g.com</v>
      </c>
    </row>
    <row r="513">
      <c r="A513" s="1" t="str">
        <f t="shared" ref="A513:A514" si="385">HYPERLINK("https://drive.google.com/drive/folders/1TIlW42IYvzWJQpQGS_BT8InZTg-VEABK","jeff brown stock picks for 2021")</f>
        <v>jeff brown stock picks for 2021</v>
      </c>
      <c r="B513" s="1" t="str">
        <f t="shared" ref="B513:B516" si="386">HYPERLINK("https://drive.google.com/drive/folders/1TIlW42IYvzWJQpQGS_BT8InZTg-VEABK","https://drive.google.com/drive/folders/1TIlW42IYvzWJQpQGS_BT8InZTg-VEABK")</f>
        <v>https://drive.google.com/drive/folders/1TIlW42IYvzWJQpQGS_BT8InZTg-VEABK</v>
      </c>
      <c r="C513" s="1" t="str">
        <f>HYPERLINK("https://drive.google.com/drive/folders/1TIlW42IYvzWJQpQGS_BT8InZTg-VEABK","jeff brown tech investor")</f>
        <v>jeff brown tech investor</v>
      </c>
    </row>
    <row r="514">
      <c r="A514" s="1" t="str">
        <f t="shared" si="385"/>
        <v>jeff brown stock picks for 2021</v>
      </c>
      <c r="B514" s="1" t="str">
        <f t="shared" si="386"/>
        <v>https://drive.google.com/drive/folders/1TIlW42IYvzWJQpQGS_BT8InZTg-VEABK</v>
      </c>
      <c r="C514" s="1" t="str">
        <f>HYPERLINK("https://drive.google.com/drive/folders/1TIlW42IYvzWJQpQGS_BT8InZTg-VEABK","bill5g.com")</f>
        <v>bill5g.com</v>
      </c>
    </row>
    <row r="515">
      <c r="A515" s="1" t="str">
        <f t="shared" ref="A515:A516" si="387">HYPERLINK("https://drive.google.com/drive/folders/1TIlW42IYvzWJQpQGS_BT8InZTg-VEABK","jeff brown investor")</f>
        <v>jeff brown investor</v>
      </c>
      <c r="B515" s="1" t="str">
        <f t="shared" si="386"/>
        <v>https://drive.google.com/drive/folders/1TIlW42IYvzWJQpQGS_BT8InZTg-VEABK</v>
      </c>
      <c r="C515" s="1" t="str">
        <f>HYPERLINK("https://drive.google.com/drive/folders/1TIlW42IYvzWJQpQGS_BT8InZTg-VEABK","jeff brown tech investor")</f>
        <v>jeff brown tech investor</v>
      </c>
    </row>
    <row r="516">
      <c r="A516" s="1" t="str">
        <f t="shared" si="387"/>
        <v>jeff brown investor</v>
      </c>
      <c r="B516" s="1" t="str">
        <f t="shared" si="386"/>
        <v>https://drive.google.com/drive/folders/1TIlW42IYvzWJQpQGS_BT8InZTg-VEABK</v>
      </c>
      <c r="C516" s="1" t="str">
        <f>HYPERLINK("https://drive.google.com/drive/folders/1TIlW42IYvzWJQpQGS_BT8InZTg-VEABK","bill5g.com")</f>
        <v>bill5g.com</v>
      </c>
    </row>
    <row r="517">
      <c r="A517" s="1" t="str">
        <f t="shared" ref="A517:A518" si="388">HYPERLINK("https://docs.google.com/spreadsheets/d/1oJj7lOHgTU80Btl0rWF3525rUcDHhqsqut23rU9-SaA","jeff brown stock picks for 2021")</f>
        <v>jeff brown stock picks for 2021</v>
      </c>
      <c r="B517" s="1" t="str">
        <f t="shared" ref="B517:B520" si="389">HYPERLINK("https://docs.google.com/spreadsheets/d/1oJj7lOHgTU80Btl0rWF3525rUcDHhqsqut23rU9-SaA","https://docs.google.com/spreadsheets/d/1oJj7lOHgTU80Btl0rWF3525rUcDHhqsqut23rU9-SaA")</f>
        <v>https://docs.google.com/spreadsheets/d/1oJj7lOHgTU80Btl0rWF3525rUcDHhqsqut23rU9-SaA</v>
      </c>
      <c r="C517" s="1" t="str">
        <f>HYPERLINK("https://docs.google.com/spreadsheets/d/1oJj7lOHgTU80Btl0rWF3525rUcDHhqsqut23rU9-SaA","jeff brown tech investor")</f>
        <v>jeff brown tech investor</v>
      </c>
    </row>
    <row r="518">
      <c r="A518" s="1" t="str">
        <f t="shared" si="388"/>
        <v>jeff brown stock picks for 2021</v>
      </c>
      <c r="B518" s="1" t="str">
        <f t="shared" si="389"/>
        <v>https://docs.google.com/spreadsheets/d/1oJj7lOHgTU80Btl0rWF3525rUcDHhqsqut23rU9-SaA</v>
      </c>
      <c r="C518" s="1" t="str">
        <f>HYPERLINK("https://docs.google.com/spreadsheets/d/1oJj7lOHgTU80Btl0rWF3525rUcDHhqsqut23rU9-SaA","bill5g.com")</f>
        <v>bill5g.com</v>
      </c>
    </row>
    <row r="519">
      <c r="A519" s="1" t="str">
        <f t="shared" ref="A519:A520" si="390">HYPERLINK("https://docs.google.com/spreadsheets/d/1oJj7lOHgTU80Btl0rWF3525rUcDHhqsqut23rU9-SaA","jeff brown investor")</f>
        <v>jeff brown investor</v>
      </c>
      <c r="B519" s="1" t="str">
        <f t="shared" si="389"/>
        <v>https://docs.google.com/spreadsheets/d/1oJj7lOHgTU80Btl0rWF3525rUcDHhqsqut23rU9-SaA</v>
      </c>
      <c r="C519" s="1" t="str">
        <f>HYPERLINK("https://docs.google.com/spreadsheets/d/1oJj7lOHgTU80Btl0rWF3525rUcDHhqsqut23rU9-SaA","jeff brown tech investor")</f>
        <v>jeff brown tech investor</v>
      </c>
    </row>
    <row r="520">
      <c r="A520" s="1" t="str">
        <f t="shared" si="390"/>
        <v>jeff brown investor</v>
      </c>
      <c r="B520" s="1" t="str">
        <f t="shared" si="389"/>
        <v>https://docs.google.com/spreadsheets/d/1oJj7lOHgTU80Btl0rWF3525rUcDHhqsqut23rU9-SaA</v>
      </c>
      <c r="C520" s="1" t="str">
        <f>HYPERLINK("https://docs.google.com/spreadsheets/d/1oJj7lOHgTU80Btl0rWF3525rUcDHhqsqut23rU9-SaA","bill5g.com")</f>
        <v>bill5g.com</v>
      </c>
    </row>
    <row r="521">
      <c r="A521" s="1" t="str">
        <f t="shared" ref="A521:A522" si="391">HYPERLINK("https://docs.google.com/spreadsheets/d/1EGNbpyAlFW_qAEHauGRAzGZo3eLPYYFOOC_8Y4tCrXI","jeff brown stock picks for 2021")</f>
        <v>jeff brown stock picks for 2021</v>
      </c>
      <c r="B521" s="1" t="str">
        <f t="shared" ref="B521:B524" si="392">HYPERLINK("https://docs.google.com/spreadsheets/d/1EGNbpyAlFW_qAEHauGRAzGZo3eLPYYFOOC_8Y4tCrXI","https://docs.google.com/spreadsheets/d/1EGNbpyAlFW_qAEHauGRAzGZo3eLPYYFOOC_8Y4tCrXI")</f>
        <v>https://docs.google.com/spreadsheets/d/1EGNbpyAlFW_qAEHauGRAzGZo3eLPYYFOOC_8Y4tCrXI</v>
      </c>
      <c r="C521" s="1" t="str">
        <f>HYPERLINK("https://docs.google.com/spreadsheets/d/1EGNbpyAlFW_qAEHauGRAzGZo3eLPYYFOOC_8Y4tCrXI","jeff brown tech investor")</f>
        <v>jeff brown tech investor</v>
      </c>
    </row>
    <row r="522">
      <c r="A522" s="1" t="str">
        <f t="shared" si="391"/>
        <v>jeff brown stock picks for 2021</v>
      </c>
      <c r="B522" s="1" t="str">
        <f t="shared" si="392"/>
        <v>https://docs.google.com/spreadsheets/d/1EGNbpyAlFW_qAEHauGRAzGZo3eLPYYFOOC_8Y4tCrXI</v>
      </c>
      <c r="C522" s="1" t="str">
        <f>HYPERLINK("https://docs.google.com/spreadsheets/d/1EGNbpyAlFW_qAEHauGRAzGZo3eLPYYFOOC_8Y4tCrXI","bill5g.com")</f>
        <v>bill5g.com</v>
      </c>
    </row>
    <row r="523">
      <c r="A523" s="1" t="str">
        <f t="shared" ref="A523:A524" si="393">HYPERLINK("https://docs.google.com/spreadsheets/d/1EGNbpyAlFW_qAEHauGRAzGZo3eLPYYFOOC_8Y4tCrXI","jeff brown investor")</f>
        <v>jeff brown investor</v>
      </c>
      <c r="B523" s="1" t="str">
        <f t="shared" si="392"/>
        <v>https://docs.google.com/spreadsheets/d/1EGNbpyAlFW_qAEHauGRAzGZo3eLPYYFOOC_8Y4tCrXI</v>
      </c>
      <c r="C523" s="1" t="str">
        <f>HYPERLINK("https://docs.google.com/spreadsheets/d/1EGNbpyAlFW_qAEHauGRAzGZo3eLPYYFOOC_8Y4tCrXI","jeff brown tech investor")</f>
        <v>jeff brown tech investor</v>
      </c>
    </row>
    <row r="524">
      <c r="A524" s="1" t="str">
        <f t="shared" si="393"/>
        <v>jeff brown investor</v>
      </c>
      <c r="B524" s="1" t="str">
        <f t="shared" si="392"/>
        <v>https://docs.google.com/spreadsheets/d/1EGNbpyAlFW_qAEHauGRAzGZo3eLPYYFOOC_8Y4tCrXI</v>
      </c>
      <c r="C524" s="1" t="str">
        <f>HYPERLINK("https://docs.google.com/spreadsheets/d/1EGNbpyAlFW_qAEHauGRAzGZo3eLPYYFOOC_8Y4tCrXI","bill5g.com")</f>
        <v>bill5g.com</v>
      </c>
    </row>
    <row r="525">
      <c r="A525" s="1" t="str">
        <f t="shared" ref="A525:A526" si="394">HYPERLINK("https://docs.google.com/spreadsheets/d/1DgDn2NVLLJ66G8kqadzVy-gCC2pHynvo-vhRWWKdERg","jeff brown stock picks for 2021")</f>
        <v>jeff brown stock picks for 2021</v>
      </c>
      <c r="B525" s="1" t="str">
        <f t="shared" ref="B525:B528" si="395">HYPERLINK("https://docs.google.com/spreadsheets/d/1DgDn2NVLLJ66G8kqadzVy-gCC2pHynvo-vhRWWKdERg","https://docs.google.com/spreadsheets/d/1DgDn2NVLLJ66G8kqadzVy-gCC2pHynvo-vhRWWKdERg")</f>
        <v>https://docs.google.com/spreadsheets/d/1DgDn2NVLLJ66G8kqadzVy-gCC2pHynvo-vhRWWKdERg</v>
      </c>
      <c r="C525" s="1" t="str">
        <f>HYPERLINK("https://docs.google.com/spreadsheets/d/1DgDn2NVLLJ66G8kqadzVy-gCC2pHynvo-vhRWWKdERg","jeff brown tech investor")</f>
        <v>jeff brown tech investor</v>
      </c>
    </row>
    <row r="526">
      <c r="A526" s="1" t="str">
        <f t="shared" si="394"/>
        <v>jeff brown stock picks for 2021</v>
      </c>
      <c r="B526" s="1" t="str">
        <f t="shared" si="395"/>
        <v>https://docs.google.com/spreadsheets/d/1DgDn2NVLLJ66G8kqadzVy-gCC2pHynvo-vhRWWKdERg</v>
      </c>
      <c r="C526" s="1" t="str">
        <f>HYPERLINK("https://docs.google.com/spreadsheets/d/1DgDn2NVLLJ66G8kqadzVy-gCC2pHynvo-vhRWWKdERg","bill5g.com")</f>
        <v>bill5g.com</v>
      </c>
    </row>
    <row r="527">
      <c r="A527" s="1" t="str">
        <f t="shared" ref="A527:A528" si="396">HYPERLINK("https://docs.google.com/spreadsheets/d/1DgDn2NVLLJ66G8kqadzVy-gCC2pHynvo-vhRWWKdERg","jeff brown investor")</f>
        <v>jeff brown investor</v>
      </c>
      <c r="B527" s="1" t="str">
        <f t="shared" si="395"/>
        <v>https://docs.google.com/spreadsheets/d/1DgDn2NVLLJ66G8kqadzVy-gCC2pHynvo-vhRWWKdERg</v>
      </c>
      <c r="C527" s="1" t="str">
        <f>HYPERLINK("https://docs.google.com/spreadsheets/d/1DgDn2NVLLJ66G8kqadzVy-gCC2pHynvo-vhRWWKdERg","jeff brown tech investor")</f>
        <v>jeff brown tech investor</v>
      </c>
    </row>
    <row r="528">
      <c r="A528" s="1" t="str">
        <f t="shared" si="396"/>
        <v>jeff brown investor</v>
      </c>
      <c r="B528" s="1" t="str">
        <f t="shared" si="395"/>
        <v>https://docs.google.com/spreadsheets/d/1DgDn2NVLLJ66G8kqadzVy-gCC2pHynvo-vhRWWKdERg</v>
      </c>
      <c r="C528" s="1" t="str">
        <f>HYPERLINK("https://docs.google.com/spreadsheets/d/1DgDn2NVLLJ66G8kqadzVy-gCC2pHynvo-vhRWWKdERg","bill5g.com")</f>
        <v>bill5g.com</v>
      </c>
    </row>
    <row r="529">
      <c r="A529" s="1" t="str">
        <f t="shared" ref="A529:A530" si="397">HYPERLINK("https://drive.google.com/drive/folders/1ARjLek1FSiJhNJz57sELm_KTaY5ej8fC","jeff brown stock picks for 2021")</f>
        <v>jeff brown stock picks for 2021</v>
      </c>
      <c r="B529" s="1" t="str">
        <f t="shared" ref="B529:B532" si="398">HYPERLINK("https://drive.google.com/drive/folders/1ARjLek1FSiJhNJz57sELm_KTaY5ej8fC","https://drive.google.com/drive/folders/1ARjLek1FSiJhNJz57sELm_KTaY5ej8fC")</f>
        <v>https://drive.google.com/drive/folders/1ARjLek1FSiJhNJz57sELm_KTaY5ej8fC</v>
      </c>
      <c r="C529" s="1" t="str">
        <f>HYPERLINK("https://drive.google.com/drive/folders/1ARjLek1FSiJhNJz57sELm_KTaY5ej8fC","jeff brown tech investor")</f>
        <v>jeff brown tech investor</v>
      </c>
    </row>
    <row r="530">
      <c r="A530" s="1" t="str">
        <f t="shared" si="397"/>
        <v>jeff brown stock picks for 2021</v>
      </c>
      <c r="B530" s="1" t="str">
        <f t="shared" si="398"/>
        <v>https://drive.google.com/drive/folders/1ARjLek1FSiJhNJz57sELm_KTaY5ej8fC</v>
      </c>
      <c r="C530" s="1" t="str">
        <f>HYPERLINK("https://drive.google.com/drive/folders/1ARjLek1FSiJhNJz57sELm_KTaY5ej8fC","bill5g.com")</f>
        <v>bill5g.com</v>
      </c>
    </row>
    <row r="531">
      <c r="A531" s="1" t="str">
        <f t="shared" ref="A531:A532" si="399">HYPERLINK("https://drive.google.com/drive/folders/1ARjLek1FSiJhNJz57sELm_KTaY5ej8fC","jeff brown investor")</f>
        <v>jeff brown investor</v>
      </c>
      <c r="B531" s="1" t="str">
        <f t="shared" si="398"/>
        <v>https://drive.google.com/drive/folders/1ARjLek1FSiJhNJz57sELm_KTaY5ej8fC</v>
      </c>
      <c r="C531" s="1" t="str">
        <f>HYPERLINK("https://drive.google.com/drive/folders/1ARjLek1FSiJhNJz57sELm_KTaY5ej8fC","jeff brown tech investor")</f>
        <v>jeff brown tech investor</v>
      </c>
    </row>
    <row r="532">
      <c r="A532" s="1" t="str">
        <f t="shared" si="399"/>
        <v>jeff brown investor</v>
      </c>
      <c r="B532" s="1" t="str">
        <f t="shared" si="398"/>
        <v>https://drive.google.com/drive/folders/1ARjLek1FSiJhNJz57sELm_KTaY5ej8fC</v>
      </c>
      <c r="C532" s="1" t="str">
        <f>HYPERLINK("https://drive.google.com/drive/folders/1ARjLek1FSiJhNJz57sELm_KTaY5ej8fC","bill5g.com")</f>
        <v>bill5g.com</v>
      </c>
    </row>
    <row r="533">
      <c r="A533" s="1" t="str">
        <f t="shared" ref="A533:A534" si="400">HYPERLINK("https://drive.google.com/drive/folders/1KioUWcj3-puD06uvnrJXhtWbG2A2FysE","jeff brown stock picks for 2021")</f>
        <v>jeff brown stock picks for 2021</v>
      </c>
      <c r="B533" s="1" t="str">
        <f t="shared" ref="B533:B536" si="401">HYPERLINK("https://drive.google.com/drive/folders/1KioUWcj3-puD06uvnrJXhtWbG2A2FysE","https://drive.google.com/drive/folders/1KioUWcj3-puD06uvnrJXhtWbG2A2FysE")</f>
        <v>https://drive.google.com/drive/folders/1KioUWcj3-puD06uvnrJXhtWbG2A2FysE</v>
      </c>
      <c r="C533" s="1" t="str">
        <f>HYPERLINK("https://drive.google.com/drive/folders/1KioUWcj3-puD06uvnrJXhtWbG2A2FysE","jeff brown tech investor")</f>
        <v>jeff brown tech investor</v>
      </c>
    </row>
    <row r="534">
      <c r="A534" s="1" t="str">
        <f t="shared" si="400"/>
        <v>jeff brown stock picks for 2021</v>
      </c>
      <c r="B534" s="1" t="str">
        <f t="shared" si="401"/>
        <v>https://drive.google.com/drive/folders/1KioUWcj3-puD06uvnrJXhtWbG2A2FysE</v>
      </c>
      <c r="C534" s="1" t="str">
        <f>HYPERLINK("https://drive.google.com/drive/folders/1KioUWcj3-puD06uvnrJXhtWbG2A2FysE","bill5g.com")</f>
        <v>bill5g.com</v>
      </c>
    </row>
    <row r="535">
      <c r="A535" s="1" t="str">
        <f t="shared" ref="A535:A536" si="402">HYPERLINK("https://drive.google.com/drive/folders/1KioUWcj3-puD06uvnrJXhtWbG2A2FysE","jeff brown investor")</f>
        <v>jeff brown investor</v>
      </c>
      <c r="B535" s="1" t="str">
        <f t="shared" si="401"/>
        <v>https://drive.google.com/drive/folders/1KioUWcj3-puD06uvnrJXhtWbG2A2FysE</v>
      </c>
      <c r="C535" s="1" t="str">
        <f>HYPERLINK("https://drive.google.com/drive/folders/1KioUWcj3-puD06uvnrJXhtWbG2A2FysE","jeff brown tech investor")</f>
        <v>jeff brown tech investor</v>
      </c>
    </row>
    <row r="536">
      <c r="A536" s="1" t="str">
        <f t="shared" si="402"/>
        <v>jeff brown investor</v>
      </c>
      <c r="B536" s="1" t="str">
        <f t="shared" si="401"/>
        <v>https://drive.google.com/drive/folders/1KioUWcj3-puD06uvnrJXhtWbG2A2FysE</v>
      </c>
      <c r="C536" s="1" t="str">
        <f>HYPERLINK("https://drive.google.com/drive/folders/1KioUWcj3-puD06uvnrJXhtWbG2A2FysE","bill5g.com")</f>
        <v>bill5g.com</v>
      </c>
    </row>
    <row r="537">
      <c r="A537" s="1" t="str">
        <f t="shared" ref="A537:A538" si="403">HYPERLINK("https://docs.google.com/spreadsheets/d/1qA19hEzTKcfg2hpScmnx3p5XPHAoKTZ0upqN1rzGPkA","jeff brown stock picks for 2021")</f>
        <v>jeff brown stock picks for 2021</v>
      </c>
      <c r="B537" s="1" t="str">
        <f t="shared" ref="B537:B540" si="404">HYPERLINK("https://docs.google.com/spreadsheets/d/1qA19hEzTKcfg2hpScmnx3p5XPHAoKTZ0upqN1rzGPkA","https://docs.google.com/spreadsheets/d/1qA19hEzTKcfg2hpScmnx3p5XPHAoKTZ0upqN1rzGPkA")</f>
        <v>https://docs.google.com/spreadsheets/d/1qA19hEzTKcfg2hpScmnx3p5XPHAoKTZ0upqN1rzGPkA</v>
      </c>
      <c r="C537" s="1" t="str">
        <f>HYPERLINK("https://docs.google.com/spreadsheets/d/1qA19hEzTKcfg2hpScmnx3p5XPHAoKTZ0upqN1rzGPkA","jeff brown tech investor")</f>
        <v>jeff brown tech investor</v>
      </c>
    </row>
    <row r="538">
      <c r="A538" s="1" t="str">
        <f t="shared" si="403"/>
        <v>jeff brown stock picks for 2021</v>
      </c>
      <c r="B538" s="1" t="str">
        <f t="shared" si="404"/>
        <v>https://docs.google.com/spreadsheets/d/1qA19hEzTKcfg2hpScmnx3p5XPHAoKTZ0upqN1rzGPkA</v>
      </c>
      <c r="C538" s="1" t="str">
        <f>HYPERLINK("https://docs.google.com/spreadsheets/d/1qA19hEzTKcfg2hpScmnx3p5XPHAoKTZ0upqN1rzGPkA","bill5g.com")</f>
        <v>bill5g.com</v>
      </c>
    </row>
    <row r="539">
      <c r="A539" s="1" t="str">
        <f t="shared" ref="A539:A540" si="405">HYPERLINK("https://docs.google.com/spreadsheets/d/1qA19hEzTKcfg2hpScmnx3p5XPHAoKTZ0upqN1rzGPkA","jeff brown investor")</f>
        <v>jeff brown investor</v>
      </c>
      <c r="B539" s="1" t="str">
        <f t="shared" si="404"/>
        <v>https://docs.google.com/spreadsheets/d/1qA19hEzTKcfg2hpScmnx3p5XPHAoKTZ0upqN1rzGPkA</v>
      </c>
      <c r="C539" s="1" t="str">
        <f>HYPERLINK("https://docs.google.com/spreadsheets/d/1qA19hEzTKcfg2hpScmnx3p5XPHAoKTZ0upqN1rzGPkA","jeff brown tech investor")</f>
        <v>jeff brown tech investor</v>
      </c>
    </row>
    <row r="540">
      <c r="A540" s="1" t="str">
        <f t="shared" si="405"/>
        <v>jeff brown investor</v>
      </c>
      <c r="B540" s="1" t="str">
        <f t="shared" si="404"/>
        <v>https://docs.google.com/spreadsheets/d/1qA19hEzTKcfg2hpScmnx3p5XPHAoKTZ0upqN1rzGPkA</v>
      </c>
      <c r="C540" s="1" t="str">
        <f>HYPERLINK("https://docs.google.com/spreadsheets/d/1qA19hEzTKcfg2hpScmnx3p5XPHAoKTZ0upqN1rzGPkA","bill5g.com")</f>
        <v>bill5g.com</v>
      </c>
    </row>
    <row r="541">
      <c r="A541" s="1" t="str">
        <f t="shared" ref="A541:A542" si="406">HYPERLINK("https://drive.google.com/drive/folders/18dbNIbw9OuDFgNtJpTYNToqpyUuYefhn","jeff brown stock picks for 2021")</f>
        <v>jeff brown stock picks for 2021</v>
      </c>
      <c r="B541" s="1" t="str">
        <f t="shared" ref="B541:B544" si="407">HYPERLINK("https://drive.google.com/drive/folders/18dbNIbw9OuDFgNtJpTYNToqpyUuYefhn","https://drive.google.com/drive/folders/18dbNIbw9OuDFgNtJpTYNToqpyUuYefhn")</f>
        <v>https://drive.google.com/drive/folders/18dbNIbw9OuDFgNtJpTYNToqpyUuYefhn</v>
      </c>
      <c r="C541" s="1" t="str">
        <f>HYPERLINK("https://drive.google.com/drive/folders/18dbNIbw9OuDFgNtJpTYNToqpyUuYefhn","jeff brown tech investor")</f>
        <v>jeff brown tech investor</v>
      </c>
    </row>
    <row r="542">
      <c r="A542" s="1" t="str">
        <f t="shared" si="406"/>
        <v>jeff brown stock picks for 2021</v>
      </c>
      <c r="B542" s="1" t="str">
        <f t="shared" si="407"/>
        <v>https://drive.google.com/drive/folders/18dbNIbw9OuDFgNtJpTYNToqpyUuYefhn</v>
      </c>
      <c r="C542" s="1" t="str">
        <f>HYPERLINK("https://drive.google.com/drive/folders/18dbNIbw9OuDFgNtJpTYNToqpyUuYefhn","bill5g.com")</f>
        <v>bill5g.com</v>
      </c>
    </row>
    <row r="543">
      <c r="A543" s="1" t="str">
        <f t="shared" ref="A543:A544" si="408">HYPERLINK("https://drive.google.com/drive/folders/18dbNIbw9OuDFgNtJpTYNToqpyUuYefhn","jeff brown investor")</f>
        <v>jeff brown investor</v>
      </c>
      <c r="B543" s="1" t="str">
        <f t="shared" si="407"/>
        <v>https://drive.google.com/drive/folders/18dbNIbw9OuDFgNtJpTYNToqpyUuYefhn</v>
      </c>
      <c r="C543" s="1" t="str">
        <f>HYPERLINK("https://drive.google.com/drive/folders/18dbNIbw9OuDFgNtJpTYNToqpyUuYefhn","jeff brown tech investor")</f>
        <v>jeff brown tech investor</v>
      </c>
    </row>
    <row r="544">
      <c r="A544" s="1" t="str">
        <f t="shared" si="408"/>
        <v>jeff brown investor</v>
      </c>
      <c r="B544" s="1" t="str">
        <f t="shared" si="407"/>
        <v>https://drive.google.com/drive/folders/18dbNIbw9OuDFgNtJpTYNToqpyUuYefhn</v>
      </c>
      <c r="C544" s="1" t="str">
        <f>HYPERLINK("https://drive.google.com/drive/folders/18dbNIbw9OuDFgNtJpTYNToqpyUuYefhn","bill5g.com")</f>
        <v>bill5g.com</v>
      </c>
    </row>
    <row r="545">
      <c r="A545" s="1" t="str">
        <f t="shared" ref="A545:A546" si="409">HYPERLINK("https://docs.google.com/spreadsheets/d/1YG5ODxYFkKGJ45_TXD4SSH1rORW9HbGIpHQocotO2-4","jeff brown stock picks for 2021")</f>
        <v>jeff brown stock picks for 2021</v>
      </c>
      <c r="B545" s="1" t="str">
        <f t="shared" ref="B545:B548" si="410">HYPERLINK("https://docs.google.com/spreadsheets/d/1YG5ODxYFkKGJ45_TXD4SSH1rORW9HbGIpHQocotO2-4","https://docs.google.com/spreadsheets/d/1YG5ODxYFkKGJ45_TXD4SSH1rORW9HbGIpHQocotO2-4")</f>
        <v>https://docs.google.com/spreadsheets/d/1YG5ODxYFkKGJ45_TXD4SSH1rORW9HbGIpHQocotO2-4</v>
      </c>
      <c r="C545" s="1" t="str">
        <f>HYPERLINK("https://docs.google.com/spreadsheets/d/1YG5ODxYFkKGJ45_TXD4SSH1rORW9HbGIpHQocotO2-4","jeff brown tech investor")</f>
        <v>jeff brown tech investor</v>
      </c>
    </row>
    <row r="546">
      <c r="A546" s="1" t="str">
        <f t="shared" si="409"/>
        <v>jeff brown stock picks for 2021</v>
      </c>
      <c r="B546" s="1" t="str">
        <f t="shared" si="410"/>
        <v>https://docs.google.com/spreadsheets/d/1YG5ODxYFkKGJ45_TXD4SSH1rORW9HbGIpHQocotO2-4</v>
      </c>
      <c r="C546" s="1" t="str">
        <f>HYPERLINK("https://docs.google.com/spreadsheets/d/1YG5ODxYFkKGJ45_TXD4SSH1rORW9HbGIpHQocotO2-4","bill5g.com")</f>
        <v>bill5g.com</v>
      </c>
    </row>
    <row r="547">
      <c r="A547" s="1" t="str">
        <f t="shared" ref="A547:A548" si="411">HYPERLINK("https://docs.google.com/spreadsheets/d/1YG5ODxYFkKGJ45_TXD4SSH1rORW9HbGIpHQocotO2-4","jeff brown investor")</f>
        <v>jeff brown investor</v>
      </c>
      <c r="B547" s="1" t="str">
        <f t="shared" si="410"/>
        <v>https://docs.google.com/spreadsheets/d/1YG5ODxYFkKGJ45_TXD4SSH1rORW9HbGIpHQocotO2-4</v>
      </c>
      <c r="C547" s="1" t="str">
        <f>HYPERLINK("https://docs.google.com/spreadsheets/d/1YG5ODxYFkKGJ45_TXD4SSH1rORW9HbGIpHQocotO2-4","jeff brown tech investor")</f>
        <v>jeff brown tech investor</v>
      </c>
    </row>
    <row r="548">
      <c r="A548" s="1" t="str">
        <f t="shared" si="411"/>
        <v>jeff brown investor</v>
      </c>
      <c r="B548" s="1" t="str">
        <f t="shared" si="410"/>
        <v>https://docs.google.com/spreadsheets/d/1YG5ODxYFkKGJ45_TXD4SSH1rORW9HbGIpHQocotO2-4</v>
      </c>
      <c r="C548" s="1" t="str">
        <f>HYPERLINK("https://docs.google.com/spreadsheets/d/1YG5ODxYFkKGJ45_TXD4SSH1rORW9HbGIpHQocotO2-4","bill5g.com")</f>
        <v>bill5g.com</v>
      </c>
    </row>
    <row r="549">
      <c r="A549" s="1" t="str">
        <f t="shared" ref="A549:A550" si="412">HYPERLINK("https://drive.google.com/drive/folders/1XpJjn0MG52Uk2HHno5nrgN3gpjJ2NLWd","jeff brown stock picks for 2021")</f>
        <v>jeff brown stock picks for 2021</v>
      </c>
      <c r="B549" s="1" t="str">
        <f t="shared" ref="B549:B552" si="413">HYPERLINK("https://drive.google.com/drive/folders/1XpJjn0MG52Uk2HHno5nrgN3gpjJ2NLWd","https://drive.google.com/drive/folders/1XpJjn0MG52Uk2HHno5nrgN3gpjJ2NLWd")</f>
        <v>https://drive.google.com/drive/folders/1XpJjn0MG52Uk2HHno5nrgN3gpjJ2NLWd</v>
      </c>
      <c r="C549" s="1" t="str">
        <f>HYPERLINK("https://drive.google.com/drive/folders/1XpJjn0MG52Uk2HHno5nrgN3gpjJ2NLWd","jeff brown tech investor")</f>
        <v>jeff brown tech investor</v>
      </c>
    </row>
    <row r="550">
      <c r="A550" s="1" t="str">
        <f t="shared" si="412"/>
        <v>jeff brown stock picks for 2021</v>
      </c>
      <c r="B550" s="1" t="str">
        <f t="shared" si="413"/>
        <v>https://drive.google.com/drive/folders/1XpJjn0MG52Uk2HHno5nrgN3gpjJ2NLWd</v>
      </c>
      <c r="C550" s="1" t="str">
        <f>HYPERLINK("https://drive.google.com/drive/folders/1XpJjn0MG52Uk2HHno5nrgN3gpjJ2NLWd","bill5g.com")</f>
        <v>bill5g.com</v>
      </c>
    </row>
    <row r="551">
      <c r="A551" s="1" t="str">
        <f t="shared" ref="A551:A552" si="414">HYPERLINK("https://drive.google.com/drive/folders/1XpJjn0MG52Uk2HHno5nrgN3gpjJ2NLWd","jeff brown investor")</f>
        <v>jeff brown investor</v>
      </c>
      <c r="B551" s="1" t="str">
        <f t="shared" si="413"/>
        <v>https://drive.google.com/drive/folders/1XpJjn0MG52Uk2HHno5nrgN3gpjJ2NLWd</v>
      </c>
      <c r="C551" s="1" t="str">
        <f>HYPERLINK("https://drive.google.com/drive/folders/1XpJjn0MG52Uk2HHno5nrgN3gpjJ2NLWd","jeff brown tech investor")</f>
        <v>jeff brown tech investor</v>
      </c>
    </row>
    <row r="552">
      <c r="A552" s="1" t="str">
        <f t="shared" si="414"/>
        <v>jeff brown investor</v>
      </c>
      <c r="B552" s="1" t="str">
        <f t="shared" si="413"/>
        <v>https://drive.google.com/drive/folders/1XpJjn0MG52Uk2HHno5nrgN3gpjJ2NLWd</v>
      </c>
      <c r="C552" s="1" t="str">
        <f>HYPERLINK("https://drive.google.com/drive/folders/1XpJjn0MG52Uk2HHno5nrgN3gpjJ2NLWd","bill5g.com")</f>
        <v>bill5g.com</v>
      </c>
    </row>
    <row r="553">
      <c r="A553" s="1" t="str">
        <f t="shared" ref="A553:A554" si="415">HYPERLINK("https://docs.google.com/spreadsheets/d/1UAeuLvXV1bjP_jeu3YJb6ecoDiLklmoNWcajpQkY63g","jeff brown stock picks for 2021")</f>
        <v>jeff brown stock picks for 2021</v>
      </c>
      <c r="B553" s="1" t="str">
        <f t="shared" ref="B553:B556" si="416">HYPERLINK("https://docs.google.com/spreadsheets/d/1UAeuLvXV1bjP_jeu3YJb6ecoDiLklmoNWcajpQkY63g","https://docs.google.com/spreadsheets/d/1UAeuLvXV1bjP_jeu3YJb6ecoDiLklmoNWcajpQkY63g")</f>
        <v>https://docs.google.com/spreadsheets/d/1UAeuLvXV1bjP_jeu3YJb6ecoDiLklmoNWcajpQkY63g</v>
      </c>
      <c r="C553" s="1" t="str">
        <f>HYPERLINK("https://docs.google.com/spreadsheets/d/1UAeuLvXV1bjP_jeu3YJb6ecoDiLklmoNWcajpQkY63g","jeff brown tech investor")</f>
        <v>jeff brown tech investor</v>
      </c>
    </row>
    <row r="554">
      <c r="A554" s="1" t="str">
        <f t="shared" si="415"/>
        <v>jeff brown stock picks for 2021</v>
      </c>
      <c r="B554" s="1" t="str">
        <f t="shared" si="416"/>
        <v>https://docs.google.com/spreadsheets/d/1UAeuLvXV1bjP_jeu3YJb6ecoDiLklmoNWcajpQkY63g</v>
      </c>
      <c r="C554" s="1" t="str">
        <f>HYPERLINK("https://docs.google.com/spreadsheets/d/1UAeuLvXV1bjP_jeu3YJb6ecoDiLklmoNWcajpQkY63g","bill5g.com")</f>
        <v>bill5g.com</v>
      </c>
    </row>
    <row r="555">
      <c r="A555" s="1" t="str">
        <f t="shared" ref="A555:A556" si="417">HYPERLINK("https://docs.google.com/spreadsheets/d/1UAeuLvXV1bjP_jeu3YJb6ecoDiLklmoNWcajpQkY63g","jeff brown investor")</f>
        <v>jeff brown investor</v>
      </c>
      <c r="B555" s="1" t="str">
        <f t="shared" si="416"/>
        <v>https://docs.google.com/spreadsheets/d/1UAeuLvXV1bjP_jeu3YJb6ecoDiLklmoNWcajpQkY63g</v>
      </c>
      <c r="C555" s="1" t="str">
        <f>HYPERLINK("https://docs.google.com/spreadsheets/d/1UAeuLvXV1bjP_jeu3YJb6ecoDiLklmoNWcajpQkY63g","jeff brown tech investor")</f>
        <v>jeff brown tech investor</v>
      </c>
    </row>
    <row r="556">
      <c r="A556" s="1" t="str">
        <f t="shared" si="417"/>
        <v>jeff brown investor</v>
      </c>
      <c r="B556" s="1" t="str">
        <f t="shared" si="416"/>
        <v>https://docs.google.com/spreadsheets/d/1UAeuLvXV1bjP_jeu3YJb6ecoDiLklmoNWcajpQkY63g</v>
      </c>
      <c r="C556" s="1" t="str">
        <f>HYPERLINK("https://docs.google.com/spreadsheets/d/1UAeuLvXV1bjP_jeu3YJb6ecoDiLklmoNWcajpQkY63g","bill5g.com")</f>
        <v>bill5g.com</v>
      </c>
    </row>
    <row r="557">
      <c r="A557" s="1" t="str">
        <f t="shared" ref="A557:A558" si="418">HYPERLINK("https://docs.google.com/spreadsheets/d/16MOv6zmNAm61mnsdMZRtQPlyK7HbhMK7IwTKntk7J-8","jeff brown stock picks for 2021")</f>
        <v>jeff brown stock picks for 2021</v>
      </c>
      <c r="B557" s="1" t="str">
        <f t="shared" ref="B557:B560" si="419">HYPERLINK("https://docs.google.com/spreadsheets/d/16MOv6zmNAm61mnsdMZRtQPlyK7HbhMK7IwTKntk7J-8","https://docs.google.com/spreadsheets/d/16MOv6zmNAm61mnsdMZRtQPlyK7HbhMK7IwTKntk7J-8")</f>
        <v>https://docs.google.com/spreadsheets/d/16MOv6zmNAm61mnsdMZRtQPlyK7HbhMK7IwTKntk7J-8</v>
      </c>
      <c r="C557" s="1" t="str">
        <f>HYPERLINK("https://docs.google.com/spreadsheets/d/16MOv6zmNAm61mnsdMZRtQPlyK7HbhMK7IwTKntk7J-8","jeff brown tech investor")</f>
        <v>jeff brown tech investor</v>
      </c>
    </row>
    <row r="558">
      <c r="A558" s="1" t="str">
        <f t="shared" si="418"/>
        <v>jeff brown stock picks for 2021</v>
      </c>
      <c r="B558" s="1" t="str">
        <f t="shared" si="419"/>
        <v>https://docs.google.com/spreadsheets/d/16MOv6zmNAm61mnsdMZRtQPlyK7HbhMK7IwTKntk7J-8</v>
      </c>
      <c r="C558" s="1" t="str">
        <f>HYPERLINK("https://docs.google.com/spreadsheets/d/16MOv6zmNAm61mnsdMZRtQPlyK7HbhMK7IwTKntk7J-8","bill5g.com")</f>
        <v>bill5g.com</v>
      </c>
    </row>
    <row r="559">
      <c r="A559" s="1" t="str">
        <f t="shared" ref="A559:A560" si="420">HYPERLINK("https://docs.google.com/spreadsheets/d/16MOv6zmNAm61mnsdMZRtQPlyK7HbhMK7IwTKntk7J-8","jeff brown investor")</f>
        <v>jeff brown investor</v>
      </c>
      <c r="B559" s="1" t="str">
        <f t="shared" si="419"/>
        <v>https://docs.google.com/spreadsheets/d/16MOv6zmNAm61mnsdMZRtQPlyK7HbhMK7IwTKntk7J-8</v>
      </c>
      <c r="C559" s="1" t="str">
        <f>HYPERLINK("https://docs.google.com/spreadsheets/d/16MOv6zmNAm61mnsdMZRtQPlyK7HbhMK7IwTKntk7J-8","jeff brown tech investor")</f>
        <v>jeff brown tech investor</v>
      </c>
    </row>
    <row r="560">
      <c r="A560" s="1" t="str">
        <f t="shared" si="420"/>
        <v>jeff brown investor</v>
      </c>
      <c r="B560" s="1" t="str">
        <f t="shared" si="419"/>
        <v>https://docs.google.com/spreadsheets/d/16MOv6zmNAm61mnsdMZRtQPlyK7HbhMK7IwTKntk7J-8</v>
      </c>
      <c r="C560" s="1" t="str">
        <f>HYPERLINK("https://docs.google.com/spreadsheets/d/16MOv6zmNAm61mnsdMZRtQPlyK7HbhMK7IwTKntk7J-8","bill5g.com")</f>
        <v>bill5g.com</v>
      </c>
    </row>
    <row r="561">
      <c r="A561" s="1" t="str">
        <f t="shared" ref="A561:A562" si="421">HYPERLINK("https://docs.google.com/spreadsheets/d/1sqCBFtpuwPZbBDDxr6VZ_oiWPSLpwP69X_5PRjcwLSA","jeff brown stock picks for 2021")</f>
        <v>jeff brown stock picks for 2021</v>
      </c>
      <c r="B561" s="1" t="str">
        <f t="shared" ref="B561:B564" si="422">HYPERLINK("https://docs.google.com/spreadsheets/d/1sqCBFtpuwPZbBDDxr6VZ_oiWPSLpwP69X_5PRjcwLSA","https://docs.google.com/spreadsheets/d/1sqCBFtpuwPZbBDDxr6VZ_oiWPSLpwP69X_5PRjcwLSA")</f>
        <v>https://docs.google.com/spreadsheets/d/1sqCBFtpuwPZbBDDxr6VZ_oiWPSLpwP69X_5PRjcwLSA</v>
      </c>
      <c r="C561" s="1" t="str">
        <f>HYPERLINK("https://docs.google.com/spreadsheets/d/1sqCBFtpuwPZbBDDxr6VZ_oiWPSLpwP69X_5PRjcwLSA","jeff brown tech investor")</f>
        <v>jeff brown tech investor</v>
      </c>
    </row>
    <row r="562">
      <c r="A562" s="1" t="str">
        <f t="shared" si="421"/>
        <v>jeff brown stock picks for 2021</v>
      </c>
      <c r="B562" s="1" t="str">
        <f t="shared" si="422"/>
        <v>https://docs.google.com/spreadsheets/d/1sqCBFtpuwPZbBDDxr6VZ_oiWPSLpwP69X_5PRjcwLSA</v>
      </c>
      <c r="C562" s="1" t="str">
        <f>HYPERLINK("https://docs.google.com/spreadsheets/d/1sqCBFtpuwPZbBDDxr6VZ_oiWPSLpwP69X_5PRjcwLSA","bill5g.com")</f>
        <v>bill5g.com</v>
      </c>
    </row>
    <row r="563">
      <c r="A563" s="1" t="str">
        <f t="shared" ref="A563:A564" si="423">HYPERLINK("https://docs.google.com/spreadsheets/d/1sqCBFtpuwPZbBDDxr6VZ_oiWPSLpwP69X_5PRjcwLSA","jeff brown investor")</f>
        <v>jeff brown investor</v>
      </c>
      <c r="B563" s="1" t="str">
        <f t="shared" si="422"/>
        <v>https://docs.google.com/spreadsheets/d/1sqCBFtpuwPZbBDDxr6VZ_oiWPSLpwP69X_5PRjcwLSA</v>
      </c>
      <c r="C563" s="1" t="str">
        <f>HYPERLINK("https://docs.google.com/spreadsheets/d/1sqCBFtpuwPZbBDDxr6VZ_oiWPSLpwP69X_5PRjcwLSA","jeff brown tech investor")</f>
        <v>jeff brown tech investor</v>
      </c>
    </row>
    <row r="564">
      <c r="A564" s="1" t="str">
        <f t="shared" si="423"/>
        <v>jeff brown investor</v>
      </c>
      <c r="B564" s="1" t="str">
        <f t="shared" si="422"/>
        <v>https://docs.google.com/spreadsheets/d/1sqCBFtpuwPZbBDDxr6VZ_oiWPSLpwP69X_5PRjcwLSA</v>
      </c>
      <c r="C564" s="1" t="str">
        <f>HYPERLINK("https://docs.google.com/spreadsheets/d/1sqCBFtpuwPZbBDDxr6VZ_oiWPSLpwP69X_5PRjcwLSA","bill5g.com")</f>
        <v>bill5g.com</v>
      </c>
    </row>
    <row r="565">
      <c r="A565" s="1" t="str">
        <f t="shared" ref="A565:A566" si="424">HYPERLINK("https://docs.google.com/spreadsheets/d/1rxCOKOs-yf3fJH4VYizJqG7awhGeOl7RxTCpZgpJTes","jeff brown stock picks for 2021")</f>
        <v>jeff brown stock picks for 2021</v>
      </c>
      <c r="B565" s="1" t="str">
        <f t="shared" ref="B565:B568" si="425">HYPERLINK("https://docs.google.com/spreadsheets/d/1rxCOKOs-yf3fJH4VYizJqG7awhGeOl7RxTCpZgpJTes","https://docs.google.com/spreadsheets/d/1rxCOKOs-yf3fJH4VYizJqG7awhGeOl7RxTCpZgpJTes")</f>
        <v>https://docs.google.com/spreadsheets/d/1rxCOKOs-yf3fJH4VYizJqG7awhGeOl7RxTCpZgpJTes</v>
      </c>
      <c r="C565" s="1" t="str">
        <f>HYPERLINK("https://docs.google.com/spreadsheets/d/1rxCOKOs-yf3fJH4VYizJqG7awhGeOl7RxTCpZgpJTes","jeff brown tech investor")</f>
        <v>jeff brown tech investor</v>
      </c>
    </row>
    <row r="566">
      <c r="A566" s="1" t="str">
        <f t="shared" si="424"/>
        <v>jeff brown stock picks for 2021</v>
      </c>
      <c r="B566" s="1" t="str">
        <f t="shared" si="425"/>
        <v>https://docs.google.com/spreadsheets/d/1rxCOKOs-yf3fJH4VYizJqG7awhGeOl7RxTCpZgpJTes</v>
      </c>
      <c r="C566" s="1" t="str">
        <f>HYPERLINK("https://docs.google.com/spreadsheets/d/1rxCOKOs-yf3fJH4VYizJqG7awhGeOl7RxTCpZgpJTes","bill5g.com")</f>
        <v>bill5g.com</v>
      </c>
    </row>
    <row r="567">
      <c r="A567" s="1" t="str">
        <f t="shared" ref="A567:A568" si="426">HYPERLINK("https://docs.google.com/spreadsheets/d/1rxCOKOs-yf3fJH4VYizJqG7awhGeOl7RxTCpZgpJTes","jeff brown investor")</f>
        <v>jeff brown investor</v>
      </c>
      <c r="B567" s="1" t="str">
        <f t="shared" si="425"/>
        <v>https://docs.google.com/spreadsheets/d/1rxCOKOs-yf3fJH4VYizJqG7awhGeOl7RxTCpZgpJTes</v>
      </c>
      <c r="C567" s="1" t="str">
        <f>HYPERLINK("https://docs.google.com/spreadsheets/d/1rxCOKOs-yf3fJH4VYizJqG7awhGeOl7RxTCpZgpJTes","jeff brown tech investor")</f>
        <v>jeff brown tech investor</v>
      </c>
    </row>
    <row r="568">
      <c r="A568" s="1" t="str">
        <f t="shared" si="426"/>
        <v>jeff brown investor</v>
      </c>
      <c r="B568" s="1" t="str">
        <f t="shared" si="425"/>
        <v>https://docs.google.com/spreadsheets/d/1rxCOKOs-yf3fJH4VYizJqG7awhGeOl7RxTCpZgpJTes</v>
      </c>
      <c r="C568" s="1" t="str">
        <f>HYPERLINK("https://docs.google.com/spreadsheets/d/1rxCOKOs-yf3fJH4VYizJqG7awhGeOl7RxTCpZgpJTes","bill5g.com")</f>
        <v>bill5g.com</v>
      </c>
    </row>
    <row r="569">
      <c r="A569" s="1" t="str">
        <f t="shared" ref="A569:A570" si="427">HYPERLINK("https://drive.google.com/drive/folders/1dKX0D2fEM93opa3jGGJXIwJKyFs8aiUH","jeff brown stock picks for 2021")</f>
        <v>jeff brown stock picks for 2021</v>
      </c>
      <c r="B569" s="1" t="str">
        <f t="shared" ref="B569:B572" si="428">HYPERLINK("https://drive.google.com/drive/folders/1dKX0D2fEM93opa3jGGJXIwJKyFs8aiUH","https://drive.google.com/drive/folders/1dKX0D2fEM93opa3jGGJXIwJKyFs8aiUH")</f>
        <v>https://drive.google.com/drive/folders/1dKX0D2fEM93opa3jGGJXIwJKyFs8aiUH</v>
      </c>
      <c r="C569" s="1" t="str">
        <f>HYPERLINK("https://drive.google.com/drive/folders/1dKX0D2fEM93opa3jGGJXIwJKyFs8aiUH","jeff brown tech investor")</f>
        <v>jeff brown tech investor</v>
      </c>
    </row>
    <row r="570">
      <c r="A570" s="1" t="str">
        <f t="shared" si="427"/>
        <v>jeff brown stock picks for 2021</v>
      </c>
      <c r="B570" s="1" t="str">
        <f t="shared" si="428"/>
        <v>https://drive.google.com/drive/folders/1dKX0D2fEM93opa3jGGJXIwJKyFs8aiUH</v>
      </c>
      <c r="C570" s="1" t="str">
        <f>HYPERLINK("https://drive.google.com/drive/folders/1dKX0D2fEM93opa3jGGJXIwJKyFs8aiUH","bill5g.com")</f>
        <v>bill5g.com</v>
      </c>
    </row>
    <row r="571">
      <c r="A571" s="1" t="str">
        <f t="shared" ref="A571:A572" si="429">HYPERLINK("https://drive.google.com/drive/folders/1dKX0D2fEM93opa3jGGJXIwJKyFs8aiUH","jeff brown investor")</f>
        <v>jeff brown investor</v>
      </c>
      <c r="B571" s="1" t="str">
        <f t="shared" si="428"/>
        <v>https://drive.google.com/drive/folders/1dKX0D2fEM93opa3jGGJXIwJKyFs8aiUH</v>
      </c>
      <c r="C571" s="1" t="str">
        <f>HYPERLINK("https://drive.google.com/drive/folders/1dKX0D2fEM93opa3jGGJXIwJKyFs8aiUH","jeff brown tech investor")</f>
        <v>jeff brown tech investor</v>
      </c>
    </row>
    <row r="572">
      <c r="A572" s="1" t="str">
        <f t="shared" si="429"/>
        <v>jeff brown investor</v>
      </c>
      <c r="B572" s="1" t="str">
        <f t="shared" si="428"/>
        <v>https://drive.google.com/drive/folders/1dKX0D2fEM93opa3jGGJXIwJKyFs8aiUH</v>
      </c>
      <c r="C572" s="1" t="str">
        <f>HYPERLINK("https://drive.google.com/drive/folders/1dKX0D2fEM93opa3jGGJXIwJKyFs8aiUH","bill5g.com")</f>
        <v>bill5g.com</v>
      </c>
    </row>
    <row r="573">
      <c r="A573" s="1" t="str">
        <f t="shared" ref="A573:A574" si="430">HYPERLINK("https://docs.google.com/spreadsheets/d/11q2GR7DBmPITumVo8Nt9A4DSpzklUGSMW_6gpCxeCOs","jeff brown stock picks for 2021")</f>
        <v>jeff brown stock picks for 2021</v>
      </c>
      <c r="B573" s="1" t="str">
        <f t="shared" ref="B573:B576" si="431">HYPERLINK("https://docs.google.com/spreadsheets/d/11q2GR7DBmPITumVo8Nt9A4DSpzklUGSMW_6gpCxeCOs","https://docs.google.com/spreadsheets/d/11q2GR7DBmPITumVo8Nt9A4DSpzklUGSMW_6gpCxeCOs")</f>
        <v>https://docs.google.com/spreadsheets/d/11q2GR7DBmPITumVo8Nt9A4DSpzklUGSMW_6gpCxeCOs</v>
      </c>
      <c r="C573" s="1" t="str">
        <f>HYPERLINK("https://docs.google.com/spreadsheets/d/11q2GR7DBmPITumVo8Nt9A4DSpzklUGSMW_6gpCxeCOs","jeff brown tech investor")</f>
        <v>jeff brown tech investor</v>
      </c>
    </row>
    <row r="574">
      <c r="A574" s="1" t="str">
        <f t="shared" si="430"/>
        <v>jeff brown stock picks for 2021</v>
      </c>
      <c r="B574" s="1" t="str">
        <f t="shared" si="431"/>
        <v>https://docs.google.com/spreadsheets/d/11q2GR7DBmPITumVo8Nt9A4DSpzklUGSMW_6gpCxeCOs</v>
      </c>
      <c r="C574" s="1" t="str">
        <f>HYPERLINK("https://docs.google.com/spreadsheets/d/11q2GR7DBmPITumVo8Nt9A4DSpzklUGSMW_6gpCxeCOs","bill5g.com")</f>
        <v>bill5g.com</v>
      </c>
    </row>
    <row r="575">
      <c r="A575" s="1" t="str">
        <f t="shared" ref="A575:A576" si="432">HYPERLINK("https://docs.google.com/spreadsheets/d/11q2GR7DBmPITumVo8Nt9A4DSpzklUGSMW_6gpCxeCOs","jeff brown investor")</f>
        <v>jeff brown investor</v>
      </c>
      <c r="B575" s="1" t="str">
        <f t="shared" si="431"/>
        <v>https://docs.google.com/spreadsheets/d/11q2GR7DBmPITumVo8Nt9A4DSpzklUGSMW_6gpCxeCOs</v>
      </c>
      <c r="C575" s="1" t="str">
        <f>HYPERLINK("https://docs.google.com/spreadsheets/d/11q2GR7DBmPITumVo8Nt9A4DSpzklUGSMW_6gpCxeCOs","jeff brown tech investor")</f>
        <v>jeff brown tech investor</v>
      </c>
    </row>
    <row r="576">
      <c r="A576" s="1" t="str">
        <f t="shared" si="432"/>
        <v>jeff brown investor</v>
      </c>
      <c r="B576" s="1" t="str">
        <f t="shared" si="431"/>
        <v>https://docs.google.com/spreadsheets/d/11q2GR7DBmPITumVo8Nt9A4DSpzklUGSMW_6gpCxeCOs</v>
      </c>
      <c r="C576" s="1" t="str">
        <f>HYPERLINK("https://docs.google.com/spreadsheets/d/11q2GR7DBmPITumVo8Nt9A4DSpzklUGSMW_6gpCxeCOs","bill5g.com")</f>
        <v>bill5g.com</v>
      </c>
    </row>
    <row r="577">
      <c r="A577" s="1" t="str">
        <f t="shared" ref="A577:A578" si="433">HYPERLINK("https://drive.google.com/drive/folders/18quaYOQU8F0U6WwZgkpzwG-QkAarPvJ8","jeff brown stock picks for 2021")</f>
        <v>jeff brown stock picks for 2021</v>
      </c>
      <c r="B577" s="1" t="str">
        <f t="shared" ref="B577:B580" si="434">HYPERLINK("https://drive.google.com/drive/folders/18quaYOQU8F0U6WwZgkpzwG-QkAarPvJ8","https://drive.google.com/drive/folders/18quaYOQU8F0U6WwZgkpzwG-QkAarPvJ8")</f>
        <v>https://drive.google.com/drive/folders/18quaYOQU8F0U6WwZgkpzwG-QkAarPvJ8</v>
      </c>
      <c r="C577" s="1" t="str">
        <f>HYPERLINK("https://drive.google.com/drive/folders/18quaYOQU8F0U6WwZgkpzwG-QkAarPvJ8","jeff brown tech investor")</f>
        <v>jeff brown tech investor</v>
      </c>
    </row>
    <row r="578">
      <c r="A578" s="1" t="str">
        <f t="shared" si="433"/>
        <v>jeff brown stock picks for 2021</v>
      </c>
      <c r="B578" s="1" t="str">
        <f t="shared" si="434"/>
        <v>https://drive.google.com/drive/folders/18quaYOQU8F0U6WwZgkpzwG-QkAarPvJ8</v>
      </c>
      <c r="C578" s="1" t="str">
        <f>HYPERLINK("https://drive.google.com/drive/folders/18quaYOQU8F0U6WwZgkpzwG-QkAarPvJ8","bill5g.com")</f>
        <v>bill5g.com</v>
      </c>
    </row>
    <row r="579">
      <c r="A579" s="1" t="str">
        <f t="shared" ref="A579:A580" si="435">HYPERLINK("https://drive.google.com/drive/folders/18quaYOQU8F0U6WwZgkpzwG-QkAarPvJ8","jeff brown investor")</f>
        <v>jeff brown investor</v>
      </c>
      <c r="B579" s="1" t="str">
        <f t="shared" si="434"/>
        <v>https://drive.google.com/drive/folders/18quaYOQU8F0U6WwZgkpzwG-QkAarPvJ8</v>
      </c>
      <c r="C579" s="1" t="str">
        <f>HYPERLINK("https://drive.google.com/drive/folders/18quaYOQU8F0U6WwZgkpzwG-QkAarPvJ8","jeff brown tech investor")</f>
        <v>jeff brown tech investor</v>
      </c>
    </row>
    <row r="580">
      <c r="A580" s="1" t="str">
        <f t="shared" si="435"/>
        <v>jeff brown investor</v>
      </c>
      <c r="B580" s="1" t="str">
        <f t="shared" si="434"/>
        <v>https://drive.google.com/drive/folders/18quaYOQU8F0U6WwZgkpzwG-QkAarPvJ8</v>
      </c>
      <c r="C580" s="1" t="str">
        <f>HYPERLINK("https://drive.google.com/drive/folders/18quaYOQU8F0U6WwZgkpzwG-QkAarPvJ8","bill5g.com")</f>
        <v>bill5g.com</v>
      </c>
    </row>
    <row r="581">
      <c r="A581" s="1" t="str">
        <f t="shared" ref="A581:A582" si="436">HYPERLINK("https://docs.google.com/spreadsheets/d/1QfJfoxnDlqfvJgmqWBQgd3tH8MO_Gn4ypn7jwyCXFXs","jeff brown stock picks for 2021")</f>
        <v>jeff brown stock picks for 2021</v>
      </c>
      <c r="B581" s="1" t="str">
        <f t="shared" ref="B581:B584" si="437">HYPERLINK("https://docs.google.com/spreadsheets/d/1QfJfoxnDlqfvJgmqWBQgd3tH8MO_Gn4ypn7jwyCXFXs","https://docs.google.com/spreadsheets/d/1QfJfoxnDlqfvJgmqWBQgd3tH8MO_Gn4ypn7jwyCXFXs")</f>
        <v>https://docs.google.com/spreadsheets/d/1QfJfoxnDlqfvJgmqWBQgd3tH8MO_Gn4ypn7jwyCXFXs</v>
      </c>
      <c r="C581" s="1" t="str">
        <f>HYPERLINK("https://docs.google.com/spreadsheets/d/1QfJfoxnDlqfvJgmqWBQgd3tH8MO_Gn4ypn7jwyCXFXs","jeff brown tech investor")</f>
        <v>jeff brown tech investor</v>
      </c>
    </row>
    <row r="582">
      <c r="A582" s="1" t="str">
        <f t="shared" si="436"/>
        <v>jeff brown stock picks for 2021</v>
      </c>
      <c r="B582" s="1" t="str">
        <f t="shared" si="437"/>
        <v>https://docs.google.com/spreadsheets/d/1QfJfoxnDlqfvJgmqWBQgd3tH8MO_Gn4ypn7jwyCXFXs</v>
      </c>
      <c r="C582" s="1" t="str">
        <f>HYPERLINK("https://docs.google.com/spreadsheets/d/1QfJfoxnDlqfvJgmqWBQgd3tH8MO_Gn4ypn7jwyCXFXs","bill5g.com")</f>
        <v>bill5g.com</v>
      </c>
    </row>
    <row r="583">
      <c r="A583" s="1" t="str">
        <f t="shared" ref="A583:A584" si="438">HYPERLINK("https://docs.google.com/spreadsheets/d/1QfJfoxnDlqfvJgmqWBQgd3tH8MO_Gn4ypn7jwyCXFXs","jeff brown investor")</f>
        <v>jeff brown investor</v>
      </c>
      <c r="B583" s="1" t="str">
        <f t="shared" si="437"/>
        <v>https://docs.google.com/spreadsheets/d/1QfJfoxnDlqfvJgmqWBQgd3tH8MO_Gn4ypn7jwyCXFXs</v>
      </c>
      <c r="C583" s="1" t="str">
        <f>HYPERLINK("https://docs.google.com/spreadsheets/d/1QfJfoxnDlqfvJgmqWBQgd3tH8MO_Gn4ypn7jwyCXFXs","jeff brown tech investor")</f>
        <v>jeff brown tech investor</v>
      </c>
    </row>
    <row r="584">
      <c r="A584" s="1" t="str">
        <f t="shared" si="438"/>
        <v>jeff brown investor</v>
      </c>
      <c r="B584" s="1" t="str">
        <f t="shared" si="437"/>
        <v>https://docs.google.com/spreadsheets/d/1QfJfoxnDlqfvJgmqWBQgd3tH8MO_Gn4ypn7jwyCXFXs</v>
      </c>
      <c r="C584" s="1" t="str">
        <f>HYPERLINK("https://docs.google.com/spreadsheets/d/1QfJfoxnDlqfvJgmqWBQgd3tH8MO_Gn4ypn7jwyCXFXs","bill5g.com")</f>
        <v>bill5g.com</v>
      </c>
    </row>
    <row r="585">
      <c r="A585" s="1" t="str">
        <f t="shared" ref="A585:A586" si="439">HYPERLINK("https://docs.google.com/spreadsheets/d/10v5z0F52Xudwh-4nw77s-7YE0bLaM0C4qGtBZMYbdVg","jeff brown stock picks for 2021")</f>
        <v>jeff brown stock picks for 2021</v>
      </c>
      <c r="B585" s="1" t="str">
        <f t="shared" ref="B585:B588" si="440">HYPERLINK("https://docs.google.com/spreadsheets/d/10v5z0F52Xudwh-4nw77s-7YE0bLaM0C4qGtBZMYbdVg","https://docs.google.com/spreadsheets/d/10v5z0F52Xudwh-4nw77s-7YE0bLaM0C4qGtBZMYbdVg")</f>
        <v>https://docs.google.com/spreadsheets/d/10v5z0F52Xudwh-4nw77s-7YE0bLaM0C4qGtBZMYbdVg</v>
      </c>
      <c r="C585" s="1" t="str">
        <f>HYPERLINK("https://docs.google.com/spreadsheets/d/10v5z0F52Xudwh-4nw77s-7YE0bLaM0C4qGtBZMYbdVg","jeff brown tech investor")</f>
        <v>jeff brown tech investor</v>
      </c>
    </row>
    <row r="586">
      <c r="A586" s="1" t="str">
        <f t="shared" si="439"/>
        <v>jeff brown stock picks for 2021</v>
      </c>
      <c r="B586" s="1" t="str">
        <f t="shared" si="440"/>
        <v>https://docs.google.com/spreadsheets/d/10v5z0F52Xudwh-4nw77s-7YE0bLaM0C4qGtBZMYbdVg</v>
      </c>
      <c r="C586" s="1" t="str">
        <f>HYPERLINK("https://docs.google.com/spreadsheets/d/10v5z0F52Xudwh-4nw77s-7YE0bLaM0C4qGtBZMYbdVg","bill5g.com")</f>
        <v>bill5g.com</v>
      </c>
    </row>
    <row r="587">
      <c r="A587" s="1" t="str">
        <f t="shared" ref="A587:A588" si="441">HYPERLINK("https://docs.google.com/spreadsheets/d/10v5z0F52Xudwh-4nw77s-7YE0bLaM0C4qGtBZMYbdVg","jeff brown investor")</f>
        <v>jeff brown investor</v>
      </c>
      <c r="B587" s="1" t="str">
        <f t="shared" si="440"/>
        <v>https://docs.google.com/spreadsheets/d/10v5z0F52Xudwh-4nw77s-7YE0bLaM0C4qGtBZMYbdVg</v>
      </c>
      <c r="C587" s="1" t="str">
        <f>HYPERLINK("https://docs.google.com/spreadsheets/d/10v5z0F52Xudwh-4nw77s-7YE0bLaM0C4qGtBZMYbdVg","jeff brown tech investor")</f>
        <v>jeff brown tech investor</v>
      </c>
    </row>
    <row r="588">
      <c r="A588" s="1" t="str">
        <f t="shared" si="441"/>
        <v>jeff brown investor</v>
      </c>
      <c r="B588" s="1" t="str">
        <f t="shared" si="440"/>
        <v>https://docs.google.com/spreadsheets/d/10v5z0F52Xudwh-4nw77s-7YE0bLaM0C4qGtBZMYbdVg</v>
      </c>
      <c r="C588" s="1" t="str">
        <f>HYPERLINK("https://docs.google.com/spreadsheets/d/10v5z0F52Xudwh-4nw77s-7YE0bLaM0C4qGtBZMYbdVg","bill5g.com")</f>
        <v>bill5g.com</v>
      </c>
    </row>
    <row r="589">
      <c r="A589" s="1" t="str">
        <f t="shared" ref="A589:A590" si="442">HYPERLINK("https://docs.google.com/spreadsheets/d/1Vl34IOCrLpaEg43Od1oiPlGguwJCrxfEWnRXA_tF1ws","jeff brown stock picks for 2021")</f>
        <v>jeff brown stock picks for 2021</v>
      </c>
      <c r="B589" s="1" t="str">
        <f t="shared" ref="B589:B592" si="443">HYPERLINK("https://docs.google.com/spreadsheets/d/1Vl34IOCrLpaEg43Od1oiPlGguwJCrxfEWnRXA_tF1ws","https://docs.google.com/spreadsheets/d/1Vl34IOCrLpaEg43Od1oiPlGguwJCrxfEWnRXA_tF1ws")</f>
        <v>https://docs.google.com/spreadsheets/d/1Vl34IOCrLpaEg43Od1oiPlGguwJCrxfEWnRXA_tF1ws</v>
      </c>
      <c r="C589" s="1" t="str">
        <f>HYPERLINK("https://docs.google.com/spreadsheets/d/1Vl34IOCrLpaEg43Od1oiPlGguwJCrxfEWnRXA_tF1ws","jeff brown tech investor")</f>
        <v>jeff brown tech investor</v>
      </c>
    </row>
    <row r="590">
      <c r="A590" s="1" t="str">
        <f t="shared" si="442"/>
        <v>jeff brown stock picks for 2021</v>
      </c>
      <c r="B590" s="1" t="str">
        <f t="shared" si="443"/>
        <v>https://docs.google.com/spreadsheets/d/1Vl34IOCrLpaEg43Od1oiPlGguwJCrxfEWnRXA_tF1ws</v>
      </c>
      <c r="C590" s="1" t="str">
        <f>HYPERLINK("https://docs.google.com/spreadsheets/d/1Vl34IOCrLpaEg43Od1oiPlGguwJCrxfEWnRXA_tF1ws","bill5g.com")</f>
        <v>bill5g.com</v>
      </c>
    </row>
    <row r="591">
      <c r="A591" s="1" t="str">
        <f t="shared" ref="A591:A592" si="444">HYPERLINK("https://docs.google.com/spreadsheets/d/1Vl34IOCrLpaEg43Od1oiPlGguwJCrxfEWnRXA_tF1ws","jeff brown investor")</f>
        <v>jeff brown investor</v>
      </c>
      <c r="B591" s="1" t="str">
        <f t="shared" si="443"/>
        <v>https://docs.google.com/spreadsheets/d/1Vl34IOCrLpaEg43Od1oiPlGguwJCrxfEWnRXA_tF1ws</v>
      </c>
      <c r="C591" s="1" t="str">
        <f>HYPERLINK("https://docs.google.com/spreadsheets/d/1Vl34IOCrLpaEg43Od1oiPlGguwJCrxfEWnRXA_tF1ws","jeff brown tech investor")</f>
        <v>jeff brown tech investor</v>
      </c>
    </row>
    <row r="592">
      <c r="A592" s="1" t="str">
        <f t="shared" si="444"/>
        <v>jeff brown investor</v>
      </c>
      <c r="B592" s="1" t="str">
        <f t="shared" si="443"/>
        <v>https://docs.google.com/spreadsheets/d/1Vl34IOCrLpaEg43Od1oiPlGguwJCrxfEWnRXA_tF1ws</v>
      </c>
      <c r="C592" s="1" t="str">
        <f>HYPERLINK("https://docs.google.com/spreadsheets/d/1Vl34IOCrLpaEg43Od1oiPlGguwJCrxfEWnRXA_tF1ws","bill5g.com")</f>
        <v>bill5g.com</v>
      </c>
    </row>
    <row r="593">
      <c r="A593" s="1" t="str">
        <f t="shared" ref="A593:A594" si="445">HYPERLINK("https://drive.google.com/drive/folders/1Mdbz7K3fHQQWUQQZ16846r58NPA2zx5S","jeff brown stock picks for 2021")</f>
        <v>jeff brown stock picks for 2021</v>
      </c>
      <c r="B593" s="1" t="str">
        <f t="shared" ref="B593:B596" si="446">HYPERLINK("https://drive.google.com/drive/folders/1Mdbz7K3fHQQWUQQZ16846r58NPA2zx5S","https://drive.google.com/drive/folders/1Mdbz7K3fHQQWUQQZ16846r58NPA2zx5S")</f>
        <v>https://drive.google.com/drive/folders/1Mdbz7K3fHQQWUQQZ16846r58NPA2zx5S</v>
      </c>
      <c r="C593" s="1" t="str">
        <f>HYPERLINK("https://drive.google.com/drive/folders/1Mdbz7K3fHQQWUQQZ16846r58NPA2zx5S","jeff brown tech investor")</f>
        <v>jeff brown tech investor</v>
      </c>
    </row>
    <row r="594">
      <c r="A594" s="1" t="str">
        <f t="shared" si="445"/>
        <v>jeff brown stock picks for 2021</v>
      </c>
      <c r="B594" s="1" t="str">
        <f t="shared" si="446"/>
        <v>https://drive.google.com/drive/folders/1Mdbz7K3fHQQWUQQZ16846r58NPA2zx5S</v>
      </c>
      <c r="C594" s="1" t="str">
        <f>HYPERLINK("https://drive.google.com/drive/folders/1Mdbz7K3fHQQWUQQZ16846r58NPA2zx5S","bill5g.com")</f>
        <v>bill5g.com</v>
      </c>
    </row>
    <row r="595">
      <c r="A595" s="1" t="str">
        <f t="shared" ref="A595:A596" si="447">HYPERLINK("https://drive.google.com/drive/folders/1Mdbz7K3fHQQWUQQZ16846r58NPA2zx5S","jeff brown investor")</f>
        <v>jeff brown investor</v>
      </c>
      <c r="B595" s="1" t="str">
        <f t="shared" si="446"/>
        <v>https://drive.google.com/drive/folders/1Mdbz7K3fHQQWUQQZ16846r58NPA2zx5S</v>
      </c>
      <c r="C595" s="1" t="str">
        <f>HYPERLINK("https://drive.google.com/drive/folders/1Mdbz7K3fHQQWUQQZ16846r58NPA2zx5S","jeff brown tech investor")</f>
        <v>jeff brown tech investor</v>
      </c>
    </row>
    <row r="596">
      <c r="A596" s="1" t="str">
        <f t="shared" si="447"/>
        <v>jeff brown investor</v>
      </c>
      <c r="B596" s="1" t="str">
        <f t="shared" si="446"/>
        <v>https://drive.google.com/drive/folders/1Mdbz7K3fHQQWUQQZ16846r58NPA2zx5S</v>
      </c>
      <c r="C596" s="1" t="str">
        <f>HYPERLINK("https://drive.google.com/drive/folders/1Mdbz7K3fHQQWUQQZ16846r58NPA2zx5S","bill5g.com")</f>
        <v>bill5g.com</v>
      </c>
    </row>
    <row r="597">
      <c r="A597" s="1" t="str">
        <f t="shared" ref="A597:A598" si="448">HYPERLINK("https://drive.google.com/drive/folders/1aloc3wvH8h0xf5FUltjnq8cAEXuSzRRl","jeff brown stock picks for 2021")</f>
        <v>jeff brown stock picks for 2021</v>
      </c>
      <c r="B597" s="1" t="str">
        <f t="shared" ref="B597:B600" si="449">HYPERLINK("https://drive.google.com/drive/folders/1aloc3wvH8h0xf5FUltjnq8cAEXuSzRRl","https://drive.google.com/drive/folders/1aloc3wvH8h0xf5FUltjnq8cAEXuSzRRl")</f>
        <v>https://drive.google.com/drive/folders/1aloc3wvH8h0xf5FUltjnq8cAEXuSzRRl</v>
      </c>
      <c r="C597" s="1" t="str">
        <f>HYPERLINK("https://drive.google.com/drive/folders/1aloc3wvH8h0xf5FUltjnq8cAEXuSzRRl","jeff brown tech investor")</f>
        <v>jeff brown tech investor</v>
      </c>
    </row>
    <row r="598">
      <c r="A598" s="1" t="str">
        <f t="shared" si="448"/>
        <v>jeff brown stock picks for 2021</v>
      </c>
      <c r="B598" s="1" t="str">
        <f t="shared" si="449"/>
        <v>https://drive.google.com/drive/folders/1aloc3wvH8h0xf5FUltjnq8cAEXuSzRRl</v>
      </c>
      <c r="C598" s="1" t="str">
        <f>HYPERLINK("https://drive.google.com/drive/folders/1aloc3wvH8h0xf5FUltjnq8cAEXuSzRRl","bill5g.com")</f>
        <v>bill5g.com</v>
      </c>
    </row>
    <row r="599">
      <c r="A599" s="1" t="str">
        <f t="shared" ref="A599:A600" si="450">HYPERLINK("https://drive.google.com/drive/folders/1aloc3wvH8h0xf5FUltjnq8cAEXuSzRRl","jeff brown investor")</f>
        <v>jeff brown investor</v>
      </c>
      <c r="B599" s="1" t="str">
        <f t="shared" si="449"/>
        <v>https://drive.google.com/drive/folders/1aloc3wvH8h0xf5FUltjnq8cAEXuSzRRl</v>
      </c>
      <c r="C599" s="1" t="str">
        <f>HYPERLINK("https://drive.google.com/drive/folders/1aloc3wvH8h0xf5FUltjnq8cAEXuSzRRl","jeff brown tech investor")</f>
        <v>jeff brown tech investor</v>
      </c>
    </row>
    <row r="600">
      <c r="A600" s="1" t="str">
        <f t="shared" si="450"/>
        <v>jeff brown investor</v>
      </c>
      <c r="B600" s="1" t="str">
        <f t="shared" si="449"/>
        <v>https://drive.google.com/drive/folders/1aloc3wvH8h0xf5FUltjnq8cAEXuSzRRl</v>
      </c>
      <c r="C600" s="1" t="str">
        <f>HYPERLINK("https://drive.google.com/drive/folders/1aloc3wvH8h0xf5FUltjnq8cAEXuSzRRl","bill5g.com")</f>
        <v>bill5g.com</v>
      </c>
    </row>
    <row r="601">
      <c r="A601" s="1" t="str">
        <f t="shared" ref="A601:A602" si="451">HYPERLINK("https://docs.google.com/spreadsheets/d/14lxuEQMxDMhRLr0t6MPXhRKkhCaYxl3p0Y267p3nxa4","jeff brown stock picks for 2021")</f>
        <v>jeff brown stock picks for 2021</v>
      </c>
      <c r="B601" s="1" t="str">
        <f t="shared" ref="B601:B604" si="452">HYPERLINK("https://docs.google.com/spreadsheets/d/14lxuEQMxDMhRLr0t6MPXhRKkhCaYxl3p0Y267p3nxa4","https://docs.google.com/spreadsheets/d/14lxuEQMxDMhRLr0t6MPXhRKkhCaYxl3p0Y267p3nxa4")</f>
        <v>https://docs.google.com/spreadsheets/d/14lxuEQMxDMhRLr0t6MPXhRKkhCaYxl3p0Y267p3nxa4</v>
      </c>
      <c r="C601" s="1" t="str">
        <f>HYPERLINK("https://docs.google.com/spreadsheets/d/14lxuEQMxDMhRLr0t6MPXhRKkhCaYxl3p0Y267p3nxa4","jeff brown tech investor")</f>
        <v>jeff brown tech investor</v>
      </c>
    </row>
    <row r="602">
      <c r="A602" s="1" t="str">
        <f t="shared" si="451"/>
        <v>jeff brown stock picks for 2021</v>
      </c>
      <c r="B602" s="1" t="str">
        <f t="shared" si="452"/>
        <v>https://docs.google.com/spreadsheets/d/14lxuEQMxDMhRLr0t6MPXhRKkhCaYxl3p0Y267p3nxa4</v>
      </c>
      <c r="C602" s="1" t="str">
        <f>HYPERLINK("https://docs.google.com/spreadsheets/d/14lxuEQMxDMhRLr0t6MPXhRKkhCaYxl3p0Y267p3nxa4","bill5g.com")</f>
        <v>bill5g.com</v>
      </c>
    </row>
    <row r="603">
      <c r="A603" s="1" t="str">
        <f t="shared" ref="A603:A604" si="453">HYPERLINK("https://docs.google.com/spreadsheets/d/14lxuEQMxDMhRLr0t6MPXhRKkhCaYxl3p0Y267p3nxa4","jeff brown investor")</f>
        <v>jeff brown investor</v>
      </c>
      <c r="B603" s="1" t="str">
        <f t="shared" si="452"/>
        <v>https://docs.google.com/spreadsheets/d/14lxuEQMxDMhRLr0t6MPXhRKkhCaYxl3p0Y267p3nxa4</v>
      </c>
      <c r="C603" s="1" t="str">
        <f>HYPERLINK("https://docs.google.com/spreadsheets/d/14lxuEQMxDMhRLr0t6MPXhRKkhCaYxl3p0Y267p3nxa4","jeff brown tech investor")</f>
        <v>jeff brown tech investor</v>
      </c>
    </row>
    <row r="604">
      <c r="A604" s="1" t="str">
        <f t="shared" si="453"/>
        <v>jeff brown investor</v>
      </c>
      <c r="B604" s="1" t="str">
        <f t="shared" si="452"/>
        <v>https://docs.google.com/spreadsheets/d/14lxuEQMxDMhRLr0t6MPXhRKkhCaYxl3p0Y267p3nxa4</v>
      </c>
      <c r="C604" s="1" t="str">
        <f>HYPERLINK("https://docs.google.com/spreadsheets/d/14lxuEQMxDMhRLr0t6MPXhRKkhCaYxl3p0Y267p3nxa4","bill5g.com")</f>
        <v>bill5g.com</v>
      </c>
    </row>
    <row r="605">
      <c r="A605" s="1" t="str">
        <f t="shared" ref="A605:A606" si="454">HYPERLINK("https://docs.google.com/spreadsheets/d/1JsXVlB7fq93t0nOpdEnVcssOSdpSK1qgOXcsTVJhrFo","jeff brown stock picks for 2021")</f>
        <v>jeff brown stock picks for 2021</v>
      </c>
      <c r="B605" s="1" t="str">
        <f t="shared" ref="B605:B608" si="455">HYPERLINK("https://docs.google.com/spreadsheets/d/1JsXVlB7fq93t0nOpdEnVcssOSdpSK1qgOXcsTVJhrFo","https://docs.google.com/spreadsheets/d/1JsXVlB7fq93t0nOpdEnVcssOSdpSK1qgOXcsTVJhrFo")</f>
        <v>https://docs.google.com/spreadsheets/d/1JsXVlB7fq93t0nOpdEnVcssOSdpSK1qgOXcsTVJhrFo</v>
      </c>
      <c r="C605" s="1" t="str">
        <f>HYPERLINK("https://docs.google.com/spreadsheets/d/1JsXVlB7fq93t0nOpdEnVcssOSdpSK1qgOXcsTVJhrFo","jeff brown tech investor")</f>
        <v>jeff brown tech investor</v>
      </c>
    </row>
    <row r="606">
      <c r="A606" s="1" t="str">
        <f t="shared" si="454"/>
        <v>jeff brown stock picks for 2021</v>
      </c>
      <c r="B606" s="1" t="str">
        <f t="shared" si="455"/>
        <v>https://docs.google.com/spreadsheets/d/1JsXVlB7fq93t0nOpdEnVcssOSdpSK1qgOXcsTVJhrFo</v>
      </c>
      <c r="C606" s="1" t="str">
        <f>HYPERLINK("https://docs.google.com/spreadsheets/d/1JsXVlB7fq93t0nOpdEnVcssOSdpSK1qgOXcsTVJhrFo","bill5g.com")</f>
        <v>bill5g.com</v>
      </c>
    </row>
    <row r="607">
      <c r="A607" s="1" t="str">
        <f t="shared" ref="A607:A608" si="456">HYPERLINK("https://docs.google.com/spreadsheets/d/1JsXVlB7fq93t0nOpdEnVcssOSdpSK1qgOXcsTVJhrFo","jeff brown investor")</f>
        <v>jeff brown investor</v>
      </c>
      <c r="B607" s="1" t="str">
        <f t="shared" si="455"/>
        <v>https://docs.google.com/spreadsheets/d/1JsXVlB7fq93t0nOpdEnVcssOSdpSK1qgOXcsTVJhrFo</v>
      </c>
      <c r="C607" s="1" t="str">
        <f>HYPERLINK("https://docs.google.com/spreadsheets/d/1JsXVlB7fq93t0nOpdEnVcssOSdpSK1qgOXcsTVJhrFo","jeff brown tech investor")</f>
        <v>jeff brown tech investor</v>
      </c>
    </row>
    <row r="608">
      <c r="A608" s="1" t="str">
        <f t="shared" si="456"/>
        <v>jeff brown investor</v>
      </c>
      <c r="B608" s="1" t="str">
        <f t="shared" si="455"/>
        <v>https://docs.google.com/spreadsheets/d/1JsXVlB7fq93t0nOpdEnVcssOSdpSK1qgOXcsTVJhrFo</v>
      </c>
      <c r="C608" s="1" t="str">
        <f>HYPERLINK("https://docs.google.com/spreadsheets/d/1JsXVlB7fq93t0nOpdEnVcssOSdpSK1qgOXcsTVJhrFo","bill5g.com")</f>
        <v>bill5g.com</v>
      </c>
    </row>
    <row r="609">
      <c r="A609" s="1" t="str">
        <f t="shared" ref="A609:A610" si="457">HYPERLINK("https://docs.google.com/spreadsheets/d/1MIAlro9NTetXu-Gz-9iOrKctrqs9l_hwQky3PEqncZs","jeff brown stock picks for 2021")</f>
        <v>jeff brown stock picks for 2021</v>
      </c>
      <c r="B609" s="1" t="str">
        <f t="shared" ref="B609:B612" si="458">HYPERLINK("https://docs.google.com/spreadsheets/d/1MIAlro9NTetXu-Gz-9iOrKctrqs9l_hwQky3PEqncZs","https://docs.google.com/spreadsheets/d/1MIAlro9NTetXu-Gz-9iOrKctrqs9l_hwQky3PEqncZs")</f>
        <v>https://docs.google.com/spreadsheets/d/1MIAlro9NTetXu-Gz-9iOrKctrqs9l_hwQky3PEqncZs</v>
      </c>
      <c r="C609" s="1" t="str">
        <f>HYPERLINK("https://docs.google.com/spreadsheets/d/1MIAlro9NTetXu-Gz-9iOrKctrqs9l_hwQky3PEqncZs","jeff brown tech investor")</f>
        <v>jeff brown tech investor</v>
      </c>
    </row>
    <row r="610">
      <c r="A610" s="1" t="str">
        <f t="shared" si="457"/>
        <v>jeff brown stock picks for 2021</v>
      </c>
      <c r="B610" s="1" t="str">
        <f t="shared" si="458"/>
        <v>https://docs.google.com/spreadsheets/d/1MIAlro9NTetXu-Gz-9iOrKctrqs9l_hwQky3PEqncZs</v>
      </c>
      <c r="C610" s="1" t="str">
        <f>HYPERLINK("https://docs.google.com/spreadsheets/d/1MIAlro9NTetXu-Gz-9iOrKctrqs9l_hwQky3PEqncZs","bill5g.com")</f>
        <v>bill5g.com</v>
      </c>
    </row>
    <row r="611">
      <c r="A611" s="1" t="str">
        <f t="shared" ref="A611:A612" si="459">HYPERLINK("https://docs.google.com/spreadsheets/d/1MIAlro9NTetXu-Gz-9iOrKctrqs9l_hwQky3PEqncZs","jeff brown investor")</f>
        <v>jeff brown investor</v>
      </c>
      <c r="B611" s="1" t="str">
        <f t="shared" si="458"/>
        <v>https://docs.google.com/spreadsheets/d/1MIAlro9NTetXu-Gz-9iOrKctrqs9l_hwQky3PEqncZs</v>
      </c>
      <c r="C611" s="1" t="str">
        <f>HYPERLINK("https://docs.google.com/spreadsheets/d/1MIAlro9NTetXu-Gz-9iOrKctrqs9l_hwQky3PEqncZs","jeff brown tech investor")</f>
        <v>jeff brown tech investor</v>
      </c>
    </row>
    <row r="612">
      <c r="A612" s="1" t="str">
        <f t="shared" si="459"/>
        <v>jeff brown investor</v>
      </c>
      <c r="B612" s="1" t="str">
        <f t="shared" si="458"/>
        <v>https://docs.google.com/spreadsheets/d/1MIAlro9NTetXu-Gz-9iOrKctrqs9l_hwQky3PEqncZs</v>
      </c>
      <c r="C612" s="1" t="str">
        <f>HYPERLINK("https://docs.google.com/spreadsheets/d/1MIAlro9NTetXu-Gz-9iOrKctrqs9l_hwQky3PEqncZs","bill5g.com")</f>
        <v>bill5g.com</v>
      </c>
    </row>
    <row r="613">
      <c r="A613" s="1" t="str">
        <f t="shared" ref="A613:A614" si="460">HYPERLINK("https://docs.google.com/spreadsheets/d/1cDPoixUuUCgNDxdsm9B06x3j-9ggnYqTS-vje2iU2M4","jeff brown stock picks for 2021")</f>
        <v>jeff brown stock picks for 2021</v>
      </c>
      <c r="B613" s="1" t="str">
        <f t="shared" ref="B613:B616" si="461">HYPERLINK("https://docs.google.com/spreadsheets/d/1cDPoixUuUCgNDxdsm9B06x3j-9ggnYqTS-vje2iU2M4","https://docs.google.com/spreadsheets/d/1cDPoixUuUCgNDxdsm9B06x3j-9ggnYqTS-vje2iU2M4")</f>
        <v>https://docs.google.com/spreadsheets/d/1cDPoixUuUCgNDxdsm9B06x3j-9ggnYqTS-vje2iU2M4</v>
      </c>
      <c r="C613" s="1" t="str">
        <f>HYPERLINK("https://docs.google.com/spreadsheets/d/1cDPoixUuUCgNDxdsm9B06x3j-9ggnYqTS-vje2iU2M4","jeff brown tech investor")</f>
        <v>jeff brown tech investor</v>
      </c>
    </row>
    <row r="614">
      <c r="A614" s="1" t="str">
        <f t="shared" si="460"/>
        <v>jeff brown stock picks for 2021</v>
      </c>
      <c r="B614" s="1" t="str">
        <f t="shared" si="461"/>
        <v>https://docs.google.com/spreadsheets/d/1cDPoixUuUCgNDxdsm9B06x3j-9ggnYqTS-vje2iU2M4</v>
      </c>
      <c r="C614" s="1" t="str">
        <f>HYPERLINK("https://docs.google.com/spreadsheets/d/1cDPoixUuUCgNDxdsm9B06x3j-9ggnYqTS-vje2iU2M4","bill5g.com")</f>
        <v>bill5g.com</v>
      </c>
    </row>
    <row r="615">
      <c r="A615" s="1" t="str">
        <f t="shared" ref="A615:A616" si="462">HYPERLINK("https://docs.google.com/spreadsheets/d/1cDPoixUuUCgNDxdsm9B06x3j-9ggnYqTS-vje2iU2M4","jeff brown investor")</f>
        <v>jeff brown investor</v>
      </c>
      <c r="B615" s="1" t="str">
        <f t="shared" si="461"/>
        <v>https://docs.google.com/spreadsheets/d/1cDPoixUuUCgNDxdsm9B06x3j-9ggnYqTS-vje2iU2M4</v>
      </c>
      <c r="C615" s="1" t="str">
        <f>HYPERLINK("https://docs.google.com/spreadsheets/d/1cDPoixUuUCgNDxdsm9B06x3j-9ggnYqTS-vje2iU2M4","jeff brown tech investor")</f>
        <v>jeff brown tech investor</v>
      </c>
    </row>
    <row r="616">
      <c r="A616" s="1" t="str">
        <f t="shared" si="462"/>
        <v>jeff brown investor</v>
      </c>
      <c r="B616" s="1" t="str">
        <f t="shared" si="461"/>
        <v>https://docs.google.com/spreadsheets/d/1cDPoixUuUCgNDxdsm9B06x3j-9ggnYqTS-vje2iU2M4</v>
      </c>
      <c r="C616" s="1" t="str">
        <f>HYPERLINK("https://docs.google.com/spreadsheets/d/1cDPoixUuUCgNDxdsm9B06x3j-9ggnYqTS-vje2iU2M4","bill5g.com")</f>
        <v>bill5g.com</v>
      </c>
    </row>
    <row r="617">
      <c r="A617" s="1" t="str">
        <f t="shared" ref="A617:A618" si="463">HYPERLINK("https://drive.google.com/drive/folders/1qJR5--nGMvfP-Lr16PnvJY2SlhOVJKn_","jeff brown stock picks for 2021")</f>
        <v>jeff brown stock picks for 2021</v>
      </c>
      <c r="B617" s="1" t="str">
        <f t="shared" ref="B617:B620" si="464">HYPERLINK("https://drive.google.com/drive/folders/1qJR5--nGMvfP-Lr16PnvJY2SlhOVJKn_","https://drive.google.com/drive/folders/1qJR5--nGMvfP-Lr16PnvJY2SlhOVJKn_")</f>
        <v>https://drive.google.com/drive/folders/1qJR5--nGMvfP-Lr16PnvJY2SlhOVJKn_</v>
      </c>
      <c r="C617" s="1" t="str">
        <f>HYPERLINK("https://drive.google.com/drive/folders/1qJR5--nGMvfP-Lr16PnvJY2SlhOVJKn_","jeff brown tech investor")</f>
        <v>jeff brown tech investor</v>
      </c>
    </row>
    <row r="618">
      <c r="A618" s="1" t="str">
        <f t="shared" si="463"/>
        <v>jeff brown stock picks for 2021</v>
      </c>
      <c r="B618" s="1" t="str">
        <f t="shared" si="464"/>
        <v>https://drive.google.com/drive/folders/1qJR5--nGMvfP-Lr16PnvJY2SlhOVJKn_</v>
      </c>
      <c r="C618" s="1" t="str">
        <f>HYPERLINK("https://drive.google.com/drive/folders/1qJR5--nGMvfP-Lr16PnvJY2SlhOVJKn_","bill5g.com")</f>
        <v>bill5g.com</v>
      </c>
    </row>
    <row r="619">
      <c r="A619" s="1" t="str">
        <f t="shared" ref="A619:A620" si="465">HYPERLINK("https://drive.google.com/drive/folders/1qJR5--nGMvfP-Lr16PnvJY2SlhOVJKn_","jeff brown investor")</f>
        <v>jeff brown investor</v>
      </c>
      <c r="B619" s="1" t="str">
        <f t="shared" si="464"/>
        <v>https://drive.google.com/drive/folders/1qJR5--nGMvfP-Lr16PnvJY2SlhOVJKn_</v>
      </c>
      <c r="C619" s="1" t="str">
        <f>HYPERLINK("https://drive.google.com/drive/folders/1qJR5--nGMvfP-Lr16PnvJY2SlhOVJKn_","jeff brown tech investor")</f>
        <v>jeff brown tech investor</v>
      </c>
    </row>
    <row r="620">
      <c r="A620" s="1" t="str">
        <f t="shared" si="465"/>
        <v>jeff brown investor</v>
      </c>
      <c r="B620" s="1" t="str">
        <f t="shared" si="464"/>
        <v>https://drive.google.com/drive/folders/1qJR5--nGMvfP-Lr16PnvJY2SlhOVJKn_</v>
      </c>
      <c r="C620" s="1" t="str">
        <f>HYPERLINK("https://drive.google.com/drive/folders/1qJR5--nGMvfP-Lr16PnvJY2SlhOVJKn_","bill5g.com")</f>
        <v>bill5g.com</v>
      </c>
    </row>
    <row r="621">
      <c r="A621" s="1" t="str">
        <f t="shared" ref="A621:A622" si="466">HYPERLINK("https://drive.google.com/drive/folders/1pX4MBh5ptlpPrvFDqq71KWo5ed3oXdMp","jeff brown stock picks for 2021")</f>
        <v>jeff brown stock picks for 2021</v>
      </c>
      <c r="B621" s="1" t="str">
        <f t="shared" ref="B621:B624" si="467">HYPERLINK("https://drive.google.com/drive/folders/1pX4MBh5ptlpPrvFDqq71KWo5ed3oXdMp","https://drive.google.com/drive/folders/1pX4MBh5ptlpPrvFDqq71KWo5ed3oXdMp")</f>
        <v>https://drive.google.com/drive/folders/1pX4MBh5ptlpPrvFDqq71KWo5ed3oXdMp</v>
      </c>
      <c r="C621" s="1" t="str">
        <f>HYPERLINK("https://drive.google.com/drive/folders/1pX4MBh5ptlpPrvFDqq71KWo5ed3oXdMp","jeff brown tech investor")</f>
        <v>jeff brown tech investor</v>
      </c>
    </row>
    <row r="622">
      <c r="A622" s="1" t="str">
        <f t="shared" si="466"/>
        <v>jeff brown stock picks for 2021</v>
      </c>
      <c r="B622" s="1" t="str">
        <f t="shared" si="467"/>
        <v>https://drive.google.com/drive/folders/1pX4MBh5ptlpPrvFDqq71KWo5ed3oXdMp</v>
      </c>
      <c r="C622" s="1" t="str">
        <f>HYPERLINK("https://drive.google.com/drive/folders/1pX4MBh5ptlpPrvFDqq71KWo5ed3oXdMp","bill5g.com")</f>
        <v>bill5g.com</v>
      </c>
    </row>
    <row r="623">
      <c r="A623" s="1" t="str">
        <f t="shared" ref="A623:A624" si="468">HYPERLINK("https://drive.google.com/drive/folders/1pX4MBh5ptlpPrvFDqq71KWo5ed3oXdMp","jeff brown investor")</f>
        <v>jeff brown investor</v>
      </c>
      <c r="B623" s="1" t="str">
        <f t="shared" si="467"/>
        <v>https://drive.google.com/drive/folders/1pX4MBh5ptlpPrvFDqq71KWo5ed3oXdMp</v>
      </c>
      <c r="C623" s="1" t="str">
        <f>HYPERLINK("https://drive.google.com/drive/folders/1pX4MBh5ptlpPrvFDqq71KWo5ed3oXdMp","jeff brown tech investor")</f>
        <v>jeff brown tech investor</v>
      </c>
    </row>
    <row r="624">
      <c r="A624" s="1" t="str">
        <f t="shared" si="468"/>
        <v>jeff brown investor</v>
      </c>
      <c r="B624" s="1" t="str">
        <f t="shared" si="467"/>
        <v>https://drive.google.com/drive/folders/1pX4MBh5ptlpPrvFDqq71KWo5ed3oXdMp</v>
      </c>
      <c r="C624" s="1" t="str">
        <f>HYPERLINK("https://drive.google.com/drive/folders/1pX4MBh5ptlpPrvFDqq71KWo5ed3oXdMp","bill5g.com")</f>
        <v>bill5g.com</v>
      </c>
    </row>
    <row r="625">
      <c r="A625" s="1" t="str">
        <f t="shared" ref="A625:A626" si="469">HYPERLINK("https://docs.google.com/spreadsheets/d/1esWmMmZflWVbbfPXMjR-1iig7mYs95Sou2158Wtsm90","jeff brown stock picks for 2021")</f>
        <v>jeff brown stock picks for 2021</v>
      </c>
      <c r="B625" s="1" t="str">
        <f t="shared" ref="B625:B628" si="470">HYPERLINK("https://docs.google.com/spreadsheets/d/1esWmMmZflWVbbfPXMjR-1iig7mYs95Sou2158Wtsm90","https://docs.google.com/spreadsheets/d/1esWmMmZflWVbbfPXMjR-1iig7mYs95Sou2158Wtsm90")</f>
        <v>https://docs.google.com/spreadsheets/d/1esWmMmZflWVbbfPXMjR-1iig7mYs95Sou2158Wtsm90</v>
      </c>
      <c r="C625" s="1" t="str">
        <f>HYPERLINK("https://docs.google.com/spreadsheets/d/1esWmMmZflWVbbfPXMjR-1iig7mYs95Sou2158Wtsm90","jeff brown tech investor")</f>
        <v>jeff brown tech investor</v>
      </c>
    </row>
    <row r="626">
      <c r="A626" s="1" t="str">
        <f t="shared" si="469"/>
        <v>jeff brown stock picks for 2021</v>
      </c>
      <c r="B626" s="1" t="str">
        <f t="shared" si="470"/>
        <v>https://docs.google.com/spreadsheets/d/1esWmMmZflWVbbfPXMjR-1iig7mYs95Sou2158Wtsm90</v>
      </c>
      <c r="C626" s="1" t="str">
        <f>HYPERLINK("https://docs.google.com/spreadsheets/d/1esWmMmZflWVbbfPXMjR-1iig7mYs95Sou2158Wtsm90","bill5g.com")</f>
        <v>bill5g.com</v>
      </c>
    </row>
    <row r="627">
      <c r="A627" s="1" t="str">
        <f t="shared" ref="A627:A628" si="471">HYPERLINK("https://docs.google.com/spreadsheets/d/1esWmMmZflWVbbfPXMjR-1iig7mYs95Sou2158Wtsm90","jeff brown investor")</f>
        <v>jeff brown investor</v>
      </c>
      <c r="B627" s="1" t="str">
        <f t="shared" si="470"/>
        <v>https://docs.google.com/spreadsheets/d/1esWmMmZflWVbbfPXMjR-1iig7mYs95Sou2158Wtsm90</v>
      </c>
      <c r="C627" s="1" t="str">
        <f>HYPERLINK("https://docs.google.com/spreadsheets/d/1esWmMmZflWVbbfPXMjR-1iig7mYs95Sou2158Wtsm90","jeff brown tech investor")</f>
        <v>jeff brown tech investor</v>
      </c>
    </row>
    <row r="628">
      <c r="A628" s="1" t="str">
        <f t="shared" si="471"/>
        <v>jeff brown investor</v>
      </c>
      <c r="B628" s="1" t="str">
        <f t="shared" si="470"/>
        <v>https://docs.google.com/spreadsheets/d/1esWmMmZflWVbbfPXMjR-1iig7mYs95Sou2158Wtsm90</v>
      </c>
      <c r="C628" s="1" t="str">
        <f>HYPERLINK("https://docs.google.com/spreadsheets/d/1esWmMmZflWVbbfPXMjR-1iig7mYs95Sou2158Wtsm90","bill5g.com")</f>
        <v>bill5g.com</v>
      </c>
    </row>
    <row r="629">
      <c r="A629" s="1" t="str">
        <f t="shared" ref="A629:A630" si="472">HYPERLINK("https://drive.google.com/drive/folders/1xXCCx82sMP7jHFmDyQV_tZYYqdJv7d3D","jeff brown stock picks for 2021")</f>
        <v>jeff brown stock picks for 2021</v>
      </c>
      <c r="B629" s="1" t="str">
        <f t="shared" ref="B629:B632" si="473">HYPERLINK("https://drive.google.com/drive/folders/1xXCCx82sMP7jHFmDyQV_tZYYqdJv7d3D","https://drive.google.com/drive/folders/1xXCCx82sMP7jHFmDyQV_tZYYqdJv7d3D")</f>
        <v>https://drive.google.com/drive/folders/1xXCCx82sMP7jHFmDyQV_tZYYqdJv7d3D</v>
      </c>
      <c r="C629" s="1" t="str">
        <f>HYPERLINK("https://drive.google.com/drive/folders/1xXCCx82sMP7jHFmDyQV_tZYYqdJv7d3D","jeff brown tech investor")</f>
        <v>jeff brown tech investor</v>
      </c>
    </row>
    <row r="630">
      <c r="A630" s="1" t="str">
        <f t="shared" si="472"/>
        <v>jeff brown stock picks for 2021</v>
      </c>
      <c r="B630" s="1" t="str">
        <f t="shared" si="473"/>
        <v>https://drive.google.com/drive/folders/1xXCCx82sMP7jHFmDyQV_tZYYqdJv7d3D</v>
      </c>
      <c r="C630" s="1" t="str">
        <f>HYPERLINK("https://drive.google.com/drive/folders/1xXCCx82sMP7jHFmDyQV_tZYYqdJv7d3D","bill5g.com")</f>
        <v>bill5g.com</v>
      </c>
    </row>
    <row r="631">
      <c r="A631" s="1" t="str">
        <f t="shared" ref="A631:A632" si="474">HYPERLINK("https://drive.google.com/drive/folders/1xXCCx82sMP7jHFmDyQV_tZYYqdJv7d3D","jeff brown investor")</f>
        <v>jeff brown investor</v>
      </c>
      <c r="B631" s="1" t="str">
        <f t="shared" si="473"/>
        <v>https://drive.google.com/drive/folders/1xXCCx82sMP7jHFmDyQV_tZYYqdJv7d3D</v>
      </c>
      <c r="C631" s="1" t="str">
        <f>HYPERLINK("https://drive.google.com/drive/folders/1xXCCx82sMP7jHFmDyQV_tZYYqdJv7d3D","jeff brown tech investor")</f>
        <v>jeff brown tech investor</v>
      </c>
    </row>
    <row r="632">
      <c r="A632" s="1" t="str">
        <f t="shared" si="474"/>
        <v>jeff brown investor</v>
      </c>
      <c r="B632" s="1" t="str">
        <f t="shared" si="473"/>
        <v>https://drive.google.com/drive/folders/1xXCCx82sMP7jHFmDyQV_tZYYqdJv7d3D</v>
      </c>
      <c r="C632" s="1" t="str">
        <f>HYPERLINK("https://drive.google.com/drive/folders/1xXCCx82sMP7jHFmDyQV_tZYYqdJv7d3D","bill5g.com")</f>
        <v>bill5g.com</v>
      </c>
    </row>
    <row r="633">
      <c r="A633" s="1" t="str">
        <f t="shared" ref="A633:A634" si="475">HYPERLINK("https://docs.google.com/spreadsheets/d/1-agJeR6YknNu3xnFFnKsQRz3OB_DHS9Ig5btgOagSrs","jeff brown stock picks for 2021")</f>
        <v>jeff brown stock picks for 2021</v>
      </c>
      <c r="B633" s="1" t="str">
        <f t="shared" ref="B633:B636" si="476">HYPERLINK("https://docs.google.com/spreadsheets/d/1-agJeR6YknNu3xnFFnKsQRz3OB_DHS9Ig5btgOagSrs","https://docs.google.com/spreadsheets/d/1-agJeR6YknNu3xnFFnKsQRz3OB_DHS9Ig5btgOagSrs")</f>
        <v>https://docs.google.com/spreadsheets/d/1-agJeR6YknNu3xnFFnKsQRz3OB_DHS9Ig5btgOagSrs</v>
      </c>
      <c r="C633" s="1" t="str">
        <f>HYPERLINK("https://docs.google.com/spreadsheets/d/1-agJeR6YknNu3xnFFnKsQRz3OB_DHS9Ig5btgOagSrs","jeff brown tech investor")</f>
        <v>jeff brown tech investor</v>
      </c>
    </row>
    <row r="634">
      <c r="A634" s="1" t="str">
        <f t="shared" si="475"/>
        <v>jeff brown stock picks for 2021</v>
      </c>
      <c r="B634" s="1" t="str">
        <f t="shared" si="476"/>
        <v>https://docs.google.com/spreadsheets/d/1-agJeR6YknNu3xnFFnKsQRz3OB_DHS9Ig5btgOagSrs</v>
      </c>
      <c r="C634" s="1" t="str">
        <f>HYPERLINK("https://docs.google.com/spreadsheets/d/1-agJeR6YknNu3xnFFnKsQRz3OB_DHS9Ig5btgOagSrs","bill5g.com")</f>
        <v>bill5g.com</v>
      </c>
    </row>
    <row r="635">
      <c r="A635" s="1" t="str">
        <f t="shared" ref="A635:A636" si="477">HYPERLINK("https://docs.google.com/spreadsheets/d/1-agJeR6YknNu3xnFFnKsQRz3OB_DHS9Ig5btgOagSrs","jeff brown investor")</f>
        <v>jeff brown investor</v>
      </c>
      <c r="B635" s="1" t="str">
        <f t="shared" si="476"/>
        <v>https://docs.google.com/spreadsheets/d/1-agJeR6YknNu3xnFFnKsQRz3OB_DHS9Ig5btgOagSrs</v>
      </c>
      <c r="C635" s="1" t="str">
        <f>HYPERLINK("https://docs.google.com/spreadsheets/d/1-agJeR6YknNu3xnFFnKsQRz3OB_DHS9Ig5btgOagSrs","jeff brown tech investor")</f>
        <v>jeff brown tech investor</v>
      </c>
    </row>
    <row r="636">
      <c r="A636" s="1" t="str">
        <f t="shared" si="477"/>
        <v>jeff brown investor</v>
      </c>
      <c r="B636" s="1" t="str">
        <f t="shared" si="476"/>
        <v>https://docs.google.com/spreadsheets/d/1-agJeR6YknNu3xnFFnKsQRz3OB_DHS9Ig5btgOagSrs</v>
      </c>
      <c r="C636" s="1" t="str">
        <f>HYPERLINK("https://docs.google.com/spreadsheets/d/1-agJeR6YknNu3xnFFnKsQRz3OB_DHS9Ig5btgOagSrs","bill5g.com")</f>
        <v>bill5g.com</v>
      </c>
    </row>
    <row r="637">
      <c r="A637" s="1" t="str">
        <f t="shared" ref="A637:A638" si="478">HYPERLINK("https://docs.google.com/spreadsheets/d/1Z2oym3F55AQhhp0oNvovQpLd361xvXpTjScYqDfBOpU","jeff brown stock picks for 2021")</f>
        <v>jeff brown stock picks for 2021</v>
      </c>
      <c r="B637" s="1" t="str">
        <f t="shared" ref="B637:B640" si="479">HYPERLINK("https://docs.google.com/spreadsheets/d/1Z2oym3F55AQhhp0oNvovQpLd361xvXpTjScYqDfBOpU","https://docs.google.com/spreadsheets/d/1Z2oym3F55AQhhp0oNvovQpLd361xvXpTjScYqDfBOpU")</f>
        <v>https://docs.google.com/spreadsheets/d/1Z2oym3F55AQhhp0oNvovQpLd361xvXpTjScYqDfBOpU</v>
      </c>
      <c r="C637" s="1" t="str">
        <f>HYPERLINK("https://docs.google.com/spreadsheets/d/1Z2oym3F55AQhhp0oNvovQpLd361xvXpTjScYqDfBOpU","jeff brown tech investor")</f>
        <v>jeff brown tech investor</v>
      </c>
    </row>
    <row r="638">
      <c r="A638" s="1" t="str">
        <f t="shared" si="478"/>
        <v>jeff brown stock picks for 2021</v>
      </c>
      <c r="B638" s="1" t="str">
        <f t="shared" si="479"/>
        <v>https://docs.google.com/spreadsheets/d/1Z2oym3F55AQhhp0oNvovQpLd361xvXpTjScYqDfBOpU</v>
      </c>
      <c r="C638" s="1" t="str">
        <f>HYPERLINK("https://docs.google.com/spreadsheets/d/1Z2oym3F55AQhhp0oNvovQpLd361xvXpTjScYqDfBOpU","bill5g.com")</f>
        <v>bill5g.com</v>
      </c>
    </row>
    <row r="639">
      <c r="A639" s="1" t="str">
        <f t="shared" ref="A639:A640" si="480">HYPERLINK("https://docs.google.com/spreadsheets/d/1Z2oym3F55AQhhp0oNvovQpLd361xvXpTjScYqDfBOpU","jeff brown investor")</f>
        <v>jeff brown investor</v>
      </c>
      <c r="B639" s="1" t="str">
        <f t="shared" si="479"/>
        <v>https://docs.google.com/spreadsheets/d/1Z2oym3F55AQhhp0oNvovQpLd361xvXpTjScYqDfBOpU</v>
      </c>
      <c r="C639" s="1" t="str">
        <f>HYPERLINK("https://docs.google.com/spreadsheets/d/1Z2oym3F55AQhhp0oNvovQpLd361xvXpTjScYqDfBOpU","jeff brown tech investor")</f>
        <v>jeff brown tech investor</v>
      </c>
    </row>
    <row r="640">
      <c r="A640" s="1" t="str">
        <f t="shared" si="480"/>
        <v>jeff brown investor</v>
      </c>
      <c r="B640" s="1" t="str">
        <f t="shared" si="479"/>
        <v>https://docs.google.com/spreadsheets/d/1Z2oym3F55AQhhp0oNvovQpLd361xvXpTjScYqDfBOpU</v>
      </c>
      <c r="C640" s="1" t="str">
        <f>HYPERLINK("https://docs.google.com/spreadsheets/d/1Z2oym3F55AQhhp0oNvovQpLd361xvXpTjScYqDfBOpU","bill5g.com")</f>
        <v>bill5g.com</v>
      </c>
    </row>
    <row r="641">
      <c r="A641" s="1" t="str">
        <f t="shared" ref="A641:A642" si="481">HYPERLINK("https://drive.google.com/drive/folders/1vU4g7gkIkI_PCeAiq28fW6XvUUIQSu54","jeff brown stock picks for 2021")</f>
        <v>jeff brown stock picks for 2021</v>
      </c>
      <c r="B641" s="1" t="str">
        <f t="shared" ref="B641:B644" si="482">HYPERLINK("https://drive.google.com/drive/folders/1vU4g7gkIkI_PCeAiq28fW6XvUUIQSu54","https://drive.google.com/drive/folders/1vU4g7gkIkI_PCeAiq28fW6XvUUIQSu54")</f>
        <v>https://drive.google.com/drive/folders/1vU4g7gkIkI_PCeAiq28fW6XvUUIQSu54</v>
      </c>
      <c r="C641" s="1" t="str">
        <f>HYPERLINK("https://drive.google.com/drive/folders/1vU4g7gkIkI_PCeAiq28fW6XvUUIQSu54","jeff brown tech investor")</f>
        <v>jeff brown tech investor</v>
      </c>
    </row>
    <row r="642">
      <c r="A642" s="1" t="str">
        <f t="shared" si="481"/>
        <v>jeff brown stock picks for 2021</v>
      </c>
      <c r="B642" s="1" t="str">
        <f t="shared" si="482"/>
        <v>https://drive.google.com/drive/folders/1vU4g7gkIkI_PCeAiq28fW6XvUUIQSu54</v>
      </c>
      <c r="C642" s="1" t="str">
        <f>HYPERLINK("https://drive.google.com/drive/folders/1vU4g7gkIkI_PCeAiq28fW6XvUUIQSu54","bill5g.com")</f>
        <v>bill5g.com</v>
      </c>
    </row>
    <row r="643">
      <c r="A643" s="1" t="str">
        <f t="shared" ref="A643:A644" si="483">HYPERLINK("https://drive.google.com/drive/folders/1vU4g7gkIkI_PCeAiq28fW6XvUUIQSu54","jeff brown investor")</f>
        <v>jeff brown investor</v>
      </c>
      <c r="B643" s="1" t="str">
        <f t="shared" si="482"/>
        <v>https://drive.google.com/drive/folders/1vU4g7gkIkI_PCeAiq28fW6XvUUIQSu54</v>
      </c>
      <c r="C643" s="1" t="str">
        <f>HYPERLINK("https://drive.google.com/drive/folders/1vU4g7gkIkI_PCeAiq28fW6XvUUIQSu54","jeff brown tech investor")</f>
        <v>jeff brown tech investor</v>
      </c>
    </row>
    <row r="644">
      <c r="A644" s="1" t="str">
        <f t="shared" si="483"/>
        <v>jeff brown investor</v>
      </c>
      <c r="B644" s="1" t="str">
        <f t="shared" si="482"/>
        <v>https://drive.google.com/drive/folders/1vU4g7gkIkI_PCeAiq28fW6XvUUIQSu54</v>
      </c>
      <c r="C644" s="1" t="str">
        <f>HYPERLINK("https://drive.google.com/drive/folders/1vU4g7gkIkI_PCeAiq28fW6XvUUIQSu54","bill5g.com")</f>
        <v>bill5g.com</v>
      </c>
    </row>
    <row r="645">
      <c r="A645" s="1" t="str">
        <f t="shared" ref="A645:A646" si="484">HYPERLINK("https://drive.google.com/drive/folders/1IOVtC_Xm8PnKYHRVSyIHpLmGWWoDOl0Q","jeff brown stock picks for 2021")</f>
        <v>jeff brown stock picks for 2021</v>
      </c>
      <c r="B645" s="1" t="str">
        <f t="shared" ref="B645:B648" si="485">HYPERLINK("https://drive.google.com/drive/folders/1IOVtC_Xm8PnKYHRVSyIHpLmGWWoDOl0Q","https://drive.google.com/drive/folders/1IOVtC_Xm8PnKYHRVSyIHpLmGWWoDOl0Q")</f>
        <v>https://drive.google.com/drive/folders/1IOVtC_Xm8PnKYHRVSyIHpLmGWWoDOl0Q</v>
      </c>
      <c r="C645" s="1" t="str">
        <f>HYPERLINK("https://drive.google.com/drive/folders/1IOVtC_Xm8PnKYHRVSyIHpLmGWWoDOl0Q","jeff brown tech investor")</f>
        <v>jeff brown tech investor</v>
      </c>
    </row>
    <row r="646">
      <c r="A646" s="1" t="str">
        <f t="shared" si="484"/>
        <v>jeff brown stock picks for 2021</v>
      </c>
      <c r="B646" s="1" t="str">
        <f t="shared" si="485"/>
        <v>https://drive.google.com/drive/folders/1IOVtC_Xm8PnKYHRVSyIHpLmGWWoDOl0Q</v>
      </c>
      <c r="C646" s="1" t="str">
        <f>HYPERLINK("https://drive.google.com/drive/folders/1IOVtC_Xm8PnKYHRVSyIHpLmGWWoDOl0Q","bill5g.com")</f>
        <v>bill5g.com</v>
      </c>
    </row>
    <row r="647">
      <c r="A647" s="1" t="str">
        <f t="shared" ref="A647:A648" si="486">HYPERLINK("https://drive.google.com/drive/folders/1IOVtC_Xm8PnKYHRVSyIHpLmGWWoDOl0Q","jeff brown investor")</f>
        <v>jeff brown investor</v>
      </c>
      <c r="B647" s="1" t="str">
        <f t="shared" si="485"/>
        <v>https://drive.google.com/drive/folders/1IOVtC_Xm8PnKYHRVSyIHpLmGWWoDOl0Q</v>
      </c>
      <c r="C647" s="1" t="str">
        <f>HYPERLINK("https://drive.google.com/drive/folders/1IOVtC_Xm8PnKYHRVSyIHpLmGWWoDOl0Q","jeff brown tech investor")</f>
        <v>jeff brown tech investor</v>
      </c>
    </row>
    <row r="648">
      <c r="A648" s="1" t="str">
        <f t="shared" si="486"/>
        <v>jeff brown investor</v>
      </c>
      <c r="B648" s="1" t="str">
        <f t="shared" si="485"/>
        <v>https://drive.google.com/drive/folders/1IOVtC_Xm8PnKYHRVSyIHpLmGWWoDOl0Q</v>
      </c>
      <c r="C648" s="1" t="str">
        <f>HYPERLINK("https://drive.google.com/drive/folders/1IOVtC_Xm8PnKYHRVSyIHpLmGWWoDOl0Q","bill5g.com")</f>
        <v>bill5g.com</v>
      </c>
    </row>
    <row r="649">
      <c r="A649" s="1" t="str">
        <f t="shared" ref="A649:A650" si="487">HYPERLINK("https://drive.google.com/drive/folders/1hUX_x_wny_2-EjwrE35IU6VHkVlkweXj","jeff brown stock picks for 2021")</f>
        <v>jeff brown stock picks for 2021</v>
      </c>
      <c r="B649" s="1" t="str">
        <f t="shared" ref="B649:B652" si="488">HYPERLINK("https://drive.google.com/drive/folders/1hUX_x_wny_2-EjwrE35IU6VHkVlkweXj","https://drive.google.com/drive/folders/1hUX_x_wny_2-EjwrE35IU6VHkVlkweXj")</f>
        <v>https://drive.google.com/drive/folders/1hUX_x_wny_2-EjwrE35IU6VHkVlkweXj</v>
      </c>
      <c r="C649" s="1" t="str">
        <f>HYPERLINK("https://drive.google.com/drive/folders/1hUX_x_wny_2-EjwrE35IU6VHkVlkweXj","jeff brown tech investor")</f>
        <v>jeff brown tech investor</v>
      </c>
    </row>
    <row r="650">
      <c r="A650" s="1" t="str">
        <f t="shared" si="487"/>
        <v>jeff brown stock picks for 2021</v>
      </c>
      <c r="B650" s="1" t="str">
        <f t="shared" si="488"/>
        <v>https://drive.google.com/drive/folders/1hUX_x_wny_2-EjwrE35IU6VHkVlkweXj</v>
      </c>
      <c r="C650" s="1" t="str">
        <f>HYPERLINK("https://drive.google.com/drive/folders/1hUX_x_wny_2-EjwrE35IU6VHkVlkweXj","bill5g.com")</f>
        <v>bill5g.com</v>
      </c>
    </row>
    <row r="651">
      <c r="A651" s="1" t="str">
        <f t="shared" ref="A651:A652" si="489">HYPERLINK("https://drive.google.com/drive/folders/1hUX_x_wny_2-EjwrE35IU6VHkVlkweXj","jeff brown investor")</f>
        <v>jeff brown investor</v>
      </c>
      <c r="B651" s="1" t="str">
        <f t="shared" si="488"/>
        <v>https://drive.google.com/drive/folders/1hUX_x_wny_2-EjwrE35IU6VHkVlkweXj</v>
      </c>
      <c r="C651" s="1" t="str">
        <f>HYPERLINK("https://drive.google.com/drive/folders/1hUX_x_wny_2-EjwrE35IU6VHkVlkweXj","jeff brown tech investor")</f>
        <v>jeff brown tech investor</v>
      </c>
    </row>
    <row r="652">
      <c r="A652" s="1" t="str">
        <f t="shared" si="489"/>
        <v>jeff brown investor</v>
      </c>
      <c r="B652" s="1" t="str">
        <f t="shared" si="488"/>
        <v>https://drive.google.com/drive/folders/1hUX_x_wny_2-EjwrE35IU6VHkVlkweXj</v>
      </c>
      <c r="C652" s="1" t="str">
        <f>HYPERLINK("https://drive.google.com/drive/folders/1hUX_x_wny_2-EjwrE35IU6VHkVlkweXj","bill5g.com")</f>
        <v>bill5g.com</v>
      </c>
    </row>
    <row r="653">
      <c r="A653" s="1" t="str">
        <f t="shared" ref="A653:A654" si="490">HYPERLINK("https://drive.google.com/drive/folders/1BgWkL7_aFpP9mrmkzYyhIQbHL7zQSXlO","jeff brown stock picks for 2021")</f>
        <v>jeff brown stock picks for 2021</v>
      </c>
      <c r="B653" s="1" t="str">
        <f t="shared" ref="B653:B656" si="491">HYPERLINK("https://drive.google.com/drive/folders/1BgWkL7_aFpP9mrmkzYyhIQbHL7zQSXlO","https://drive.google.com/drive/folders/1BgWkL7_aFpP9mrmkzYyhIQbHL7zQSXlO")</f>
        <v>https://drive.google.com/drive/folders/1BgWkL7_aFpP9mrmkzYyhIQbHL7zQSXlO</v>
      </c>
      <c r="C653" s="1" t="str">
        <f>HYPERLINK("https://drive.google.com/drive/folders/1BgWkL7_aFpP9mrmkzYyhIQbHL7zQSXlO","jeff brown tech investor")</f>
        <v>jeff brown tech investor</v>
      </c>
    </row>
    <row r="654">
      <c r="A654" s="1" t="str">
        <f t="shared" si="490"/>
        <v>jeff brown stock picks for 2021</v>
      </c>
      <c r="B654" s="1" t="str">
        <f t="shared" si="491"/>
        <v>https://drive.google.com/drive/folders/1BgWkL7_aFpP9mrmkzYyhIQbHL7zQSXlO</v>
      </c>
      <c r="C654" s="1" t="str">
        <f>HYPERLINK("https://drive.google.com/drive/folders/1BgWkL7_aFpP9mrmkzYyhIQbHL7zQSXlO","bill5g.com")</f>
        <v>bill5g.com</v>
      </c>
    </row>
    <row r="655">
      <c r="A655" s="1" t="str">
        <f t="shared" ref="A655:A656" si="492">HYPERLINK("https://drive.google.com/drive/folders/1BgWkL7_aFpP9mrmkzYyhIQbHL7zQSXlO","jeff brown investor")</f>
        <v>jeff brown investor</v>
      </c>
      <c r="B655" s="1" t="str">
        <f t="shared" si="491"/>
        <v>https://drive.google.com/drive/folders/1BgWkL7_aFpP9mrmkzYyhIQbHL7zQSXlO</v>
      </c>
      <c r="C655" s="1" t="str">
        <f>HYPERLINK("https://drive.google.com/drive/folders/1BgWkL7_aFpP9mrmkzYyhIQbHL7zQSXlO","jeff brown tech investor")</f>
        <v>jeff brown tech investor</v>
      </c>
    </row>
    <row r="656">
      <c r="A656" s="1" t="str">
        <f t="shared" si="492"/>
        <v>jeff brown investor</v>
      </c>
      <c r="B656" s="1" t="str">
        <f t="shared" si="491"/>
        <v>https://drive.google.com/drive/folders/1BgWkL7_aFpP9mrmkzYyhIQbHL7zQSXlO</v>
      </c>
      <c r="C656" s="1" t="str">
        <f>HYPERLINK("https://drive.google.com/drive/folders/1BgWkL7_aFpP9mrmkzYyhIQbHL7zQSXlO","bill5g.com")</f>
        <v>bill5g.com</v>
      </c>
    </row>
    <row r="657">
      <c r="A657" s="1" t="str">
        <f t="shared" ref="A657:A658" si="493">HYPERLINK("https://docs.google.com/spreadsheets/d/1IUISDia9zRX44eRjPMx88IxQwoFISX1ohrnlCMrR7d0","jeff brown stock picks for 2021")</f>
        <v>jeff brown stock picks for 2021</v>
      </c>
      <c r="B657" s="1" t="str">
        <f t="shared" ref="B657:B660" si="494">HYPERLINK("https://docs.google.com/spreadsheets/d/1IUISDia9zRX44eRjPMx88IxQwoFISX1ohrnlCMrR7d0","https://docs.google.com/spreadsheets/d/1IUISDia9zRX44eRjPMx88IxQwoFISX1ohrnlCMrR7d0")</f>
        <v>https://docs.google.com/spreadsheets/d/1IUISDia9zRX44eRjPMx88IxQwoFISX1ohrnlCMrR7d0</v>
      </c>
      <c r="C657" s="1" t="str">
        <f>HYPERLINK("https://docs.google.com/spreadsheets/d/1IUISDia9zRX44eRjPMx88IxQwoFISX1ohrnlCMrR7d0","jeff brown tech investor")</f>
        <v>jeff brown tech investor</v>
      </c>
    </row>
    <row r="658">
      <c r="A658" s="1" t="str">
        <f t="shared" si="493"/>
        <v>jeff brown stock picks for 2021</v>
      </c>
      <c r="B658" s="1" t="str">
        <f t="shared" si="494"/>
        <v>https://docs.google.com/spreadsheets/d/1IUISDia9zRX44eRjPMx88IxQwoFISX1ohrnlCMrR7d0</v>
      </c>
      <c r="C658" s="1" t="str">
        <f>HYPERLINK("https://docs.google.com/spreadsheets/d/1IUISDia9zRX44eRjPMx88IxQwoFISX1ohrnlCMrR7d0","bill5g.com")</f>
        <v>bill5g.com</v>
      </c>
    </row>
    <row r="659">
      <c r="A659" s="1" t="str">
        <f t="shared" ref="A659:A660" si="495">HYPERLINK("https://docs.google.com/spreadsheets/d/1IUISDia9zRX44eRjPMx88IxQwoFISX1ohrnlCMrR7d0","jeff brown investor")</f>
        <v>jeff brown investor</v>
      </c>
      <c r="B659" s="1" t="str">
        <f t="shared" si="494"/>
        <v>https://docs.google.com/spreadsheets/d/1IUISDia9zRX44eRjPMx88IxQwoFISX1ohrnlCMrR7d0</v>
      </c>
      <c r="C659" s="1" t="str">
        <f>HYPERLINK("https://docs.google.com/spreadsheets/d/1IUISDia9zRX44eRjPMx88IxQwoFISX1ohrnlCMrR7d0","jeff brown tech investor")</f>
        <v>jeff brown tech investor</v>
      </c>
    </row>
    <row r="660">
      <c r="A660" s="1" t="str">
        <f t="shared" si="495"/>
        <v>jeff brown investor</v>
      </c>
      <c r="B660" s="1" t="str">
        <f t="shared" si="494"/>
        <v>https://docs.google.com/spreadsheets/d/1IUISDia9zRX44eRjPMx88IxQwoFISX1ohrnlCMrR7d0</v>
      </c>
      <c r="C660" s="1" t="str">
        <f>HYPERLINK("https://docs.google.com/spreadsheets/d/1IUISDia9zRX44eRjPMx88IxQwoFISX1ohrnlCMrR7d0","bill5g.com")</f>
        <v>bill5g.com</v>
      </c>
    </row>
    <row r="661">
      <c r="A661" s="1" t="str">
        <f t="shared" ref="A661:A662" si="496">HYPERLINK("https://docs.google.com/spreadsheets/d/1EPCqudYE4I1BMvkVH1g3u-uucL-6Yz0HY0_TKRnd19o","jeff brown stock picks for 2021")</f>
        <v>jeff brown stock picks for 2021</v>
      </c>
      <c r="B661" s="1" t="str">
        <f t="shared" ref="B661:B664" si="497">HYPERLINK("https://docs.google.com/spreadsheets/d/1EPCqudYE4I1BMvkVH1g3u-uucL-6Yz0HY0_TKRnd19o","https://docs.google.com/spreadsheets/d/1EPCqudYE4I1BMvkVH1g3u-uucL-6Yz0HY0_TKRnd19o")</f>
        <v>https://docs.google.com/spreadsheets/d/1EPCqudYE4I1BMvkVH1g3u-uucL-6Yz0HY0_TKRnd19o</v>
      </c>
      <c r="C661" s="1" t="str">
        <f>HYPERLINK("https://docs.google.com/spreadsheets/d/1EPCqudYE4I1BMvkVH1g3u-uucL-6Yz0HY0_TKRnd19o","jeff brown tech investor")</f>
        <v>jeff brown tech investor</v>
      </c>
    </row>
    <row r="662">
      <c r="A662" s="1" t="str">
        <f t="shared" si="496"/>
        <v>jeff brown stock picks for 2021</v>
      </c>
      <c r="B662" s="1" t="str">
        <f t="shared" si="497"/>
        <v>https://docs.google.com/spreadsheets/d/1EPCqudYE4I1BMvkVH1g3u-uucL-6Yz0HY0_TKRnd19o</v>
      </c>
      <c r="C662" s="1" t="str">
        <f>HYPERLINK("https://docs.google.com/spreadsheets/d/1EPCqudYE4I1BMvkVH1g3u-uucL-6Yz0HY0_TKRnd19o","bill5g.com")</f>
        <v>bill5g.com</v>
      </c>
    </row>
    <row r="663">
      <c r="A663" s="1" t="str">
        <f t="shared" ref="A663:A664" si="498">HYPERLINK("https://docs.google.com/spreadsheets/d/1EPCqudYE4I1BMvkVH1g3u-uucL-6Yz0HY0_TKRnd19o","jeff brown investor")</f>
        <v>jeff brown investor</v>
      </c>
      <c r="B663" s="1" t="str">
        <f t="shared" si="497"/>
        <v>https://docs.google.com/spreadsheets/d/1EPCqudYE4I1BMvkVH1g3u-uucL-6Yz0HY0_TKRnd19o</v>
      </c>
      <c r="C663" s="1" t="str">
        <f>HYPERLINK("https://docs.google.com/spreadsheets/d/1EPCqudYE4I1BMvkVH1g3u-uucL-6Yz0HY0_TKRnd19o","jeff brown tech investor")</f>
        <v>jeff brown tech investor</v>
      </c>
    </row>
    <row r="664">
      <c r="A664" s="1" t="str">
        <f t="shared" si="498"/>
        <v>jeff brown investor</v>
      </c>
      <c r="B664" s="1" t="str">
        <f t="shared" si="497"/>
        <v>https://docs.google.com/spreadsheets/d/1EPCqudYE4I1BMvkVH1g3u-uucL-6Yz0HY0_TKRnd19o</v>
      </c>
      <c r="C664" s="1" t="str">
        <f>HYPERLINK("https://docs.google.com/spreadsheets/d/1EPCqudYE4I1BMvkVH1g3u-uucL-6Yz0HY0_TKRnd19o","bill5g.com")</f>
        <v>bill5g.com</v>
      </c>
    </row>
    <row r="665">
      <c r="A665" s="1" t="str">
        <f t="shared" ref="A665:A666" si="499">HYPERLINK("https://docs.google.com/spreadsheets/d/1kvPVzKvcr58nAPMKL6J2lLeVdzQ2yWoY7-o3R-qXMXM","jeff brown stock picks for 2021")</f>
        <v>jeff brown stock picks for 2021</v>
      </c>
      <c r="B665" s="1" t="str">
        <f t="shared" ref="B665:B668" si="500">HYPERLINK("https://docs.google.com/spreadsheets/d/1kvPVzKvcr58nAPMKL6J2lLeVdzQ2yWoY7-o3R-qXMXM","https://docs.google.com/spreadsheets/d/1kvPVzKvcr58nAPMKL6J2lLeVdzQ2yWoY7-o3R-qXMXM")</f>
        <v>https://docs.google.com/spreadsheets/d/1kvPVzKvcr58nAPMKL6J2lLeVdzQ2yWoY7-o3R-qXMXM</v>
      </c>
      <c r="C665" s="1" t="str">
        <f>HYPERLINK("https://docs.google.com/spreadsheets/d/1kvPVzKvcr58nAPMKL6J2lLeVdzQ2yWoY7-o3R-qXMXM","jeff brown tech investor")</f>
        <v>jeff brown tech investor</v>
      </c>
    </row>
    <row r="666">
      <c r="A666" s="1" t="str">
        <f t="shared" si="499"/>
        <v>jeff brown stock picks for 2021</v>
      </c>
      <c r="B666" s="1" t="str">
        <f t="shared" si="500"/>
        <v>https://docs.google.com/spreadsheets/d/1kvPVzKvcr58nAPMKL6J2lLeVdzQ2yWoY7-o3R-qXMXM</v>
      </c>
      <c r="C666" s="1" t="str">
        <f>HYPERLINK("https://docs.google.com/spreadsheets/d/1kvPVzKvcr58nAPMKL6J2lLeVdzQ2yWoY7-o3R-qXMXM","bill5g.com")</f>
        <v>bill5g.com</v>
      </c>
    </row>
    <row r="667">
      <c r="A667" s="1" t="str">
        <f t="shared" ref="A667:A668" si="501">HYPERLINK("https://docs.google.com/spreadsheets/d/1kvPVzKvcr58nAPMKL6J2lLeVdzQ2yWoY7-o3R-qXMXM","jeff brown investor")</f>
        <v>jeff brown investor</v>
      </c>
      <c r="B667" s="1" t="str">
        <f t="shared" si="500"/>
        <v>https://docs.google.com/spreadsheets/d/1kvPVzKvcr58nAPMKL6J2lLeVdzQ2yWoY7-o3R-qXMXM</v>
      </c>
      <c r="C667" s="1" t="str">
        <f>HYPERLINK("https://docs.google.com/spreadsheets/d/1kvPVzKvcr58nAPMKL6J2lLeVdzQ2yWoY7-o3R-qXMXM","jeff brown tech investor")</f>
        <v>jeff brown tech investor</v>
      </c>
    </row>
    <row r="668">
      <c r="A668" s="1" t="str">
        <f t="shared" si="501"/>
        <v>jeff brown investor</v>
      </c>
      <c r="B668" s="1" t="str">
        <f t="shared" si="500"/>
        <v>https://docs.google.com/spreadsheets/d/1kvPVzKvcr58nAPMKL6J2lLeVdzQ2yWoY7-o3R-qXMXM</v>
      </c>
      <c r="C668" s="1" t="str">
        <f>HYPERLINK("https://docs.google.com/spreadsheets/d/1kvPVzKvcr58nAPMKL6J2lLeVdzQ2yWoY7-o3R-qXMXM","bill5g.com")</f>
        <v>bill5g.com</v>
      </c>
    </row>
    <row r="669">
      <c r="A669" s="1" t="str">
        <f t="shared" ref="A669:A670" si="502">HYPERLINK("https://docs.google.com/spreadsheets/d/1cNmad611t1lYMuw_xVtT-7LxluIBoWa-BqgpxTsrEPk","jeff brown stock picks for 2021")</f>
        <v>jeff brown stock picks for 2021</v>
      </c>
      <c r="B669" s="1" t="str">
        <f t="shared" ref="B669:B672" si="503">HYPERLINK("https://docs.google.com/spreadsheets/d/1cNmad611t1lYMuw_xVtT-7LxluIBoWa-BqgpxTsrEPk","https://docs.google.com/spreadsheets/d/1cNmad611t1lYMuw_xVtT-7LxluIBoWa-BqgpxTsrEPk")</f>
        <v>https://docs.google.com/spreadsheets/d/1cNmad611t1lYMuw_xVtT-7LxluIBoWa-BqgpxTsrEPk</v>
      </c>
      <c r="C669" s="1" t="str">
        <f>HYPERLINK("https://docs.google.com/spreadsheets/d/1cNmad611t1lYMuw_xVtT-7LxluIBoWa-BqgpxTsrEPk","jeff brown tech investor")</f>
        <v>jeff brown tech investor</v>
      </c>
    </row>
    <row r="670">
      <c r="A670" s="1" t="str">
        <f t="shared" si="502"/>
        <v>jeff brown stock picks for 2021</v>
      </c>
      <c r="B670" s="1" t="str">
        <f t="shared" si="503"/>
        <v>https://docs.google.com/spreadsheets/d/1cNmad611t1lYMuw_xVtT-7LxluIBoWa-BqgpxTsrEPk</v>
      </c>
      <c r="C670" s="1" t="str">
        <f>HYPERLINK("https://docs.google.com/spreadsheets/d/1cNmad611t1lYMuw_xVtT-7LxluIBoWa-BqgpxTsrEPk","bill5g.com")</f>
        <v>bill5g.com</v>
      </c>
    </row>
    <row r="671">
      <c r="A671" s="1" t="str">
        <f t="shared" ref="A671:A672" si="504">HYPERLINK("https://docs.google.com/spreadsheets/d/1cNmad611t1lYMuw_xVtT-7LxluIBoWa-BqgpxTsrEPk","jeff brown investor")</f>
        <v>jeff brown investor</v>
      </c>
      <c r="B671" s="1" t="str">
        <f t="shared" si="503"/>
        <v>https://docs.google.com/spreadsheets/d/1cNmad611t1lYMuw_xVtT-7LxluIBoWa-BqgpxTsrEPk</v>
      </c>
      <c r="C671" s="1" t="str">
        <f>HYPERLINK("https://docs.google.com/spreadsheets/d/1cNmad611t1lYMuw_xVtT-7LxluIBoWa-BqgpxTsrEPk","jeff brown tech investor")</f>
        <v>jeff brown tech investor</v>
      </c>
    </row>
    <row r="672">
      <c r="A672" s="1" t="str">
        <f t="shared" si="504"/>
        <v>jeff brown investor</v>
      </c>
      <c r="B672" s="1" t="str">
        <f t="shared" si="503"/>
        <v>https://docs.google.com/spreadsheets/d/1cNmad611t1lYMuw_xVtT-7LxluIBoWa-BqgpxTsrEPk</v>
      </c>
      <c r="C672" s="1" t="str">
        <f>HYPERLINK("https://docs.google.com/spreadsheets/d/1cNmad611t1lYMuw_xVtT-7LxluIBoWa-BqgpxTsrEPk","bill5g.com")</f>
        <v>bill5g.com</v>
      </c>
    </row>
    <row r="673">
      <c r="A673" s="1" t="str">
        <f t="shared" ref="A673:A674" si="505">HYPERLINK("https://drive.google.com/drive/folders/1yC6PoraphetLqJjJb7ANIVP8KZ3wfHcG","jeff brown stock picks for 2021")</f>
        <v>jeff brown stock picks for 2021</v>
      </c>
      <c r="B673" s="1" t="str">
        <f t="shared" ref="B673:B676" si="506">HYPERLINK("https://drive.google.com/drive/folders/1yC6PoraphetLqJjJb7ANIVP8KZ3wfHcG","https://drive.google.com/drive/folders/1yC6PoraphetLqJjJb7ANIVP8KZ3wfHcG")</f>
        <v>https://drive.google.com/drive/folders/1yC6PoraphetLqJjJb7ANIVP8KZ3wfHcG</v>
      </c>
      <c r="C673" s="1" t="str">
        <f>HYPERLINK("https://drive.google.com/drive/folders/1yC6PoraphetLqJjJb7ANIVP8KZ3wfHcG","jeff brown tech investor")</f>
        <v>jeff brown tech investor</v>
      </c>
    </row>
    <row r="674">
      <c r="A674" s="1" t="str">
        <f t="shared" si="505"/>
        <v>jeff brown stock picks for 2021</v>
      </c>
      <c r="B674" s="1" t="str">
        <f t="shared" si="506"/>
        <v>https://drive.google.com/drive/folders/1yC6PoraphetLqJjJb7ANIVP8KZ3wfHcG</v>
      </c>
      <c r="C674" s="1" t="str">
        <f>HYPERLINK("https://drive.google.com/drive/folders/1yC6PoraphetLqJjJb7ANIVP8KZ3wfHcG","bill5g.com")</f>
        <v>bill5g.com</v>
      </c>
    </row>
    <row r="675">
      <c r="A675" s="1" t="str">
        <f t="shared" ref="A675:A676" si="507">HYPERLINK("https://drive.google.com/drive/folders/1yC6PoraphetLqJjJb7ANIVP8KZ3wfHcG","jeff brown investor")</f>
        <v>jeff brown investor</v>
      </c>
      <c r="B675" s="1" t="str">
        <f t="shared" si="506"/>
        <v>https://drive.google.com/drive/folders/1yC6PoraphetLqJjJb7ANIVP8KZ3wfHcG</v>
      </c>
      <c r="C675" s="1" t="str">
        <f>HYPERLINK("https://drive.google.com/drive/folders/1yC6PoraphetLqJjJb7ANIVP8KZ3wfHcG","jeff brown tech investor")</f>
        <v>jeff brown tech investor</v>
      </c>
    </row>
    <row r="676">
      <c r="A676" s="1" t="str">
        <f t="shared" si="507"/>
        <v>jeff brown investor</v>
      </c>
      <c r="B676" s="1" t="str">
        <f t="shared" si="506"/>
        <v>https://drive.google.com/drive/folders/1yC6PoraphetLqJjJb7ANIVP8KZ3wfHcG</v>
      </c>
      <c r="C676" s="1" t="str">
        <f>HYPERLINK("https://drive.google.com/drive/folders/1yC6PoraphetLqJjJb7ANIVP8KZ3wfHcG","bill5g.com")</f>
        <v>bill5g.com</v>
      </c>
    </row>
    <row r="677">
      <c r="A677" s="1" t="str">
        <f t="shared" ref="A677:A678" si="508">HYPERLINK("https://drive.google.com/drive/folders/1oGLrZhVSRaNhucAIHW5EkvwMU_IQ8xms","jeff brown stock picks for 2021")</f>
        <v>jeff brown stock picks for 2021</v>
      </c>
      <c r="B677" s="1" t="str">
        <f t="shared" ref="B677:B680" si="509">HYPERLINK("https://drive.google.com/drive/folders/1oGLrZhVSRaNhucAIHW5EkvwMU_IQ8xms","https://drive.google.com/drive/folders/1oGLrZhVSRaNhucAIHW5EkvwMU_IQ8xms")</f>
        <v>https://drive.google.com/drive/folders/1oGLrZhVSRaNhucAIHW5EkvwMU_IQ8xms</v>
      </c>
      <c r="C677" s="1" t="str">
        <f>HYPERLINK("https://drive.google.com/drive/folders/1oGLrZhVSRaNhucAIHW5EkvwMU_IQ8xms","jeff brown tech investor")</f>
        <v>jeff brown tech investor</v>
      </c>
    </row>
    <row r="678">
      <c r="A678" s="1" t="str">
        <f t="shared" si="508"/>
        <v>jeff brown stock picks for 2021</v>
      </c>
      <c r="B678" s="1" t="str">
        <f t="shared" si="509"/>
        <v>https://drive.google.com/drive/folders/1oGLrZhVSRaNhucAIHW5EkvwMU_IQ8xms</v>
      </c>
      <c r="C678" s="1" t="str">
        <f>HYPERLINK("https://drive.google.com/drive/folders/1oGLrZhVSRaNhucAIHW5EkvwMU_IQ8xms","bill5g.com")</f>
        <v>bill5g.com</v>
      </c>
    </row>
    <row r="679">
      <c r="A679" s="1" t="str">
        <f t="shared" ref="A679:A680" si="510">HYPERLINK("https://drive.google.com/drive/folders/1oGLrZhVSRaNhucAIHW5EkvwMU_IQ8xms","jeff brown investor")</f>
        <v>jeff brown investor</v>
      </c>
      <c r="B679" s="1" t="str">
        <f t="shared" si="509"/>
        <v>https://drive.google.com/drive/folders/1oGLrZhVSRaNhucAIHW5EkvwMU_IQ8xms</v>
      </c>
      <c r="C679" s="1" t="str">
        <f>HYPERLINK("https://drive.google.com/drive/folders/1oGLrZhVSRaNhucAIHW5EkvwMU_IQ8xms","jeff brown tech investor")</f>
        <v>jeff brown tech investor</v>
      </c>
    </row>
    <row r="680">
      <c r="A680" s="1" t="str">
        <f t="shared" si="510"/>
        <v>jeff brown investor</v>
      </c>
      <c r="B680" s="1" t="str">
        <f t="shared" si="509"/>
        <v>https://drive.google.com/drive/folders/1oGLrZhVSRaNhucAIHW5EkvwMU_IQ8xms</v>
      </c>
      <c r="C680" s="1" t="str">
        <f>HYPERLINK("https://drive.google.com/drive/folders/1oGLrZhVSRaNhucAIHW5EkvwMU_IQ8xms","bill5g.com")</f>
        <v>bill5g.com</v>
      </c>
    </row>
    <row r="681">
      <c r="A681" s="1" t="str">
        <f t="shared" ref="A681:A682" si="511">HYPERLINK("https://docs.google.com/spreadsheets/d/1Yido6H5FwcxZN5_fSdBgaC7qGcCx7b-Oo8L_o1yEpSE","jeff brown stock picks for 2021")</f>
        <v>jeff brown stock picks for 2021</v>
      </c>
      <c r="B681" s="1" t="str">
        <f t="shared" ref="B681:B684" si="512">HYPERLINK("https://docs.google.com/spreadsheets/d/1Yido6H5FwcxZN5_fSdBgaC7qGcCx7b-Oo8L_o1yEpSE","https://docs.google.com/spreadsheets/d/1Yido6H5FwcxZN5_fSdBgaC7qGcCx7b-Oo8L_o1yEpSE")</f>
        <v>https://docs.google.com/spreadsheets/d/1Yido6H5FwcxZN5_fSdBgaC7qGcCx7b-Oo8L_o1yEpSE</v>
      </c>
      <c r="C681" s="1" t="str">
        <f>HYPERLINK("https://docs.google.com/spreadsheets/d/1Yido6H5FwcxZN5_fSdBgaC7qGcCx7b-Oo8L_o1yEpSE","jeff brown tech investor")</f>
        <v>jeff brown tech investor</v>
      </c>
    </row>
    <row r="682">
      <c r="A682" s="1" t="str">
        <f t="shared" si="511"/>
        <v>jeff brown stock picks for 2021</v>
      </c>
      <c r="B682" s="1" t="str">
        <f t="shared" si="512"/>
        <v>https://docs.google.com/spreadsheets/d/1Yido6H5FwcxZN5_fSdBgaC7qGcCx7b-Oo8L_o1yEpSE</v>
      </c>
      <c r="C682" s="1" t="str">
        <f>HYPERLINK("https://docs.google.com/spreadsheets/d/1Yido6H5FwcxZN5_fSdBgaC7qGcCx7b-Oo8L_o1yEpSE","bill5g.com")</f>
        <v>bill5g.com</v>
      </c>
    </row>
    <row r="683">
      <c r="A683" s="1" t="str">
        <f t="shared" ref="A683:A684" si="513">HYPERLINK("https://docs.google.com/spreadsheets/d/1Yido6H5FwcxZN5_fSdBgaC7qGcCx7b-Oo8L_o1yEpSE","jeff brown investor")</f>
        <v>jeff brown investor</v>
      </c>
      <c r="B683" s="1" t="str">
        <f t="shared" si="512"/>
        <v>https://docs.google.com/spreadsheets/d/1Yido6H5FwcxZN5_fSdBgaC7qGcCx7b-Oo8L_o1yEpSE</v>
      </c>
      <c r="C683" s="1" t="str">
        <f>HYPERLINK("https://docs.google.com/spreadsheets/d/1Yido6H5FwcxZN5_fSdBgaC7qGcCx7b-Oo8L_o1yEpSE","jeff brown tech investor")</f>
        <v>jeff brown tech investor</v>
      </c>
    </row>
    <row r="684">
      <c r="A684" s="1" t="str">
        <f t="shared" si="513"/>
        <v>jeff brown investor</v>
      </c>
      <c r="B684" s="1" t="str">
        <f t="shared" si="512"/>
        <v>https://docs.google.com/spreadsheets/d/1Yido6H5FwcxZN5_fSdBgaC7qGcCx7b-Oo8L_o1yEpSE</v>
      </c>
      <c r="C684" s="1" t="str">
        <f>HYPERLINK("https://docs.google.com/spreadsheets/d/1Yido6H5FwcxZN5_fSdBgaC7qGcCx7b-Oo8L_o1yEpSE","bill5g.com")</f>
        <v>bill5g.com</v>
      </c>
    </row>
    <row r="685">
      <c r="A685" s="1" t="str">
        <f t="shared" ref="A685:A686" si="514">HYPERLINK("https://docs.google.com/spreadsheets/d/1fIITkagTETrR5CjcbTR1j8o2NQhsxdsiM0DyWLWH5UU","jeff brown stock picks for 2021")</f>
        <v>jeff brown stock picks for 2021</v>
      </c>
      <c r="B685" s="1" t="str">
        <f t="shared" ref="B685:B688" si="515">HYPERLINK("https://docs.google.com/spreadsheets/d/1fIITkagTETrR5CjcbTR1j8o2NQhsxdsiM0DyWLWH5UU","https://docs.google.com/spreadsheets/d/1fIITkagTETrR5CjcbTR1j8o2NQhsxdsiM0DyWLWH5UU")</f>
        <v>https://docs.google.com/spreadsheets/d/1fIITkagTETrR5CjcbTR1j8o2NQhsxdsiM0DyWLWH5UU</v>
      </c>
      <c r="C685" s="1" t="str">
        <f>HYPERLINK("https://docs.google.com/spreadsheets/d/1fIITkagTETrR5CjcbTR1j8o2NQhsxdsiM0DyWLWH5UU","jeff brown tech investor")</f>
        <v>jeff brown tech investor</v>
      </c>
    </row>
    <row r="686">
      <c r="A686" s="1" t="str">
        <f t="shared" si="514"/>
        <v>jeff brown stock picks for 2021</v>
      </c>
      <c r="B686" s="1" t="str">
        <f t="shared" si="515"/>
        <v>https://docs.google.com/spreadsheets/d/1fIITkagTETrR5CjcbTR1j8o2NQhsxdsiM0DyWLWH5UU</v>
      </c>
      <c r="C686" s="1" t="str">
        <f>HYPERLINK("https://docs.google.com/spreadsheets/d/1fIITkagTETrR5CjcbTR1j8o2NQhsxdsiM0DyWLWH5UU","bill5g.com")</f>
        <v>bill5g.com</v>
      </c>
    </row>
    <row r="687">
      <c r="A687" s="1" t="str">
        <f t="shared" ref="A687:A688" si="516">HYPERLINK("https://docs.google.com/spreadsheets/d/1fIITkagTETrR5CjcbTR1j8o2NQhsxdsiM0DyWLWH5UU","jeff brown investor")</f>
        <v>jeff brown investor</v>
      </c>
      <c r="B687" s="1" t="str">
        <f t="shared" si="515"/>
        <v>https://docs.google.com/spreadsheets/d/1fIITkagTETrR5CjcbTR1j8o2NQhsxdsiM0DyWLWH5UU</v>
      </c>
      <c r="C687" s="1" t="str">
        <f>HYPERLINK("https://docs.google.com/spreadsheets/d/1fIITkagTETrR5CjcbTR1j8o2NQhsxdsiM0DyWLWH5UU","jeff brown tech investor")</f>
        <v>jeff brown tech investor</v>
      </c>
    </row>
    <row r="688">
      <c r="A688" s="1" t="str">
        <f t="shared" si="516"/>
        <v>jeff brown investor</v>
      </c>
      <c r="B688" s="1" t="str">
        <f t="shared" si="515"/>
        <v>https://docs.google.com/spreadsheets/d/1fIITkagTETrR5CjcbTR1j8o2NQhsxdsiM0DyWLWH5UU</v>
      </c>
      <c r="C688" s="1" t="str">
        <f>HYPERLINK("https://docs.google.com/spreadsheets/d/1fIITkagTETrR5CjcbTR1j8o2NQhsxdsiM0DyWLWH5UU","bill5g.com")</f>
        <v>bill5g.com</v>
      </c>
    </row>
    <row r="689">
      <c r="A689" s="1" t="str">
        <f t="shared" ref="A689:A690" si="517">HYPERLINK("https://drive.google.com/drive/folders/1oEf66ZYS0uR6rCBGlKGeuX_7RMB3uHer","jeff brown stock picks for 2021")</f>
        <v>jeff brown stock picks for 2021</v>
      </c>
      <c r="B689" s="1" t="str">
        <f t="shared" ref="B689:B692" si="518">HYPERLINK("https://drive.google.com/drive/folders/1oEf66ZYS0uR6rCBGlKGeuX_7RMB3uHer","https://drive.google.com/drive/folders/1oEf66ZYS0uR6rCBGlKGeuX_7RMB3uHer")</f>
        <v>https://drive.google.com/drive/folders/1oEf66ZYS0uR6rCBGlKGeuX_7RMB3uHer</v>
      </c>
      <c r="C689" s="1" t="str">
        <f>HYPERLINK("https://drive.google.com/drive/folders/1oEf66ZYS0uR6rCBGlKGeuX_7RMB3uHer","jeff brown tech investor")</f>
        <v>jeff brown tech investor</v>
      </c>
    </row>
    <row r="690">
      <c r="A690" s="1" t="str">
        <f t="shared" si="517"/>
        <v>jeff brown stock picks for 2021</v>
      </c>
      <c r="B690" s="1" t="str">
        <f t="shared" si="518"/>
        <v>https://drive.google.com/drive/folders/1oEf66ZYS0uR6rCBGlKGeuX_7RMB3uHer</v>
      </c>
      <c r="C690" s="1" t="str">
        <f>HYPERLINK("https://drive.google.com/drive/folders/1oEf66ZYS0uR6rCBGlKGeuX_7RMB3uHer","bill5g.com")</f>
        <v>bill5g.com</v>
      </c>
    </row>
    <row r="691">
      <c r="A691" s="1" t="str">
        <f t="shared" ref="A691:A692" si="519">HYPERLINK("https://drive.google.com/drive/folders/1oEf66ZYS0uR6rCBGlKGeuX_7RMB3uHer","jeff brown investor")</f>
        <v>jeff brown investor</v>
      </c>
      <c r="B691" s="1" t="str">
        <f t="shared" si="518"/>
        <v>https://drive.google.com/drive/folders/1oEf66ZYS0uR6rCBGlKGeuX_7RMB3uHer</v>
      </c>
      <c r="C691" s="1" t="str">
        <f>HYPERLINK("https://drive.google.com/drive/folders/1oEf66ZYS0uR6rCBGlKGeuX_7RMB3uHer","jeff brown tech investor")</f>
        <v>jeff brown tech investor</v>
      </c>
    </row>
    <row r="692">
      <c r="A692" s="1" t="str">
        <f t="shared" si="519"/>
        <v>jeff brown investor</v>
      </c>
      <c r="B692" s="1" t="str">
        <f t="shared" si="518"/>
        <v>https://drive.google.com/drive/folders/1oEf66ZYS0uR6rCBGlKGeuX_7RMB3uHer</v>
      </c>
      <c r="C692" s="1" t="str">
        <f>HYPERLINK("https://drive.google.com/drive/folders/1oEf66ZYS0uR6rCBGlKGeuX_7RMB3uHer","bill5g.com")</f>
        <v>bill5g.com</v>
      </c>
    </row>
    <row r="693">
      <c r="A693" s="1" t="str">
        <f t="shared" ref="A693:A694" si="520">HYPERLINK("https://drive.google.com/drive/folders/11WQbTH9Ih1CYoWAB1Xsr5rRbHzSeHjPr","jeff brown stock picks for 2021")</f>
        <v>jeff brown stock picks for 2021</v>
      </c>
      <c r="B693" s="1" t="str">
        <f t="shared" ref="B693:B696" si="521">HYPERLINK("https://drive.google.com/drive/folders/11WQbTH9Ih1CYoWAB1Xsr5rRbHzSeHjPr","https://drive.google.com/drive/folders/11WQbTH9Ih1CYoWAB1Xsr5rRbHzSeHjPr")</f>
        <v>https://drive.google.com/drive/folders/11WQbTH9Ih1CYoWAB1Xsr5rRbHzSeHjPr</v>
      </c>
      <c r="C693" s="1" t="str">
        <f>HYPERLINK("https://drive.google.com/drive/folders/11WQbTH9Ih1CYoWAB1Xsr5rRbHzSeHjPr","jeff brown tech investor")</f>
        <v>jeff brown tech investor</v>
      </c>
    </row>
    <row r="694">
      <c r="A694" s="1" t="str">
        <f t="shared" si="520"/>
        <v>jeff brown stock picks for 2021</v>
      </c>
      <c r="B694" s="1" t="str">
        <f t="shared" si="521"/>
        <v>https://drive.google.com/drive/folders/11WQbTH9Ih1CYoWAB1Xsr5rRbHzSeHjPr</v>
      </c>
      <c r="C694" s="1" t="str">
        <f>HYPERLINK("https://drive.google.com/drive/folders/11WQbTH9Ih1CYoWAB1Xsr5rRbHzSeHjPr","bill5g.com")</f>
        <v>bill5g.com</v>
      </c>
    </row>
    <row r="695">
      <c r="A695" s="1" t="str">
        <f t="shared" ref="A695:A696" si="522">HYPERLINK("https://drive.google.com/drive/folders/11WQbTH9Ih1CYoWAB1Xsr5rRbHzSeHjPr","jeff brown investor")</f>
        <v>jeff brown investor</v>
      </c>
      <c r="B695" s="1" t="str">
        <f t="shared" si="521"/>
        <v>https://drive.google.com/drive/folders/11WQbTH9Ih1CYoWAB1Xsr5rRbHzSeHjPr</v>
      </c>
      <c r="C695" s="1" t="str">
        <f>HYPERLINK("https://drive.google.com/drive/folders/11WQbTH9Ih1CYoWAB1Xsr5rRbHzSeHjPr","jeff brown tech investor")</f>
        <v>jeff brown tech investor</v>
      </c>
    </row>
    <row r="696">
      <c r="A696" s="1" t="str">
        <f t="shared" si="522"/>
        <v>jeff brown investor</v>
      </c>
      <c r="B696" s="1" t="str">
        <f t="shared" si="521"/>
        <v>https://drive.google.com/drive/folders/11WQbTH9Ih1CYoWAB1Xsr5rRbHzSeHjPr</v>
      </c>
      <c r="C696" s="1" t="str">
        <f>HYPERLINK("https://drive.google.com/drive/folders/11WQbTH9Ih1CYoWAB1Xsr5rRbHzSeHjPr","bill5g.com")</f>
        <v>bill5g.com</v>
      </c>
    </row>
    <row r="697">
      <c r="A697" s="1" t="str">
        <f t="shared" ref="A697:A698" si="523">HYPERLINK("https://docs.google.com/spreadsheets/d/180hD_i3a3SpGtulnqZVgjkj46SLDe93Du4xcRvL_zr4","jeff brown stock picks for 2021")</f>
        <v>jeff brown stock picks for 2021</v>
      </c>
      <c r="B697" s="1" t="str">
        <f t="shared" ref="B697:B700" si="524">HYPERLINK("https://docs.google.com/spreadsheets/d/180hD_i3a3SpGtulnqZVgjkj46SLDe93Du4xcRvL_zr4","https://docs.google.com/spreadsheets/d/180hD_i3a3SpGtulnqZVgjkj46SLDe93Du4xcRvL_zr4")</f>
        <v>https://docs.google.com/spreadsheets/d/180hD_i3a3SpGtulnqZVgjkj46SLDe93Du4xcRvL_zr4</v>
      </c>
      <c r="C697" s="1" t="str">
        <f>HYPERLINK("https://docs.google.com/spreadsheets/d/180hD_i3a3SpGtulnqZVgjkj46SLDe93Du4xcRvL_zr4","jeff brown tech investor")</f>
        <v>jeff brown tech investor</v>
      </c>
    </row>
    <row r="698">
      <c r="A698" s="1" t="str">
        <f t="shared" si="523"/>
        <v>jeff brown stock picks for 2021</v>
      </c>
      <c r="B698" s="1" t="str">
        <f t="shared" si="524"/>
        <v>https://docs.google.com/spreadsheets/d/180hD_i3a3SpGtulnqZVgjkj46SLDe93Du4xcRvL_zr4</v>
      </c>
      <c r="C698" s="1" t="str">
        <f>HYPERLINK("https://docs.google.com/spreadsheets/d/180hD_i3a3SpGtulnqZVgjkj46SLDe93Du4xcRvL_zr4","bill5g.com")</f>
        <v>bill5g.com</v>
      </c>
    </row>
    <row r="699">
      <c r="A699" s="1" t="str">
        <f t="shared" ref="A699:A700" si="525">HYPERLINK("https://docs.google.com/spreadsheets/d/180hD_i3a3SpGtulnqZVgjkj46SLDe93Du4xcRvL_zr4","jeff brown investor")</f>
        <v>jeff brown investor</v>
      </c>
      <c r="B699" s="1" t="str">
        <f t="shared" si="524"/>
        <v>https://docs.google.com/spreadsheets/d/180hD_i3a3SpGtulnqZVgjkj46SLDe93Du4xcRvL_zr4</v>
      </c>
      <c r="C699" s="1" t="str">
        <f>HYPERLINK("https://docs.google.com/spreadsheets/d/180hD_i3a3SpGtulnqZVgjkj46SLDe93Du4xcRvL_zr4","jeff brown tech investor")</f>
        <v>jeff brown tech investor</v>
      </c>
    </row>
    <row r="700">
      <c r="A700" s="1" t="str">
        <f t="shared" si="525"/>
        <v>jeff brown investor</v>
      </c>
      <c r="B700" s="1" t="str">
        <f t="shared" si="524"/>
        <v>https://docs.google.com/spreadsheets/d/180hD_i3a3SpGtulnqZVgjkj46SLDe93Du4xcRvL_zr4</v>
      </c>
      <c r="C700" s="1" t="str">
        <f>HYPERLINK("https://docs.google.com/spreadsheets/d/180hD_i3a3SpGtulnqZVgjkj46SLDe93Du4xcRvL_zr4","bill5g.com")</f>
        <v>bill5g.com</v>
      </c>
    </row>
    <row r="701">
      <c r="A701" s="1" t="str">
        <f t="shared" ref="A701:A702" si="526">HYPERLINK("https://drive.google.com/drive/folders/16UWBe1Y5DsJU12z7fIbZqKGej45ZWUUQ","jeff brown stock picks for 2021")</f>
        <v>jeff brown stock picks for 2021</v>
      </c>
      <c r="B701" s="1" t="str">
        <f t="shared" ref="B701:B704" si="527">HYPERLINK("https://drive.google.com/drive/folders/16UWBe1Y5DsJU12z7fIbZqKGej45ZWUUQ","https://drive.google.com/drive/folders/16UWBe1Y5DsJU12z7fIbZqKGej45ZWUUQ")</f>
        <v>https://drive.google.com/drive/folders/16UWBe1Y5DsJU12z7fIbZqKGej45ZWUUQ</v>
      </c>
      <c r="C701" s="1" t="str">
        <f>HYPERLINK("https://drive.google.com/drive/folders/16UWBe1Y5DsJU12z7fIbZqKGej45ZWUUQ","jeff brown tech investor")</f>
        <v>jeff brown tech investor</v>
      </c>
    </row>
    <row r="702">
      <c r="A702" s="1" t="str">
        <f t="shared" si="526"/>
        <v>jeff brown stock picks for 2021</v>
      </c>
      <c r="B702" s="1" t="str">
        <f t="shared" si="527"/>
        <v>https://drive.google.com/drive/folders/16UWBe1Y5DsJU12z7fIbZqKGej45ZWUUQ</v>
      </c>
      <c r="C702" s="1" t="str">
        <f>HYPERLINK("https://drive.google.com/drive/folders/16UWBe1Y5DsJU12z7fIbZqKGej45ZWUUQ","bill5g.com")</f>
        <v>bill5g.com</v>
      </c>
    </row>
    <row r="703">
      <c r="A703" s="1" t="str">
        <f t="shared" ref="A703:A704" si="528">HYPERLINK("https://drive.google.com/drive/folders/16UWBe1Y5DsJU12z7fIbZqKGej45ZWUUQ","jeff brown investor")</f>
        <v>jeff brown investor</v>
      </c>
      <c r="B703" s="1" t="str">
        <f t="shared" si="527"/>
        <v>https://drive.google.com/drive/folders/16UWBe1Y5DsJU12z7fIbZqKGej45ZWUUQ</v>
      </c>
      <c r="C703" s="1" t="str">
        <f>HYPERLINK("https://drive.google.com/drive/folders/16UWBe1Y5DsJU12z7fIbZqKGej45ZWUUQ","jeff brown tech investor")</f>
        <v>jeff brown tech investor</v>
      </c>
    </row>
    <row r="704">
      <c r="A704" s="1" t="str">
        <f t="shared" si="528"/>
        <v>jeff brown investor</v>
      </c>
      <c r="B704" s="1" t="str">
        <f t="shared" si="527"/>
        <v>https://drive.google.com/drive/folders/16UWBe1Y5DsJU12z7fIbZqKGej45ZWUUQ</v>
      </c>
      <c r="C704" s="1" t="str">
        <f>HYPERLINK("https://drive.google.com/drive/folders/16UWBe1Y5DsJU12z7fIbZqKGej45ZWUUQ","bill5g.com")</f>
        <v>bill5g.com</v>
      </c>
    </row>
    <row r="705">
      <c r="A705" s="1" t="str">
        <f t="shared" ref="A705:A706" si="529">HYPERLINK("https://drive.google.com/drive/folders/1euPpvYXVY2Qj0Edy5z9K55f3Td8TYykf","jeff brown stock picks for 2021")</f>
        <v>jeff brown stock picks for 2021</v>
      </c>
      <c r="B705" s="1" t="str">
        <f t="shared" ref="B705:B708" si="530">HYPERLINK("https://drive.google.com/drive/folders/1euPpvYXVY2Qj0Edy5z9K55f3Td8TYykf","https://drive.google.com/drive/folders/1euPpvYXVY2Qj0Edy5z9K55f3Td8TYykf")</f>
        <v>https://drive.google.com/drive/folders/1euPpvYXVY2Qj0Edy5z9K55f3Td8TYykf</v>
      </c>
      <c r="C705" s="1" t="str">
        <f>HYPERLINK("https://drive.google.com/drive/folders/1euPpvYXVY2Qj0Edy5z9K55f3Td8TYykf","jeff brown tech investor")</f>
        <v>jeff brown tech investor</v>
      </c>
    </row>
    <row r="706">
      <c r="A706" s="1" t="str">
        <f t="shared" si="529"/>
        <v>jeff brown stock picks for 2021</v>
      </c>
      <c r="B706" s="1" t="str">
        <f t="shared" si="530"/>
        <v>https://drive.google.com/drive/folders/1euPpvYXVY2Qj0Edy5z9K55f3Td8TYykf</v>
      </c>
      <c r="C706" s="1" t="str">
        <f>HYPERLINK("https://drive.google.com/drive/folders/1euPpvYXVY2Qj0Edy5z9K55f3Td8TYykf","bill5g.com")</f>
        <v>bill5g.com</v>
      </c>
    </row>
    <row r="707">
      <c r="A707" s="1" t="str">
        <f t="shared" ref="A707:A708" si="531">HYPERLINK("https://drive.google.com/drive/folders/1euPpvYXVY2Qj0Edy5z9K55f3Td8TYykf","jeff brown investor")</f>
        <v>jeff brown investor</v>
      </c>
      <c r="B707" s="1" t="str">
        <f t="shared" si="530"/>
        <v>https://drive.google.com/drive/folders/1euPpvYXVY2Qj0Edy5z9K55f3Td8TYykf</v>
      </c>
      <c r="C707" s="1" t="str">
        <f>HYPERLINK("https://drive.google.com/drive/folders/1euPpvYXVY2Qj0Edy5z9K55f3Td8TYykf","jeff brown tech investor")</f>
        <v>jeff brown tech investor</v>
      </c>
    </row>
    <row r="708">
      <c r="A708" s="1" t="str">
        <f t="shared" si="531"/>
        <v>jeff brown investor</v>
      </c>
      <c r="B708" s="1" t="str">
        <f t="shared" si="530"/>
        <v>https://drive.google.com/drive/folders/1euPpvYXVY2Qj0Edy5z9K55f3Td8TYykf</v>
      </c>
      <c r="C708" s="1" t="str">
        <f>HYPERLINK("https://drive.google.com/drive/folders/1euPpvYXVY2Qj0Edy5z9K55f3Td8TYykf","bill5g.com")</f>
        <v>bill5g.com</v>
      </c>
    </row>
    <row r="709">
      <c r="A709" s="1" t="str">
        <f t="shared" ref="A709:A710" si="532">HYPERLINK("https://drive.google.com/drive/folders/1-aHVOJy10H1KUYprQHALDRJBDKdXWxEw","jeff brown stock picks for 2021")</f>
        <v>jeff brown stock picks for 2021</v>
      </c>
      <c r="B709" s="1" t="str">
        <f t="shared" ref="B709:B712" si="533">HYPERLINK("https://drive.google.com/drive/folders/1-aHVOJy10H1KUYprQHALDRJBDKdXWxEw","https://drive.google.com/drive/folders/1-aHVOJy10H1KUYprQHALDRJBDKdXWxEw")</f>
        <v>https://drive.google.com/drive/folders/1-aHVOJy10H1KUYprQHALDRJBDKdXWxEw</v>
      </c>
      <c r="C709" s="1" t="str">
        <f>HYPERLINK("https://drive.google.com/drive/folders/1-aHVOJy10H1KUYprQHALDRJBDKdXWxEw","jeff brown tech investor")</f>
        <v>jeff brown tech investor</v>
      </c>
    </row>
    <row r="710">
      <c r="A710" s="1" t="str">
        <f t="shared" si="532"/>
        <v>jeff brown stock picks for 2021</v>
      </c>
      <c r="B710" s="1" t="str">
        <f t="shared" si="533"/>
        <v>https://drive.google.com/drive/folders/1-aHVOJy10H1KUYprQHALDRJBDKdXWxEw</v>
      </c>
      <c r="C710" s="1" t="str">
        <f>HYPERLINK("https://drive.google.com/drive/folders/1-aHVOJy10H1KUYprQHALDRJBDKdXWxEw","bill5g.com")</f>
        <v>bill5g.com</v>
      </c>
    </row>
    <row r="711">
      <c r="A711" s="1" t="str">
        <f t="shared" ref="A711:A712" si="534">HYPERLINK("https://drive.google.com/drive/folders/1-aHVOJy10H1KUYprQHALDRJBDKdXWxEw","jeff brown investor")</f>
        <v>jeff brown investor</v>
      </c>
      <c r="B711" s="1" t="str">
        <f t="shared" si="533"/>
        <v>https://drive.google.com/drive/folders/1-aHVOJy10H1KUYprQHALDRJBDKdXWxEw</v>
      </c>
      <c r="C711" s="1" t="str">
        <f>HYPERLINK("https://drive.google.com/drive/folders/1-aHVOJy10H1KUYprQHALDRJBDKdXWxEw","jeff brown tech investor")</f>
        <v>jeff brown tech investor</v>
      </c>
    </row>
    <row r="712">
      <c r="A712" s="1" t="str">
        <f t="shared" si="534"/>
        <v>jeff brown investor</v>
      </c>
      <c r="B712" s="1" t="str">
        <f t="shared" si="533"/>
        <v>https://drive.google.com/drive/folders/1-aHVOJy10H1KUYprQHALDRJBDKdXWxEw</v>
      </c>
      <c r="C712" s="1" t="str">
        <f>HYPERLINK("https://drive.google.com/drive/folders/1-aHVOJy10H1KUYprQHALDRJBDKdXWxEw","bill5g.com")</f>
        <v>bill5g.com</v>
      </c>
    </row>
    <row r="713">
      <c r="A713" s="1" t="str">
        <f t="shared" ref="A713:A714" si="535">HYPERLINK("https://drive.google.com/drive/folders/1IJsIRLlfG4Pd0PdN94QQ8DVCIdTf9ZhW","jeff brown stock picks for 2021")</f>
        <v>jeff brown stock picks for 2021</v>
      </c>
      <c r="B713" s="1" t="str">
        <f t="shared" ref="B713:B716" si="536">HYPERLINK("https://drive.google.com/drive/folders/1IJsIRLlfG4Pd0PdN94QQ8DVCIdTf9ZhW","https://drive.google.com/drive/folders/1IJsIRLlfG4Pd0PdN94QQ8DVCIdTf9ZhW")</f>
        <v>https://drive.google.com/drive/folders/1IJsIRLlfG4Pd0PdN94QQ8DVCIdTf9ZhW</v>
      </c>
      <c r="C713" s="1" t="str">
        <f>HYPERLINK("https://drive.google.com/drive/folders/1IJsIRLlfG4Pd0PdN94QQ8DVCIdTf9ZhW","jeff brown tech investor")</f>
        <v>jeff brown tech investor</v>
      </c>
    </row>
    <row r="714">
      <c r="A714" s="1" t="str">
        <f t="shared" si="535"/>
        <v>jeff brown stock picks for 2021</v>
      </c>
      <c r="B714" s="1" t="str">
        <f t="shared" si="536"/>
        <v>https://drive.google.com/drive/folders/1IJsIRLlfG4Pd0PdN94QQ8DVCIdTf9ZhW</v>
      </c>
      <c r="C714" s="1" t="str">
        <f>HYPERLINK("https://drive.google.com/drive/folders/1IJsIRLlfG4Pd0PdN94QQ8DVCIdTf9ZhW","bill5g.com")</f>
        <v>bill5g.com</v>
      </c>
    </row>
    <row r="715">
      <c r="A715" s="1" t="str">
        <f t="shared" ref="A715:A716" si="537">HYPERLINK("https://drive.google.com/drive/folders/1IJsIRLlfG4Pd0PdN94QQ8DVCIdTf9ZhW","jeff brown investor")</f>
        <v>jeff brown investor</v>
      </c>
      <c r="B715" s="1" t="str">
        <f t="shared" si="536"/>
        <v>https://drive.google.com/drive/folders/1IJsIRLlfG4Pd0PdN94QQ8DVCIdTf9ZhW</v>
      </c>
      <c r="C715" s="1" t="str">
        <f>HYPERLINK("https://drive.google.com/drive/folders/1IJsIRLlfG4Pd0PdN94QQ8DVCIdTf9ZhW","jeff brown tech investor")</f>
        <v>jeff brown tech investor</v>
      </c>
    </row>
    <row r="716">
      <c r="A716" s="1" t="str">
        <f t="shared" si="537"/>
        <v>jeff brown investor</v>
      </c>
      <c r="B716" s="1" t="str">
        <f t="shared" si="536"/>
        <v>https://drive.google.com/drive/folders/1IJsIRLlfG4Pd0PdN94QQ8DVCIdTf9ZhW</v>
      </c>
      <c r="C716" s="1" t="str">
        <f>HYPERLINK("https://drive.google.com/drive/folders/1IJsIRLlfG4Pd0PdN94QQ8DVCIdTf9ZhW","bill5g.com")</f>
        <v>bill5g.com</v>
      </c>
    </row>
    <row r="717">
      <c r="A717" s="1" t="str">
        <f t="shared" ref="A717:A718" si="538">HYPERLINK("https://docs.google.com/spreadsheets/d/1ytgZwJZUKneqHShu0uRnu3lQOvM-b3Qt_91OAXsuM1s","jeff brown stock picks for 2021")</f>
        <v>jeff brown stock picks for 2021</v>
      </c>
      <c r="B717" s="1" t="str">
        <f t="shared" ref="B717:B720" si="539">HYPERLINK("https://docs.google.com/spreadsheets/d/1ytgZwJZUKneqHShu0uRnu3lQOvM-b3Qt_91OAXsuM1s","https://docs.google.com/spreadsheets/d/1ytgZwJZUKneqHShu0uRnu3lQOvM-b3Qt_91OAXsuM1s")</f>
        <v>https://docs.google.com/spreadsheets/d/1ytgZwJZUKneqHShu0uRnu3lQOvM-b3Qt_91OAXsuM1s</v>
      </c>
      <c r="C717" s="1" t="str">
        <f>HYPERLINK("https://docs.google.com/spreadsheets/d/1ytgZwJZUKneqHShu0uRnu3lQOvM-b3Qt_91OAXsuM1s","jeff brown tech investor")</f>
        <v>jeff brown tech investor</v>
      </c>
    </row>
    <row r="718">
      <c r="A718" s="1" t="str">
        <f t="shared" si="538"/>
        <v>jeff brown stock picks for 2021</v>
      </c>
      <c r="B718" s="1" t="str">
        <f t="shared" si="539"/>
        <v>https://docs.google.com/spreadsheets/d/1ytgZwJZUKneqHShu0uRnu3lQOvM-b3Qt_91OAXsuM1s</v>
      </c>
      <c r="C718" s="1" t="str">
        <f>HYPERLINK("https://docs.google.com/spreadsheets/d/1ytgZwJZUKneqHShu0uRnu3lQOvM-b3Qt_91OAXsuM1s","bill5g.com")</f>
        <v>bill5g.com</v>
      </c>
    </row>
    <row r="719">
      <c r="A719" s="1" t="str">
        <f t="shared" ref="A719:A720" si="540">HYPERLINK("https://docs.google.com/spreadsheets/d/1ytgZwJZUKneqHShu0uRnu3lQOvM-b3Qt_91OAXsuM1s","jeff brown investor")</f>
        <v>jeff brown investor</v>
      </c>
      <c r="B719" s="1" t="str">
        <f t="shared" si="539"/>
        <v>https://docs.google.com/spreadsheets/d/1ytgZwJZUKneqHShu0uRnu3lQOvM-b3Qt_91OAXsuM1s</v>
      </c>
      <c r="C719" s="1" t="str">
        <f>HYPERLINK("https://docs.google.com/spreadsheets/d/1ytgZwJZUKneqHShu0uRnu3lQOvM-b3Qt_91OAXsuM1s","jeff brown tech investor")</f>
        <v>jeff brown tech investor</v>
      </c>
    </row>
    <row r="720">
      <c r="A720" s="1" t="str">
        <f t="shared" si="540"/>
        <v>jeff brown investor</v>
      </c>
      <c r="B720" s="1" t="str">
        <f t="shared" si="539"/>
        <v>https://docs.google.com/spreadsheets/d/1ytgZwJZUKneqHShu0uRnu3lQOvM-b3Qt_91OAXsuM1s</v>
      </c>
      <c r="C720" s="1" t="str">
        <f>HYPERLINK("https://docs.google.com/spreadsheets/d/1ytgZwJZUKneqHShu0uRnu3lQOvM-b3Qt_91OAXsuM1s","bill5g.com")</f>
        <v>bill5g.com</v>
      </c>
    </row>
    <row r="721">
      <c r="A721" s="1" t="str">
        <f t="shared" ref="A721:A722" si="541">HYPERLINK("https://docs.google.com/spreadsheets/d/1f-hpdZJI3T4x_k9APhbx425ME1UZxtT4gnzkrdXEQl4","jeff brown stock picks for 2021")</f>
        <v>jeff brown stock picks for 2021</v>
      </c>
      <c r="B721" s="1" t="str">
        <f t="shared" ref="B721:B724" si="542">HYPERLINK("https://docs.google.com/spreadsheets/d/1f-hpdZJI3T4x_k9APhbx425ME1UZxtT4gnzkrdXEQl4","https://docs.google.com/spreadsheets/d/1f-hpdZJI3T4x_k9APhbx425ME1UZxtT4gnzkrdXEQl4")</f>
        <v>https://docs.google.com/spreadsheets/d/1f-hpdZJI3T4x_k9APhbx425ME1UZxtT4gnzkrdXEQl4</v>
      </c>
      <c r="C721" s="1" t="str">
        <f>HYPERLINK("https://docs.google.com/spreadsheets/d/1f-hpdZJI3T4x_k9APhbx425ME1UZxtT4gnzkrdXEQl4","jeff brown tech investor")</f>
        <v>jeff brown tech investor</v>
      </c>
    </row>
    <row r="722">
      <c r="A722" s="1" t="str">
        <f t="shared" si="541"/>
        <v>jeff brown stock picks for 2021</v>
      </c>
      <c r="B722" s="1" t="str">
        <f t="shared" si="542"/>
        <v>https://docs.google.com/spreadsheets/d/1f-hpdZJI3T4x_k9APhbx425ME1UZxtT4gnzkrdXEQl4</v>
      </c>
      <c r="C722" s="1" t="str">
        <f>HYPERLINK("https://docs.google.com/spreadsheets/d/1f-hpdZJI3T4x_k9APhbx425ME1UZxtT4gnzkrdXEQl4","bill5g.com")</f>
        <v>bill5g.com</v>
      </c>
    </row>
    <row r="723">
      <c r="A723" s="1" t="str">
        <f t="shared" ref="A723:A724" si="543">HYPERLINK("https://docs.google.com/spreadsheets/d/1f-hpdZJI3T4x_k9APhbx425ME1UZxtT4gnzkrdXEQl4","jeff brown investor")</f>
        <v>jeff brown investor</v>
      </c>
      <c r="B723" s="1" t="str">
        <f t="shared" si="542"/>
        <v>https://docs.google.com/spreadsheets/d/1f-hpdZJI3T4x_k9APhbx425ME1UZxtT4gnzkrdXEQl4</v>
      </c>
      <c r="C723" s="1" t="str">
        <f>HYPERLINK("https://docs.google.com/spreadsheets/d/1f-hpdZJI3T4x_k9APhbx425ME1UZxtT4gnzkrdXEQl4","jeff brown tech investor")</f>
        <v>jeff brown tech investor</v>
      </c>
    </row>
    <row r="724">
      <c r="A724" s="1" t="str">
        <f t="shared" si="543"/>
        <v>jeff brown investor</v>
      </c>
      <c r="B724" s="1" t="str">
        <f t="shared" si="542"/>
        <v>https://docs.google.com/spreadsheets/d/1f-hpdZJI3T4x_k9APhbx425ME1UZxtT4gnzkrdXEQl4</v>
      </c>
      <c r="C724" s="1" t="str">
        <f>HYPERLINK("https://docs.google.com/spreadsheets/d/1f-hpdZJI3T4x_k9APhbx425ME1UZxtT4gnzkrdXEQl4","bill5g.com")</f>
        <v>bill5g.com</v>
      </c>
    </row>
    <row r="725">
      <c r="A725" s="1" t="str">
        <f t="shared" ref="A725:A726" si="544">HYPERLINK("https://drive.google.com/drive/folders/17iZ7aohPkSU-l3f3RFs5A-rt2NNLXl_0","jeff brown stock picks for 2021")</f>
        <v>jeff brown stock picks for 2021</v>
      </c>
      <c r="B725" s="1" t="str">
        <f t="shared" ref="B725:B728" si="545">HYPERLINK("https://drive.google.com/drive/folders/17iZ7aohPkSU-l3f3RFs5A-rt2NNLXl_0","https://drive.google.com/drive/folders/17iZ7aohPkSU-l3f3RFs5A-rt2NNLXl_0")</f>
        <v>https://drive.google.com/drive/folders/17iZ7aohPkSU-l3f3RFs5A-rt2NNLXl_0</v>
      </c>
      <c r="C725" s="1" t="str">
        <f>HYPERLINK("https://drive.google.com/drive/folders/17iZ7aohPkSU-l3f3RFs5A-rt2NNLXl_0","jeff brown tech investor")</f>
        <v>jeff brown tech investor</v>
      </c>
    </row>
    <row r="726">
      <c r="A726" s="1" t="str">
        <f t="shared" si="544"/>
        <v>jeff brown stock picks for 2021</v>
      </c>
      <c r="B726" s="1" t="str">
        <f t="shared" si="545"/>
        <v>https://drive.google.com/drive/folders/17iZ7aohPkSU-l3f3RFs5A-rt2NNLXl_0</v>
      </c>
      <c r="C726" s="1" t="str">
        <f>HYPERLINK("https://drive.google.com/drive/folders/17iZ7aohPkSU-l3f3RFs5A-rt2NNLXl_0","bill5g.com")</f>
        <v>bill5g.com</v>
      </c>
    </row>
    <row r="727">
      <c r="A727" s="1" t="str">
        <f t="shared" ref="A727:A728" si="546">HYPERLINK("https://drive.google.com/drive/folders/17iZ7aohPkSU-l3f3RFs5A-rt2NNLXl_0","jeff brown investor")</f>
        <v>jeff brown investor</v>
      </c>
      <c r="B727" s="1" t="str">
        <f t="shared" si="545"/>
        <v>https://drive.google.com/drive/folders/17iZ7aohPkSU-l3f3RFs5A-rt2NNLXl_0</v>
      </c>
      <c r="C727" s="1" t="str">
        <f>HYPERLINK("https://drive.google.com/drive/folders/17iZ7aohPkSU-l3f3RFs5A-rt2NNLXl_0","jeff brown tech investor")</f>
        <v>jeff brown tech investor</v>
      </c>
    </row>
    <row r="728">
      <c r="A728" s="1" t="str">
        <f t="shared" si="546"/>
        <v>jeff brown investor</v>
      </c>
      <c r="B728" s="1" t="str">
        <f t="shared" si="545"/>
        <v>https://drive.google.com/drive/folders/17iZ7aohPkSU-l3f3RFs5A-rt2NNLXl_0</v>
      </c>
      <c r="C728" s="1" t="str">
        <f>HYPERLINK("https://drive.google.com/drive/folders/17iZ7aohPkSU-l3f3RFs5A-rt2NNLXl_0","bill5g.com")</f>
        <v>bill5g.com</v>
      </c>
    </row>
    <row r="729">
      <c r="A729" s="1" t="str">
        <f t="shared" ref="A729:A730" si="547">HYPERLINK("https://drive.google.com/drive/folders/1v9fokugmyHLE1ZseOMCbncyxs_MFSjKj","jeff brown stock picks for 2021")</f>
        <v>jeff brown stock picks for 2021</v>
      </c>
      <c r="B729" s="1" t="str">
        <f t="shared" ref="B729:B732" si="548">HYPERLINK("https://drive.google.com/drive/folders/1v9fokugmyHLE1ZseOMCbncyxs_MFSjKj","https://drive.google.com/drive/folders/1v9fokugmyHLE1ZseOMCbncyxs_MFSjKj")</f>
        <v>https://drive.google.com/drive/folders/1v9fokugmyHLE1ZseOMCbncyxs_MFSjKj</v>
      </c>
      <c r="C729" s="1" t="str">
        <f>HYPERLINK("https://drive.google.com/drive/folders/1v9fokugmyHLE1ZseOMCbncyxs_MFSjKj","jeff brown tech investor")</f>
        <v>jeff brown tech investor</v>
      </c>
    </row>
    <row r="730">
      <c r="A730" s="1" t="str">
        <f t="shared" si="547"/>
        <v>jeff brown stock picks for 2021</v>
      </c>
      <c r="B730" s="1" t="str">
        <f t="shared" si="548"/>
        <v>https://drive.google.com/drive/folders/1v9fokugmyHLE1ZseOMCbncyxs_MFSjKj</v>
      </c>
      <c r="C730" s="1" t="str">
        <f>HYPERLINK("https://drive.google.com/drive/folders/1v9fokugmyHLE1ZseOMCbncyxs_MFSjKj","bill5g.com")</f>
        <v>bill5g.com</v>
      </c>
    </row>
    <row r="731">
      <c r="A731" s="1" t="str">
        <f t="shared" ref="A731:A732" si="549">HYPERLINK("https://drive.google.com/drive/folders/1v9fokugmyHLE1ZseOMCbncyxs_MFSjKj","jeff brown investor")</f>
        <v>jeff brown investor</v>
      </c>
      <c r="B731" s="1" t="str">
        <f t="shared" si="548"/>
        <v>https://drive.google.com/drive/folders/1v9fokugmyHLE1ZseOMCbncyxs_MFSjKj</v>
      </c>
      <c r="C731" s="1" t="str">
        <f>HYPERLINK("https://drive.google.com/drive/folders/1v9fokugmyHLE1ZseOMCbncyxs_MFSjKj","jeff brown tech investor")</f>
        <v>jeff brown tech investor</v>
      </c>
    </row>
    <row r="732">
      <c r="A732" s="1" t="str">
        <f t="shared" si="549"/>
        <v>jeff brown investor</v>
      </c>
      <c r="B732" s="1" t="str">
        <f t="shared" si="548"/>
        <v>https://drive.google.com/drive/folders/1v9fokugmyHLE1ZseOMCbncyxs_MFSjKj</v>
      </c>
      <c r="C732" s="1" t="str">
        <f>HYPERLINK("https://drive.google.com/drive/folders/1v9fokugmyHLE1ZseOMCbncyxs_MFSjKj","bill5g.com")</f>
        <v>bill5g.com</v>
      </c>
    </row>
    <row r="733">
      <c r="A733" s="1" t="str">
        <f t="shared" ref="A733:A734" si="550">HYPERLINK("https://drive.google.com/drive/folders/1dR-9rZci0rhwQPUZmWkYxja6uJXbaPAo","jeff brown stock picks for 2021")</f>
        <v>jeff brown stock picks for 2021</v>
      </c>
      <c r="B733" s="1" t="str">
        <f t="shared" ref="B733:B736" si="551">HYPERLINK("https://drive.google.com/drive/folders/1dR-9rZci0rhwQPUZmWkYxja6uJXbaPAo","https://drive.google.com/drive/folders/1dR-9rZci0rhwQPUZmWkYxja6uJXbaPAo")</f>
        <v>https://drive.google.com/drive/folders/1dR-9rZci0rhwQPUZmWkYxja6uJXbaPAo</v>
      </c>
      <c r="C733" s="1" t="str">
        <f>HYPERLINK("https://drive.google.com/drive/folders/1dR-9rZci0rhwQPUZmWkYxja6uJXbaPAo","jeff brown tech investor")</f>
        <v>jeff brown tech investor</v>
      </c>
    </row>
    <row r="734">
      <c r="A734" s="1" t="str">
        <f t="shared" si="550"/>
        <v>jeff brown stock picks for 2021</v>
      </c>
      <c r="B734" s="1" t="str">
        <f t="shared" si="551"/>
        <v>https://drive.google.com/drive/folders/1dR-9rZci0rhwQPUZmWkYxja6uJXbaPAo</v>
      </c>
      <c r="C734" s="1" t="str">
        <f>HYPERLINK("https://drive.google.com/drive/folders/1dR-9rZci0rhwQPUZmWkYxja6uJXbaPAo","bill5g.com")</f>
        <v>bill5g.com</v>
      </c>
    </row>
    <row r="735">
      <c r="A735" s="1" t="str">
        <f t="shared" ref="A735:A736" si="552">HYPERLINK("https://drive.google.com/drive/folders/1dR-9rZci0rhwQPUZmWkYxja6uJXbaPAo","jeff brown investor")</f>
        <v>jeff brown investor</v>
      </c>
      <c r="B735" s="1" t="str">
        <f t="shared" si="551"/>
        <v>https://drive.google.com/drive/folders/1dR-9rZci0rhwQPUZmWkYxja6uJXbaPAo</v>
      </c>
      <c r="C735" s="1" t="str">
        <f>HYPERLINK("https://drive.google.com/drive/folders/1dR-9rZci0rhwQPUZmWkYxja6uJXbaPAo","jeff brown tech investor")</f>
        <v>jeff brown tech investor</v>
      </c>
    </row>
    <row r="736">
      <c r="A736" s="1" t="str">
        <f t="shared" si="552"/>
        <v>jeff brown investor</v>
      </c>
      <c r="B736" s="1" t="str">
        <f t="shared" si="551"/>
        <v>https://drive.google.com/drive/folders/1dR-9rZci0rhwQPUZmWkYxja6uJXbaPAo</v>
      </c>
      <c r="C736" s="1" t="str">
        <f>HYPERLINK("https://drive.google.com/drive/folders/1dR-9rZci0rhwQPUZmWkYxja6uJXbaPAo","bill5g.com")</f>
        <v>bill5g.com</v>
      </c>
    </row>
    <row r="737">
      <c r="A737" s="1" t="str">
        <f t="shared" ref="A737:A738" si="553">HYPERLINK("https://drive.google.com/drive/folders/1hwZDwqPttdE272g6CZ-3xt7kR23Q1YhC","jeff brown stock picks for 2021")</f>
        <v>jeff brown stock picks for 2021</v>
      </c>
      <c r="B737" s="1" t="str">
        <f t="shared" ref="B737:B740" si="554">HYPERLINK("https://drive.google.com/drive/folders/1hwZDwqPttdE272g6CZ-3xt7kR23Q1YhC","https://drive.google.com/drive/folders/1hwZDwqPttdE272g6CZ-3xt7kR23Q1YhC")</f>
        <v>https://drive.google.com/drive/folders/1hwZDwqPttdE272g6CZ-3xt7kR23Q1YhC</v>
      </c>
      <c r="C737" s="1" t="str">
        <f>HYPERLINK("https://drive.google.com/drive/folders/1hwZDwqPttdE272g6CZ-3xt7kR23Q1YhC","jeff brown tech investor")</f>
        <v>jeff brown tech investor</v>
      </c>
    </row>
    <row r="738">
      <c r="A738" s="1" t="str">
        <f t="shared" si="553"/>
        <v>jeff brown stock picks for 2021</v>
      </c>
      <c r="B738" s="1" t="str">
        <f t="shared" si="554"/>
        <v>https://drive.google.com/drive/folders/1hwZDwqPttdE272g6CZ-3xt7kR23Q1YhC</v>
      </c>
      <c r="C738" s="1" t="str">
        <f>HYPERLINK("https://drive.google.com/drive/folders/1hwZDwqPttdE272g6CZ-3xt7kR23Q1YhC","bill5g.com")</f>
        <v>bill5g.com</v>
      </c>
    </row>
    <row r="739">
      <c r="A739" s="1" t="str">
        <f t="shared" ref="A739:A740" si="555">HYPERLINK("https://drive.google.com/drive/folders/1hwZDwqPttdE272g6CZ-3xt7kR23Q1YhC","jeff brown investor")</f>
        <v>jeff brown investor</v>
      </c>
      <c r="B739" s="1" t="str">
        <f t="shared" si="554"/>
        <v>https://drive.google.com/drive/folders/1hwZDwqPttdE272g6CZ-3xt7kR23Q1YhC</v>
      </c>
      <c r="C739" s="1" t="str">
        <f>HYPERLINK("https://drive.google.com/drive/folders/1hwZDwqPttdE272g6CZ-3xt7kR23Q1YhC","jeff brown tech investor")</f>
        <v>jeff brown tech investor</v>
      </c>
    </row>
    <row r="740">
      <c r="A740" s="1" t="str">
        <f t="shared" si="555"/>
        <v>jeff brown investor</v>
      </c>
      <c r="B740" s="1" t="str">
        <f t="shared" si="554"/>
        <v>https://drive.google.com/drive/folders/1hwZDwqPttdE272g6CZ-3xt7kR23Q1YhC</v>
      </c>
      <c r="C740" s="1" t="str">
        <f>HYPERLINK("https://drive.google.com/drive/folders/1hwZDwqPttdE272g6CZ-3xt7kR23Q1YhC","bill5g.com")</f>
        <v>bill5g.com</v>
      </c>
    </row>
    <row r="741">
      <c r="A741" s="1" t="str">
        <f t="shared" ref="A741:A742" si="556">HYPERLINK("https://docs.google.com/spreadsheets/d/1T9aqheEVKReMIl_9CmLFf-9Tg2mcZbxScOHydojdLaM","jeff brown stock picks for 2021")</f>
        <v>jeff brown stock picks for 2021</v>
      </c>
      <c r="B741" s="1" t="str">
        <f t="shared" ref="B741:B744" si="557">HYPERLINK("https://docs.google.com/spreadsheets/d/1T9aqheEVKReMIl_9CmLFf-9Tg2mcZbxScOHydojdLaM","https://docs.google.com/spreadsheets/d/1T9aqheEVKReMIl_9CmLFf-9Tg2mcZbxScOHydojdLaM")</f>
        <v>https://docs.google.com/spreadsheets/d/1T9aqheEVKReMIl_9CmLFf-9Tg2mcZbxScOHydojdLaM</v>
      </c>
      <c r="C741" s="1" t="str">
        <f>HYPERLINK("https://docs.google.com/spreadsheets/d/1T9aqheEVKReMIl_9CmLFf-9Tg2mcZbxScOHydojdLaM","jeff brown tech investor")</f>
        <v>jeff brown tech investor</v>
      </c>
    </row>
    <row r="742">
      <c r="A742" s="1" t="str">
        <f t="shared" si="556"/>
        <v>jeff brown stock picks for 2021</v>
      </c>
      <c r="B742" s="1" t="str">
        <f t="shared" si="557"/>
        <v>https://docs.google.com/spreadsheets/d/1T9aqheEVKReMIl_9CmLFf-9Tg2mcZbxScOHydojdLaM</v>
      </c>
      <c r="C742" s="1" t="str">
        <f>HYPERLINK("https://docs.google.com/spreadsheets/d/1T9aqheEVKReMIl_9CmLFf-9Tg2mcZbxScOHydojdLaM","bill5g.com")</f>
        <v>bill5g.com</v>
      </c>
    </row>
    <row r="743">
      <c r="A743" s="1" t="str">
        <f t="shared" ref="A743:A744" si="558">HYPERLINK("https://docs.google.com/spreadsheets/d/1T9aqheEVKReMIl_9CmLFf-9Tg2mcZbxScOHydojdLaM","jeff brown investor")</f>
        <v>jeff brown investor</v>
      </c>
      <c r="B743" s="1" t="str">
        <f t="shared" si="557"/>
        <v>https://docs.google.com/spreadsheets/d/1T9aqheEVKReMIl_9CmLFf-9Tg2mcZbxScOHydojdLaM</v>
      </c>
      <c r="C743" s="1" t="str">
        <f>HYPERLINK("https://docs.google.com/spreadsheets/d/1T9aqheEVKReMIl_9CmLFf-9Tg2mcZbxScOHydojdLaM","jeff brown tech investor")</f>
        <v>jeff brown tech investor</v>
      </c>
    </row>
    <row r="744">
      <c r="A744" s="1" t="str">
        <f t="shared" si="558"/>
        <v>jeff brown investor</v>
      </c>
      <c r="B744" s="1" t="str">
        <f t="shared" si="557"/>
        <v>https://docs.google.com/spreadsheets/d/1T9aqheEVKReMIl_9CmLFf-9Tg2mcZbxScOHydojdLaM</v>
      </c>
      <c r="C744" s="1" t="str">
        <f>HYPERLINK("https://docs.google.com/spreadsheets/d/1T9aqheEVKReMIl_9CmLFf-9Tg2mcZbxScOHydojdLaM","bill5g.com")</f>
        <v>bill5g.com</v>
      </c>
    </row>
    <row r="745">
      <c r="A745" s="1" t="str">
        <f t="shared" ref="A745:A746" si="559">HYPERLINK("https://drive.google.com/drive/folders/1v7kv0BkLLeEBvHgGi72FoNmtcgYkbW5u","jeff brown stock picks for 2021")</f>
        <v>jeff brown stock picks for 2021</v>
      </c>
      <c r="B745" s="1" t="str">
        <f t="shared" ref="B745:B748" si="560">HYPERLINK("https://drive.google.com/drive/folders/1v7kv0BkLLeEBvHgGi72FoNmtcgYkbW5u","https://drive.google.com/drive/folders/1v7kv0BkLLeEBvHgGi72FoNmtcgYkbW5u")</f>
        <v>https://drive.google.com/drive/folders/1v7kv0BkLLeEBvHgGi72FoNmtcgYkbW5u</v>
      </c>
      <c r="C745" s="1" t="str">
        <f>HYPERLINK("https://drive.google.com/drive/folders/1v7kv0BkLLeEBvHgGi72FoNmtcgYkbW5u","jeff brown tech investor")</f>
        <v>jeff brown tech investor</v>
      </c>
    </row>
    <row r="746">
      <c r="A746" s="1" t="str">
        <f t="shared" si="559"/>
        <v>jeff brown stock picks for 2021</v>
      </c>
      <c r="B746" s="1" t="str">
        <f t="shared" si="560"/>
        <v>https://drive.google.com/drive/folders/1v7kv0BkLLeEBvHgGi72FoNmtcgYkbW5u</v>
      </c>
      <c r="C746" s="1" t="str">
        <f>HYPERLINK("https://drive.google.com/drive/folders/1v7kv0BkLLeEBvHgGi72FoNmtcgYkbW5u","bill5g.com")</f>
        <v>bill5g.com</v>
      </c>
    </row>
    <row r="747">
      <c r="A747" s="1" t="str">
        <f t="shared" ref="A747:A748" si="561">HYPERLINK("https://drive.google.com/drive/folders/1v7kv0BkLLeEBvHgGi72FoNmtcgYkbW5u","jeff brown investor")</f>
        <v>jeff brown investor</v>
      </c>
      <c r="B747" s="1" t="str">
        <f t="shared" si="560"/>
        <v>https://drive.google.com/drive/folders/1v7kv0BkLLeEBvHgGi72FoNmtcgYkbW5u</v>
      </c>
      <c r="C747" s="1" t="str">
        <f>HYPERLINK("https://drive.google.com/drive/folders/1v7kv0BkLLeEBvHgGi72FoNmtcgYkbW5u","jeff brown tech investor")</f>
        <v>jeff brown tech investor</v>
      </c>
    </row>
    <row r="748">
      <c r="A748" s="1" t="str">
        <f t="shared" si="561"/>
        <v>jeff brown investor</v>
      </c>
      <c r="B748" s="1" t="str">
        <f t="shared" si="560"/>
        <v>https://drive.google.com/drive/folders/1v7kv0BkLLeEBvHgGi72FoNmtcgYkbW5u</v>
      </c>
      <c r="C748" s="1" t="str">
        <f>HYPERLINK("https://drive.google.com/drive/folders/1v7kv0BkLLeEBvHgGi72FoNmtcgYkbW5u","bill5g.com")</f>
        <v>bill5g.com</v>
      </c>
    </row>
    <row r="749">
      <c r="A749" s="1" t="str">
        <f t="shared" ref="A749:A750" si="562">HYPERLINK("https://docs.google.com/spreadsheets/d/1A8tv3kfK0OrMecvpwP0cc42PSjG9vHShtUwNa4U82-g","jeff brown stock picks for 2021")</f>
        <v>jeff brown stock picks for 2021</v>
      </c>
      <c r="B749" s="1" t="str">
        <f t="shared" ref="B749:B752" si="563">HYPERLINK("https://docs.google.com/spreadsheets/d/1A8tv3kfK0OrMecvpwP0cc42PSjG9vHShtUwNa4U82-g","https://docs.google.com/spreadsheets/d/1A8tv3kfK0OrMecvpwP0cc42PSjG9vHShtUwNa4U82-g")</f>
        <v>https://docs.google.com/spreadsheets/d/1A8tv3kfK0OrMecvpwP0cc42PSjG9vHShtUwNa4U82-g</v>
      </c>
      <c r="C749" s="1" t="str">
        <f>HYPERLINK("https://docs.google.com/spreadsheets/d/1A8tv3kfK0OrMecvpwP0cc42PSjG9vHShtUwNa4U82-g","jeff brown tech investor")</f>
        <v>jeff brown tech investor</v>
      </c>
    </row>
    <row r="750">
      <c r="A750" s="1" t="str">
        <f t="shared" si="562"/>
        <v>jeff brown stock picks for 2021</v>
      </c>
      <c r="B750" s="1" t="str">
        <f t="shared" si="563"/>
        <v>https://docs.google.com/spreadsheets/d/1A8tv3kfK0OrMecvpwP0cc42PSjG9vHShtUwNa4U82-g</v>
      </c>
      <c r="C750" s="1" t="str">
        <f>HYPERLINK("https://docs.google.com/spreadsheets/d/1A8tv3kfK0OrMecvpwP0cc42PSjG9vHShtUwNa4U82-g","bill5g.com")</f>
        <v>bill5g.com</v>
      </c>
    </row>
    <row r="751">
      <c r="A751" s="1" t="str">
        <f t="shared" ref="A751:A752" si="564">HYPERLINK("https://docs.google.com/spreadsheets/d/1A8tv3kfK0OrMecvpwP0cc42PSjG9vHShtUwNa4U82-g","jeff brown investor")</f>
        <v>jeff brown investor</v>
      </c>
      <c r="B751" s="1" t="str">
        <f t="shared" si="563"/>
        <v>https://docs.google.com/spreadsheets/d/1A8tv3kfK0OrMecvpwP0cc42PSjG9vHShtUwNa4U82-g</v>
      </c>
      <c r="C751" s="1" t="str">
        <f>HYPERLINK("https://docs.google.com/spreadsheets/d/1A8tv3kfK0OrMecvpwP0cc42PSjG9vHShtUwNa4U82-g","jeff brown tech investor")</f>
        <v>jeff brown tech investor</v>
      </c>
    </row>
    <row r="752">
      <c r="A752" s="1" t="str">
        <f t="shared" si="564"/>
        <v>jeff brown investor</v>
      </c>
      <c r="B752" s="1" t="str">
        <f t="shared" si="563"/>
        <v>https://docs.google.com/spreadsheets/d/1A8tv3kfK0OrMecvpwP0cc42PSjG9vHShtUwNa4U82-g</v>
      </c>
      <c r="C752" s="1" t="str">
        <f>HYPERLINK("https://docs.google.com/spreadsheets/d/1A8tv3kfK0OrMecvpwP0cc42PSjG9vHShtUwNa4U82-g","bill5g.com")</f>
        <v>bill5g.com</v>
      </c>
    </row>
    <row r="753">
      <c r="A753" s="1" t="str">
        <f t="shared" ref="A753:A754" si="565">HYPERLINK("https://drive.google.com/drive/folders/1plAfAM4ClSlEbgJegF5aLFuUYxNaeWn-","jeff brown stock picks for 2021")</f>
        <v>jeff brown stock picks for 2021</v>
      </c>
      <c r="B753" s="1" t="str">
        <f t="shared" ref="B753:B756" si="566">HYPERLINK("https://drive.google.com/drive/folders/1plAfAM4ClSlEbgJegF5aLFuUYxNaeWn-","https://drive.google.com/drive/folders/1plAfAM4ClSlEbgJegF5aLFuUYxNaeWn-")</f>
        <v>https://drive.google.com/drive/folders/1plAfAM4ClSlEbgJegF5aLFuUYxNaeWn-</v>
      </c>
      <c r="C753" s="1" t="str">
        <f>HYPERLINK("https://drive.google.com/drive/folders/1plAfAM4ClSlEbgJegF5aLFuUYxNaeWn-","jeff brown tech investor")</f>
        <v>jeff brown tech investor</v>
      </c>
    </row>
    <row r="754">
      <c r="A754" s="1" t="str">
        <f t="shared" si="565"/>
        <v>jeff brown stock picks for 2021</v>
      </c>
      <c r="B754" s="1" t="str">
        <f t="shared" si="566"/>
        <v>https://drive.google.com/drive/folders/1plAfAM4ClSlEbgJegF5aLFuUYxNaeWn-</v>
      </c>
      <c r="C754" s="1" t="str">
        <f>HYPERLINK("https://drive.google.com/drive/folders/1plAfAM4ClSlEbgJegF5aLFuUYxNaeWn-","bill5g.com")</f>
        <v>bill5g.com</v>
      </c>
    </row>
    <row r="755">
      <c r="A755" s="1" t="str">
        <f t="shared" ref="A755:A756" si="567">HYPERLINK("https://drive.google.com/drive/folders/1plAfAM4ClSlEbgJegF5aLFuUYxNaeWn-","jeff brown investor")</f>
        <v>jeff brown investor</v>
      </c>
      <c r="B755" s="1" t="str">
        <f t="shared" si="566"/>
        <v>https://drive.google.com/drive/folders/1plAfAM4ClSlEbgJegF5aLFuUYxNaeWn-</v>
      </c>
      <c r="C755" s="1" t="str">
        <f>HYPERLINK("https://drive.google.com/drive/folders/1plAfAM4ClSlEbgJegF5aLFuUYxNaeWn-","jeff brown tech investor")</f>
        <v>jeff brown tech investor</v>
      </c>
    </row>
    <row r="756">
      <c r="A756" s="1" t="str">
        <f t="shared" si="567"/>
        <v>jeff brown investor</v>
      </c>
      <c r="B756" s="1" t="str">
        <f t="shared" si="566"/>
        <v>https://drive.google.com/drive/folders/1plAfAM4ClSlEbgJegF5aLFuUYxNaeWn-</v>
      </c>
      <c r="C756" s="1" t="str">
        <f>HYPERLINK("https://drive.google.com/drive/folders/1plAfAM4ClSlEbgJegF5aLFuUYxNaeWn-","bill5g.com")</f>
        <v>bill5g.com</v>
      </c>
    </row>
    <row r="757">
      <c r="A757" s="1" t="str">
        <f t="shared" ref="A757:A758" si="568">HYPERLINK("https://drive.google.com/drive/folders/1Rna3vUccsxoM8lo-zcSAWdAZkkuPRNJ8","jeff brown stock picks for 2021")</f>
        <v>jeff brown stock picks for 2021</v>
      </c>
      <c r="B757" s="1" t="str">
        <f t="shared" ref="B757:B760" si="569">HYPERLINK("https://drive.google.com/drive/folders/1Rna3vUccsxoM8lo-zcSAWdAZkkuPRNJ8","https://drive.google.com/drive/folders/1Rna3vUccsxoM8lo-zcSAWdAZkkuPRNJ8")</f>
        <v>https://drive.google.com/drive/folders/1Rna3vUccsxoM8lo-zcSAWdAZkkuPRNJ8</v>
      </c>
      <c r="C757" s="1" t="str">
        <f>HYPERLINK("https://drive.google.com/drive/folders/1Rna3vUccsxoM8lo-zcSAWdAZkkuPRNJ8","jeff brown tech investor")</f>
        <v>jeff brown tech investor</v>
      </c>
    </row>
    <row r="758">
      <c r="A758" s="1" t="str">
        <f t="shared" si="568"/>
        <v>jeff brown stock picks for 2021</v>
      </c>
      <c r="B758" s="1" t="str">
        <f t="shared" si="569"/>
        <v>https://drive.google.com/drive/folders/1Rna3vUccsxoM8lo-zcSAWdAZkkuPRNJ8</v>
      </c>
      <c r="C758" s="1" t="str">
        <f>HYPERLINK("https://drive.google.com/drive/folders/1Rna3vUccsxoM8lo-zcSAWdAZkkuPRNJ8","bill5g.com")</f>
        <v>bill5g.com</v>
      </c>
    </row>
    <row r="759">
      <c r="A759" s="1" t="str">
        <f t="shared" ref="A759:A760" si="570">HYPERLINK("https://drive.google.com/drive/folders/1Rna3vUccsxoM8lo-zcSAWdAZkkuPRNJ8","jeff brown investor")</f>
        <v>jeff brown investor</v>
      </c>
      <c r="B759" s="1" t="str">
        <f t="shared" si="569"/>
        <v>https://drive.google.com/drive/folders/1Rna3vUccsxoM8lo-zcSAWdAZkkuPRNJ8</v>
      </c>
      <c r="C759" s="1" t="str">
        <f>HYPERLINK("https://drive.google.com/drive/folders/1Rna3vUccsxoM8lo-zcSAWdAZkkuPRNJ8","jeff brown tech investor")</f>
        <v>jeff brown tech investor</v>
      </c>
    </row>
    <row r="760">
      <c r="A760" s="1" t="str">
        <f t="shared" si="570"/>
        <v>jeff brown investor</v>
      </c>
      <c r="B760" s="1" t="str">
        <f t="shared" si="569"/>
        <v>https://drive.google.com/drive/folders/1Rna3vUccsxoM8lo-zcSAWdAZkkuPRNJ8</v>
      </c>
      <c r="C760" s="1" t="str">
        <f>HYPERLINK("https://drive.google.com/drive/folders/1Rna3vUccsxoM8lo-zcSAWdAZkkuPRNJ8","bill5g.com")</f>
        <v>bill5g.com</v>
      </c>
    </row>
  </sheetData>
  <drawing r:id="rId1"/>
</worksheet>
</file>