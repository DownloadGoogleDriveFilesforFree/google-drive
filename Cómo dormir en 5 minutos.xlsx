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mo dormir en 5 minutos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3" si="1">HYPERLINK("https://drive.google.com/drive/folders/1i-ECLBMhIP4tYRA56FmYA-RfByRz5XR1","Cómo dormir en 5 minutos")</f>
        <v>Cómo dormir en 5 minutos</v>
      </c>
      <c r="B1" s="1" t="str">
        <f t="shared" ref="B1:B12" si="2">HYPERLINK("https://drive.google.com/drive/folders/1i-ECLBMhIP4tYRA56FmYA-RfByRz5XR1","https://drive.google.com/drive/folders/1i-ECLBMhIP4tYRA56FmYA-RfByRz5XR1")</f>
        <v>https://drive.google.com/drive/folders/1i-ECLBMhIP4tYRA56FmYA-RfByRz5XR1</v>
      </c>
      <c r="C1" s="1" t="str">
        <f>HYPERLINK("https://drive.google.com/drive/folders/1i-ECLBMhIP4tYRA56FmYA-RfByRz5XR1","Comida para dormir bien")</f>
        <v>Comida para dormir bien</v>
      </c>
    </row>
    <row r="2">
      <c r="A2" s="1" t="str">
        <f t="shared" si="1"/>
        <v>Cómo dormir en 5 minutos</v>
      </c>
      <c r="B2" s="1" t="str">
        <f t="shared" si="2"/>
        <v>https://drive.google.com/drive/folders/1i-ECLBMhIP4tYRA56FmYA-RfByRz5XR1</v>
      </c>
      <c r="C2" s="1" t="str">
        <f>HYPERLINK("https://drive.google.com/drive/folders/1i-ECLBMhIP4tYRA56FmYA-RfByRz5XR1","Consejos sobre cómo dormir toda la noche")</f>
        <v>Consejos sobre cómo dormir toda la noche</v>
      </c>
    </row>
    <row r="3">
      <c r="A3" s="1" t="str">
        <f t="shared" si="1"/>
        <v>Cómo dormir en 5 minutos</v>
      </c>
      <c r="B3" s="1" t="str">
        <f t="shared" si="2"/>
        <v>https://drive.google.com/drive/folders/1i-ECLBMhIP4tYRA56FmYA-RfByRz5XR1</v>
      </c>
      <c r="C3" s="1" t="str">
        <f>HYPERLINK("https://drive.google.com/drive/folders/1i-ECLBMhIP4tYRA56FmYA-RfByRz5XR1","Cómo dormir mejor y más rápido")</f>
        <v>Cómo dormir mejor y más rápido</v>
      </c>
    </row>
    <row r="4">
      <c r="A4" s="1" t="str">
        <f t="shared" ref="A4:A6" si="3">HYPERLINK("https://drive.google.com/drive/folders/1i-ECLBMhIP4tYRA56FmYA-RfByRz5XR1","Cómo dormir mejor con ansiedad")</f>
        <v>Cómo dormir mejor con ansiedad</v>
      </c>
      <c r="B4" s="1" t="str">
        <f t="shared" si="2"/>
        <v>https://drive.google.com/drive/folders/1i-ECLBMhIP4tYRA56FmYA-RfByRz5XR1</v>
      </c>
      <c r="C4" s="1" t="str">
        <f>HYPERLINK("https://drive.google.com/drive/folders/1i-ECLBMhIP4tYRA56FmYA-RfByRz5XR1","Comida para dormir bien")</f>
        <v>Comida para dormir bien</v>
      </c>
    </row>
    <row r="5">
      <c r="A5" s="1" t="str">
        <f t="shared" si="3"/>
        <v>Cómo dormir mejor con ansiedad</v>
      </c>
      <c r="B5" s="1" t="str">
        <f t="shared" si="2"/>
        <v>https://drive.google.com/drive/folders/1i-ECLBMhIP4tYRA56FmYA-RfByRz5XR1</v>
      </c>
      <c r="C5" s="1" t="str">
        <f>HYPERLINK("https://drive.google.com/drive/folders/1i-ECLBMhIP4tYRA56FmYA-RfByRz5XR1","Consejos sobre cómo dormir toda la noche")</f>
        <v>Consejos sobre cómo dormir toda la noche</v>
      </c>
    </row>
    <row r="6">
      <c r="A6" s="1" t="str">
        <f t="shared" si="3"/>
        <v>Cómo dormir mejor con ansiedad</v>
      </c>
      <c r="B6" s="1" t="str">
        <f t="shared" si="2"/>
        <v>https://drive.google.com/drive/folders/1i-ECLBMhIP4tYRA56FmYA-RfByRz5XR1</v>
      </c>
      <c r="C6" s="1" t="str">
        <f>HYPERLINK("https://drive.google.com/drive/folders/1i-ECLBMhIP4tYRA56FmYA-RfByRz5XR1","Cómo dormir mejor y más rápido")</f>
        <v>Cómo dormir mejor y más rápido</v>
      </c>
    </row>
    <row r="7">
      <c r="A7" s="1" t="str">
        <f t="shared" ref="A7:A9" si="4">HYPERLINK("https://drive.google.com/drive/folders/1i-ECLBMhIP4tYRA56FmYA-RfByRz5XR1","Remedios caseros para dormir bien")</f>
        <v>Remedios caseros para dormir bien</v>
      </c>
      <c r="B7" s="1" t="str">
        <f t="shared" si="2"/>
        <v>https://drive.google.com/drive/folders/1i-ECLBMhIP4tYRA56FmYA-RfByRz5XR1</v>
      </c>
      <c r="C7" s="1" t="str">
        <f>HYPERLINK("https://drive.google.com/drive/folders/1i-ECLBMhIP4tYRA56FmYA-RfByRz5XR1","Comida para dormir bien")</f>
        <v>Comida para dormir bien</v>
      </c>
    </row>
    <row r="8">
      <c r="A8" s="1" t="str">
        <f t="shared" si="4"/>
        <v>Remedios caseros para dormir bien</v>
      </c>
      <c r="B8" s="1" t="str">
        <f t="shared" si="2"/>
        <v>https://drive.google.com/drive/folders/1i-ECLBMhIP4tYRA56FmYA-RfByRz5XR1</v>
      </c>
      <c r="C8" s="1" t="str">
        <f>HYPERLINK("https://drive.google.com/drive/folders/1i-ECLBMhIP4tYRA56FmYA-RfByRz5XR1","Consejos sobre cómo dormir toda la noche")</f>
        <v>Consejos sobre cómo dormir toda la noche</v>
      </c>
    </row>
    <row r="9">
      <c r="A9" s="1" t="str">
        <f t="shared" si="4"/>
        <v>Remedios caseros para dormir bien</v>
      </c>
      <c r="B9" s="1" t="str">
        <f t="shared" si="2"/>
        <v>https://drive.google.com/drive/folders/1i-ECLBMhIP4tYRA56FmYA-RfByRz5XR1</v>
      </c>
      <c r="C9" s="1" t="str">
        <f>HYPERLINK("https://drive.google.com/drive/folders/1i-ECLBMhIP4tYRA56FmYA-RfByRz5XR1","Cómo dormir mejor y más rápido")</f>
        <v>Cómo dormir mejor y más rápido</v>
      </c>
    </row>
    <row r="10">
      <c r="A10" s="1" t="str">
        <f t="shared" ref="A10:A12" si="5">HYPERLINK("https://drive.google.com/drive/folders/1i-ECLBMhIP4tYRA56FmYA-RfByRz5XR1","Cómo dormir mejor por la noche naturalmente")</f>
        <v>Cómo dormir mejor por la noche naturalmente</v>
      </c>
      <c r="B10" s="1" t="str">
        <f t="shared" si="2"/>
        <v>https://drive.google.com/drive/folders/1i-ECLBMhIP4tYRA56FmYA-RfByRz5XR1</v>
      </c>
      <c r="C10" s="1" t="str">
        <f>HYPERLINK("https://drive.google.com/drive/folders/1i-ECLBMhIP4tYRA56FmYA-RfByRz5XR1","Comida para dormir bien")</f>
        <v>Comida para dormir bien</v>
      </c>
    </row>
    <row r="11">
      <c r="A11" s="1" t="str">
        <f t="shared" si="5"/>
        <v>Cómo dormir mejor por la noche naturalmente</v>
      </c>
      <c r="B11" s="1" t="str">
        <f t="shared" si="2"/>
        <v>https://drive.google.com/drive/folders/1i-ECLBMhIP4tYRA56FmYA-RfByRz5XR1</v>
      </c>
      <c r="C11" s="1" t="str">
        <f>HYPERLINK("https://drive.google.com/drive/folders/1i-ECLBMhIP4tYRA56FmYA-RfByRz5XR1","Consejos sobre cómo dormir toda la noche")</f>
        <v>Consejos sobre cómo dormir toda la noche</v>
      </c>
    </row>
    <row r="12">
      <c r="A12" s="1" t="str">
        <f t="shared" si="5"/>
        <v>Cómo dormir mejor por la noche naturalmente</v>
      </c>
      <c r="B12" s="1" t="str">
        <f t="shared" si="2"/>
        <v>https://drive.google.com/drive/folders/1i-ECLBMhIP4tYRA56FmYA-RfByRz5XR1</v>
      </c>
      <c r="C12" s="1" t="str">
        <f>HYPERLINK("https://drive.google.com/drive/folders/1i-ECLBMhIP4tYRA56FmYA-RfByRz5XR1","Cómo dormir mejor y más rápido")</f>
        <v>Cómo dormir mejor y más rápido</v>
      </c>
    </row>
    <row r="13">
      <c r="A13" s="1" t="str">
        <f t="shared" ref="A13:A15" si="6">HYPERLINK("https://drive.google.com/drive/folders/18oJ0iwL90S02iBUsxvYwSQWQvo74Y8_b","Cómo dormir en 5 minutos")</f>
        <v>Cómo dormir en 5 minutos</v>
      </c>
      <c r="B13" s="1" t="str">
        <f t="shared" ref="B13:B24" si="7">HYPERLINK("https://drive.google.com/drive/folders/18oJ0iwL90S02iBUsxvYwSQWQvo74Y8_b","https://drive.google.com/drive/folders/18oJ0iwL90S02iBUsxvYwSQWQvo74Y8_b")</f>
        <v>https://drive.google.com/drive/folders/18oJ0iwL90S02iBUsxvYwSQWQvo74Y8_b</v>
      </c>
      <c r="C13" s="1" t="str">
        <f>HYPERLINK("https://drive.google.com/drive/folders/18oJ0iwL90S02iBUsxvYwSQWQvo74Y8_b","Comida para dormir bien")</f>
        <v>Comida para dormir bien</v>
      </c>
    </row>
    <row r="14">
      <c r="A14" s="1" t="str">
        <f t="shared" si="6"/>
        <v>Cómo dormir en 5 minutos</v>
      </c>
      <c r="B14" s="1" t="str">
        <f t="shared" si="7"/>
        <v>https://drive.google.com/drive/folders/18oJ0iwL90S02iBUsxvYwSQWQvo74Y8_b</v>
      </c>
      <c r="C14" s="1" t="str">
        <f>HYPERLINK("https://drive.google.com/drive/folders/18oJ0iwL90S02iBUsxvYwSQWQvo74Y8_b","Consejos sobre cómo dormir toda la noche")</f>
        <v>Consejos sobre cómo dormir toda la noche</v>
      </c>
    </row>
    <row r="15">
      <c r="A15" s="1" t="str">
        <f t="shared" si="6"/>
        <v>Cómo dormir en 5 minutos</v>
      </c>
      <c r="B15" s="1" t="str">
        <f t="shared" si="7"/>
        <v>https://drive.google.com/drive/folders/18oJ0iwL90S02iBUsxvYwSQWQvo74Y8_b</v>
      </c>
      <c r="C15" s="1" t="str">
        <f>HYPERLINK("https://drive.google.com/drive/folders/18oJ0iwL90S02iBUsxvYwSQWQvo74Y8_b","Cómo dormir mejor y más rápido")</f>
        <v>Cómo dormir mejor y más rápido</v>
      </c>
    </row>
    <row r="16">
      <c r="A16" s="1" t="str">
        <f t="shared" ref="A16:A18" si="8">HYPERLINK("https://drive.google.com/drive/folders/18oJ0iwL90S02iBUsxvYwSQWQvo74Y8_b","Cómo dormir mejor con ansiedad")</f>
        <v>Cómo dormir mejor con ansiedad</v>
      </c>
      <c r="B16" s="1" t="str">
        <f t="shared" si="7"/>
        <v>https://drive.google.com/drive/folders/18oJ0iwL90S02iBUsxvYwSQWQvo74Y8_b</v>
      </c>
      <c r="C16" s="1" t="str">
        <f>HYPERLINK("https://drive.google.com/drive/folders/18oJ0iwL90S02iBUsxvYwSQWQvo74Y8_b","Comida para dormir bien")</f>
        <v>Comida para dormir bien</v>
      </c>
    </row>
    <row r="17">
      <c r="A17" s="1" t="str">
        <f t="shared" si="8"/>
        <v>Cómo dormir mejor con ansiedad</v>
      </c>
      <c r="B17" s="1" t="str">
        <f t="shared" si="7"/>
        <v>https://drive.google.com/drive/folders/18oJ0iwL90S02iBUsxvYwSQWQvo74Y8_b</v>
      </c>
      <c r="C17" s="1" t="str">
        <f>HYPERLINK("https://drive.google.com/drive/folders/18oJ0iwL90S02iBUsxvYwSQWQvo74Y8_b","Consejos sobre cómo dormir toda la noche")</f>
        <v>Consejos sobre cómo dormir toda la noche</v>
      </c>
    </row>
    <row r="18">
      <c r="A18" s="1" t="str">
        <f t="shared" si="8"/>
        <v>Cómo dormir mejor con ansiedad</v>
      </c>
      <c r="B18" s="1" t="str">
        <f t="shared" si="7"/>
        <v>https://drive.google.com/drive/folders/18oJ0iwL90S02iBUsxvYwSQWQvo74Y8_b</v>
      </c>
      <c r="C18" s="1" t="str">
        <f>HYPERLINK("https://drive.google.com/drive/folders/18oJ0iwL90S02iBUsxvYwSQWQvo74Y8_b","Cómo dormir mejor y más rápido")</f>
        <v>Cómo dormir mejor y más rápido</v>
      </c>
    </row>
    <row r="19">
      <c r="A19" s="1" t="str">
        <f t="shared" ref="A19:A21" si="9">HYPERLINK("https://drive.google.com/drive/folders/18oJ0iwL90S02iBUsxvYwSQWQvo74Y8_b","Remedios caseros para dormir bien")</f>
        <v>Remedios caseros para dormir bien</v>
      </c>
      <c r="B19" s="1" t="str">
        <f t="shared" si="7"/>
        <v>https://drive.google.com/drive/folders/18oJ0iwL90S02iBUsxvYwSQWQvo74Y8_b</v>
      </c>
      <c r="C19" s="1" t="str">
        <f>HYPERLINK("https://drive.google.com/drive/folders/18oJ0iwL90S02iBUsxvYwSQWQvo74Y8_b","Comida para dormir bien")</f>
        <v>Comida para dormir bien</v>
      </c>
    </row>
    <row r="20">
      <c r="A20" s="1" t="str">
        <f t="shared" si="9"/>
        <v>Remedios caseros para dormir bien</v>
      </c>
      <c r="B20" s="1" t="str">
        <f t="shared" si="7"/>
        <v>https://drive.google.com/drive/folders/18oJ0iwL90S02iBUsxvYwSQWQvo74Y8_b</v>
      </c>
      <c r="C20" s="1" t="str">
        <f>HYPERLINK("https://drive.google.com/drive/folders/18oJ0iwL90S02iBUsxvYwSQWQvo74Y8_b","Consejos sobre cómo dormir toda la noche")</f>
        <v>Consejos sobre cómo dormir toda la noche</v>
      </c>
    </row>
    <row r="21">
      <c r="A21" s="1" t="str">
        <f t="shared" si="9"/>
        <v>Remedios caseros para dormir bien</v>
      </c>
      <c r="B21" s="1" t="str">
        <f t="shared" si="7"/>
        <v>https://drive.google.com/drive/folders/18oJ0iwL90S02iBUsxvYwSQWQvo74Y8_b</v>
      </c>
      <c r="C21" s="1" t="str">
        <f>HYPERLINK("https://drive.google.com/drive/folders/18oJ0iwL90S02iBUsxvYwSQWQvo74Y8_b","Cómo dormir mejor y más rápido")</f>
        <v>Cómo dormir mejor y más rápido</v>
      </c>
    </row>
    <row r="22">
      <c r="A22" s="1" t="str">
        <f t="shared" ref="A22:A24" si="10">HYPERLINK("https://drive.google.com/drive/folders/18oJ0iwL90S02iBUsxvYwSQWQvo74Y8_b","Cómo dormir mejor por la noche naturalmente")</f>
        <v>Cómo dormir mejor por la noche naturalmente</v>
      </c>
      <c r="B22" s="1" t="str">
        <f t="shared" si="7"/>
        <v>https://drive.google.com/drive/folders/18oJ0iwL90S02iBUsxvYwSQWQvo74Y8_b</v>
      </c>
      <c r="C22" s="1" t="str">
        <f>HYPERLINK("https://drive.google.com/drive/folders/18oJ0iwL90S02iBUsxvYwSQWQvo74Y8_b","Comida para dormir bien")</f>
        <v>Comida para dormir bien</v>
      </c>
    </row>
    <row r="23">
      <c r="A23" s="1" t="str">
        <f t="shared" si="10"/>
        <v>Cómo dormir mejor por la noche naturalmente</v>
      </c>
      <c r="B23" s="1" t="str">
        <f t="shared" si="7"/>
        <v>https://drive.google.com/drive/folders/18oJ0iwL90S02iBUsxvYwSQWQvo74Y8_b</v>
      </c>
      <c r="C23" s="1" t="str">
        <f>HYPERLINK("https://drive.google.com/drive/folders/18oJ0iwL90S02iBUsxvYwSQWQvo74Y8_b","Consejos sobre cómo dormir toda la noche")</f>
        <v>Consejos sobre cómo dormir toda la noche</v>
      </c>
    </row>
    <row r="24">
      <c r="A24" s="1" t="str">
        <f t="shared" si="10"/>
        <v>Cómo dormir mejor por la noche naturalmente</v>
      </c>
      <c r="B24" s="1" t="str">
        <f t="shared" si="7"/>
        <v>https://drive.google.com/drive/folders/18oJ0iwL90S02iBUsxvYwSQWQvo74Y8_b</v>
      </c>
      <c r="C24" s="1" t="str">
        <f>HYPERLINK("https://drive.google.com/drive/folders/18oJ0iwL90S02iBUsxvYwSQWQvo74Y8_b","Cómo dormir mejor y más rápido")</f>
        <v>Cómo dormir mejor y más rápido</v>
      </c>
    </row>
    <row r="25">
      <c r="A25" s="1" t="str">
        <f t="shared" ref="A25:A27" si="11">HYPERLINK("https://docs.google.com/spreadsheets/d/1j-QEkMYOxuTGuo_U6EdF5EcoozWqrWhO-bTT-io0hXQ","Cómo dormir en 5 minutos")</f>
        <v>Cómo dormir en 5 minutos</v>
      </c>
      <c r="B25" s="1" t="str">
        <f t="shared" ref="B25:B36" si="12">HYPERLINK("https://docs.google.com/spreadsheets/d/1j-QEkMYOxuTGuo_U6EdF5EcoozWqrWhO-bTT-io0hXQ","https://docs.google.com/spreadsheets/d/1j-QEkMYOxuTGuo_U6EdF5EcoozWqrWhO-bTT-io0hXQ")</f>
        <v>https://docs.google.com/spreadsheets/d/1j-QEkMYOxuTGuo_U6EdF5EcoozWqrWhO-bTT-io0hXQ</v>
      </c>
      <c r="C25" s="1" t="str">
        <f>HYPERLINK("https://docs.google.com/spreadsheets/d/1j-QEkMYOxuTGuo_U6EdF5EcoozWqrWhO-bTT-io0hXQ","Comida para dormir bien")</f>
        <v>Comida para dormir bien</v>
      </c>
    </row>
    <row r="26">
      <c r="A26" s="1" t="str">
        <f t="shared" si="11"/>
        <v>Cómo dormir en 5 minutos</v>
      </c>
      <c r="B26" s="1" t="str">
        <f t="shared" si="12"/>
        <v>https://docs.google.com/spreadsheets/d/1j-QEkMYOxuTGuo_U6EdF5EcoozWqrWhO-bTT-io0hXQ</v>
      </c>
      <c r="C26" s="1" t="str">
        <f>HYPERLINK("https://docs.google.com/spreadsheets/d/1j-QEkMYOxuTGuo_U6EdF5EcoozWqrWhO-bTT-io0hXQ","Consejos sobre cómo dormir toda la noche")</f>
        <v>Consejos sobre cómo dormir toda la noche</v>
      </c>
    </row>
    <row r="27">
      <c r="A27" s="1" t="str">
        <f t="shared" si="11"/>
        <v>Cómo dormir en 5 minutos</v>
      </c>
      <c r="B27" s="1" t="str">
        <f t="shared" si="12"/>
        <v>https://docs.google.com/spreadsheets/d/1j-QEkMYOxuTGuo_U6EdF5EcoozWqrWhO-bTT-io0hXQ</v>
      </c>
      <c r="C27" s="1" t="str">
        <f>HYPERLINK("https://docs.google.com/spreadsheets/d/1j-QEkMYOxuTGuo_U6EdF5EcoozWqrWhO-bTT-io0hXQ","Cómo dormir mejor y más rápido")</f>
        <v>Cómo dormir mejor y más rápido</v>
      </c>
    </row>
    <row r="28">
      <c r="A28" s="1" t="str">
        <f t="shared" ref="A28:A30" si="13">HYPERLINK("https://docs.google.com/spreadsheets/d/1j-QEkMYOxuTGuo_U6EdF5EcoozWqrWhO-bTT-io0hXQ","Cómo dormir mejor con ansiedad")</f>
        <v>Cómo dormir mejor con ansiedad</v>
      </c>
      <c r="B28" s="1" t="str">
        <f t="shared" si="12"/>
        <v>https://docs.google.com/spreadsheets/d/1j-QEkMYOxuTGuo_U6EdF5EcoozWqrWhO-bTT-io0hXQ</v>
      </c>
      <c r="C28" s="1" t="str">
        <f>HYPERLINK("https://docs.google.com/spreadsheets/d/1j-QEkMYOxuTGuo_U6EdF5EcoozWqrWhO-bTT-io0hXQ","Comida para dormir bien")</f>
        <v>Comida para dormir bien</v>
      </c>
    </row>
    <row r="29">
      <c r="A29" s="1" t="str">
        <f t="shared" si="13"/>
        <v>Cómo dormir mejor con ansiedad</v>
      </c>
      <c r="B29" s="1" t="str">
        <f t="shared" si="12"/>
        <v>https://docs.google.com/spreadsheets/d/1j-QEkMYOxuTGuo_U6EdF5EcoozWqrWhO-bTT-io0hXQ</v>
      </c>
      <c r="C29" s="1" t="str">
        <f>HYPERLINK("https://docs.google.com/spreadsheets/d/1j-QEkMYOxuTGuo_U6EdF5EcoozWqrWhO-bTT-io0hXQ","Consejos sobre cómo dormir toda la noche")</f>
        <v>Consejos sobre cómo dormir toda la noche</v>
      </c>
    </row>
    <row r="30">
      <c r="A30" s="1" t="str">
        <f t="shared" si="13"/>
        <v>Cómo dormir mejor con ansiedad</v>
      </c>
      <c r="B30" s="1" t="str">
        <f t="shared" si="12"/>
        <v>https://docs.google.com/spreadsheets/d/1j-QEkMYOxuTGuo_U6EdF5EcoozWqrWhO-bTT-io0hXQ</v>
      </c>
      <c r="C30" s="1" t="str">
        <f>HYPERLINK("https://docs.google.com/spreadsheets/d/1j-QEkMYOxuTGuo_U6EdF5EcoozWqrWhO-bTT-io0hXQ","Cómo dormir mejor y más rápido")</f>
        <v>Cómo dormir mejor y más rápido</v>
      </c>
    </row>
    <row r="31">
      <c r="A31" s="1" t="str">
        <f t="shared" ref="A31:A33" si="14">HYPERLINK("https://docs.google.com/spreadsheets/d/1j-QEkMYOxuTGuo_U6EdF5EcoozWqrWhO-bTT-io0hXQ","Remedios caseros para dormir bien")</f>
        <v>Remedios caseros para dormir bien</v>
      </c>
      <c r="B31" s="1" t="str">
        <f t="shared" si="12"/>
        <v>https://docs.google.com/spreadsheets/d/1j-QEkMYOxuTGuo_U6EdF5EcoozWqrWhO-bTT-io0hXQ</v>
      </c>
      <c r="C31" s="1" t="str">
        <f>HYPERLINK("https://docs.google.com/spreadsheets/d/1j-QEkMYOxuTGuo_U6EdF5EcoozWqrWhO-bTT-io0hXQ","Comida para dormir bien")</f>
        <v>Comida para dormir bien</v>
      </c>
    </row>
    <row r="32">
      <c r="A32" s="1" t="str">
        <f t="shared" si="14"/>
        <v>Remedios caseros para dormir bien</v>
      </c>
      <c r="B32" s="1" t="str">
        <f t="shared" si="12"/>
        <v>https://docs.google.com/spreadsheets/d/1j-QEkMYOxuTGuo_U6EdF5EcoozWqrWhO-bTT-io0hXQ</v>
      </c>
      <c r="C32" s="1" t="str">
        <f>HYPERLINK("https://docs.google.com/spreadsheets/d/1j-QEkMYOxuTGuo_U6EdF5EcoozWqrWhO-bTT-io0hXQ","Consejos sobre cómo dormir toda la noche")</f>
        <v>Consejos sobre cómo dormir toda la noche</v>
      </c>
    </row>
    <row r="33">
      <c r="A33" s="1" t="str">
        <f t="shared" si="14"/>
        <v>Remedios caseros para dormir bien</v>
      </c>
      <c r="B33" s="1" t="str">
        <f t="shared" si="12"/>
        <v>https://docs.google.com/spreadsheets/d/1j-QEkMYOxuTGuo_U6EdF5EcoozWqrWhO-bTT-io0hXQ</v>
      </c>
      <c r="C33" s="1" t="str">
        <f>HYPERLINK("https://docs.google.com/spreadsheets/d/1j-QEkMYOxuTGuo_U6EdF5EcoozWqrWhO-bTT-io0hXQ","Cómo dormir mejor y más rápido")</f>
        <v>Cómo dormir mejor y más rápido</v>
      </c>
    </row>
    <row r="34">
      <c r="A34" s="1" t="str">
        <f t="shared" ref="A34:A36" si="15">HYPERLINK("https://docs.google.com/spreadsheets/d/1j-QEkMYOxuTGuo_U6EdF5EcoozWqrWhO-bTT-io0hXQ","Cómo dormir mejor por la noche naturalmente")</f>
        <v>Cómo dormir mejor por la noche naturalmente</v>
      </c>
      <c r="B34" s="1" t="str">
        <f t="shared" si="12"/>
        <v>https://docs.google.com/spreadsheets/d/1j-QEkMYOxuTGuo_U6EdF5EcoozWqrWhO-bTT-io0hXQ</v>
      </c>
      <c r="C34" s="1" t="str">
        <f>HYPERLINK("https://docs.google.com/spreadsheets/d/1j-QEkMYOxuTGuo_U6EdF5EcoozWqrWhO-bTT-io0hXQ","Comida para dormir bien")</f>
        <v>Comida para dormir bien</v>
      </c>
    </row>
    <row r="35">
      <c r="A35" s="1" t="str">
        <f t="shared" si="15"/>
        <v>Cómo dormir mejor por la noche naturalmente</v>
      </c>
      <c r="B35" s="1" t="str">
        <f t="shared" si="12"/>
        <v>https://docs.google.com/spreadsheets/d/1j-QEkMYOxuTGuo_U6EdF5EcoozWqrWhO-bTT-io0hXQ</v>
      </c>
      <c r="C35" s="1" t="str">
        <f>HYPERLINK("https://docs.google.com/spreadsheets/d/1j-QEkMYOxuTGuo_U6EdF5EcoozWqrWhO-bTT-io0hXQ","Consejos sobre cómo dormir toda la noche")</f>
        <v>Consejos sobre cómo dormir toda la noche</v>
      </c>
    </row>
    <row r="36">
      <c r="A36" s="1" t="str">
        <f t="shared" si="15"/>
        <v>Cómo dormir mejor por la noche naturalmente</v>
      </c>
      <c r="B36" s="1" t="str">
        <f t="shared" si="12"/>
        <v>https://docs.google.com/spreadsheets/d/1j-QEkMYOxuTGuo_U6EdF5EcoozWqrWhO-bTT-io0hXQ</v>
      </c>
      <c r="C36" s="1" t="str">
        <f>HYPERLINK("https://docs.google.com/spreadsheets/d/1j-QEkMYOxuTGuo_U6EdF5EcoozWqrWhO-bTT-io0hXQ","Cómo dormir mejor y más rápido")</f>
        <v>Cómo dormir mejor y más rápido</v>
      </c>
    </row>
    <row r="37">
      <c r="A37" s="1" t="str">
        <f t="shared" ref="A37:A39" si="16">HYPERLINK("https://drive.google.com/drive/folders/1TokvZJYBk_gl99JT5KqTyzeaeJiuP2mm","Cómo dormir en 5 minutos")</f>
        <v>Cómo dormir en 5 minutos</v>
      </c>
      <c r="B37" s="1" t="str">
        <f t="shared" ref="B37:B48" si="17">HYPERLINK("https://drive.google.com/drive/folders/1TokvZJYBk_gl99JT5KqTyzeaeJiuP2mm","https://drive.google.com/drive/folders/1TokvZJYBk_gl99JT5KqTyzeaeJiuP2mm")</f>
        <v>https://drive.google.com/drive/folders/1TokvZJYBk_gl99JT5KqTyzeaeJiuP2mm</v>
      </c>
      <c r="C37" s="1" t="str">
        <f>HYPERLINK("https://drive.google.com/drive/folders/1TokvZJYBk_gl99JT5KqTyzeaeJiuP2mm","Comida para dormir bien")</f>
        <v>Comida para dormir bien</v>
      </c>
    </row>
    <row r="38">
      <c r="A38" s="1" t="str">
        <f t="shared" si="16"/>
        <v>Cómo dormir en 5 minutos</v>
      </c>
      <c r="B38" s="1" t="str">
        <f t="shared" si="17"/>
        <v>https://drive.google.com/drive/folders/1TokvZJYBk_gl99JT5KqTyzeaeJiuP2mm</v>
      </c>
      <c r="C38" s="1" t="str">
        <f>HYPERLINK("https://drive.google.com/drive/folders/1TokvZJYBk_gl99JT5KqTyzeaeJiuP2mm","Consejos sobre cómo dormir toda la noche")</f>
        <v>Consejos sobre cómo dormir toda la noche</v>
      </c>
    </row>
    <row r="39">
      <c r="A39" s="1" t="str">
        <f t="shared" si="16"/>
        <v>Cómo dormir en 5 minutos</v>
      </c>
      <c r="B39" s="1" t="str">
        <f t="shared" si="17"/>
        <v>https://drive.google.com/drive/folders/1TokvZJYBk_gl99JT5KqTyzeaeJiuP2mm</v>
      </c>
      <c r="C39" s="1" t="str">
        <f>HYPERLINK("https://drive.google.com/drive/folders/1TokvZJYBk_gl99JT5KqTyzeaeJiuP2mm","Cómo dormir mejor y más rápido")</f>
        <v>Cómo dormir mejor y más rápido</v>
      </c>
    </row>
    <row r="40">
      <c r="A40" s="1" t="str">
        <f t="shared" ref="A40:A42" si="18">HYPERLINK("https://drive.google.com/drive/folders/1TokvZJYBk_gl99JT5KqTyzeaeJiuP2mm","Cómo dormir mejor con ansiedad")</f>
        <v>Cómo dormir mejor con ansiedad</v>
      </c>
      <c r="B40" s="1" t="str">
        <f t="shared" si="17"/>
        <v>https://drive.google.com/drive/folders/1TokvZJYBk_gl99JT5KqTyzeaeJiuP2mm</v>
      </c>
      <c r="C40" s="1" t="str">
        <f>HYPERLINK("https://drive.google.com/drive/folders/1TokvZJYBk_gl99JT5KqTyzeaeJiuP2mm","Comida para dormir bien")</f>
        <v>Comida para dormir bien</v>
      </c>
    </row>
    <row r="41">
      <c r="A41" s="1" t="str">
        <f t="shared" si="18"/>
        <v>Cómo dormir mejor con ansiedad</v>
      </c>
      <c r="B41" s="1" t="str">
        <f t="shared" si="17"/>
        <v>https://drive.google.com/drive/folders/1TokvZJYBk_gl99JT5KqTyzeaeJiuP2mm</v>
      </c>
      <c r="C41" s="1" t="str">
        <f>HYPERLINK("https://drive.google.com/drive/folders/1TokvZJYBk_gl99JT5KqTyzeaeJiuP2mm","Consejos sobre cómo dormir toda la noche")</f>
        <v>Consejos sobre cómo dormir toda la noche</v>
      </c>
    </row>
    <row r="42">
      <c r="A42" s="1" t="str">
        <f t="shared" si="18"/>
        <v>Cómo dormir mejor con ansiedad</v>
      </c>
      <c r="B42" s="1" t="str">
        <f t="shared" si="17"/>
        <v>https://drive.google.com/drive/folders/1TokvZJYBk_gl99JT5KqTyzeaeJiuP2mm</v>
      </c>
      <c r="C42" s="1" t="str">
        <f>HYPERLINK("https://drive.google.com/drive/folders/1TokvZJYBk_gl99JT5KqTyzeaeJiuP2mm","Cómo dormir mejor y más rápido")</f>
        <v>Cómo dormir mejor y más rápido</v>
      </c>
    </row>
    <row r="43">
      <c r="A43" s="1" t="str">
        <f t="shared" ref="A43:A45" si="19">HYPERLINK("https://drive.google.com/drive/folders/1TokvZJYBk_gl99JT5KqTyzeaeJiuP2mm","Remedios caseros para dormir bien")</f>
        <v>Remedios caseros para dormir bien</v>
      </c>
      <c r="B43" s="1" t="str">
        <f t="shared" si="17"/>
        <v>https://drive.google.com/drive/folders/1TokvZJYBk_gl99JT5KqTyzeaeJiuP2mm</v>
      </c>
      <c r="C43" s="1" t="str">
        <f>HYPERLINK("https://drive.google.com/drive/folders/1TokvZJYBk_gl99JT5KqTyzeaeJiuP2mm","Comida para dormir bien")</f>
        <v>Comida para dormir bien</v>
      </c>
    </row>
    <row r="44">
      <c r="A44" s="1" t="str">
        <f t="shared" si="19"/>
        <v>Remedios caseros para dormir bien</v>
      </c>
      <c r="B44" s="1" t="str">
        <f t="shared" si="17"/>
        <v>https://drive.google.com/drive/folders/1TokvZJYBk_gl99JT5KqTyzeaeJiuP2mm</v>
      </c>
      <c r="C44" s="1" t="str">
        <f>HYPERLINK("https://drive.google.com/drive/folders/1TokvZJYBk_gl99JT5KqTyzeaeJiuP2mm","Consejos sobre cómo dormir toda la noche")</f>
        <v>Consejos sobre cómo dormir toda la noche</v>
      </c>
    </row>
    <row r="45">
      <c r="A45" s="1" t="str">
        <f t="shared" si="19"/>
        <v>Remedios caseros para dormir bien</v>
      </c>
      <c r="B45" s="1" t="str">
        <f t="shared" si="17"/>
        <v>https://drive.google.com/drive/folders/1TokvZJYBk_gl99JT5KqTyzeaeJiuP2mm</v>
      </c>
      <c r="C45" s="1" t="str">
        <f>HYPERLINK("https://drive.google.com/drive/folders/1TokvZJYBk_gl99JT5KqTyzeaeJiuP2mm","Cómo dormir mejor y más rápido")</f>
        <v>Cómo dormir mejor y más rápido</v>
      </c>
    </row>
    <row r="46">
      <c r="A46" s="1" t="str">
        <f t="shared" ref="A46:A48" si="20">HYPERLINK("https://drive.google.com/drive/folders/1TokvZJYBk_gl99JT5KqTyzeaeJiuP2mm","Cómo dormir mejor por la noche naturalmente")</f>
        <v>Cómo dormir mejor por la noche naturalmente</v>
      </c>
      <c r="B46" s="1" t="str">
        <f t="shared" si="17"/>
        <v>https://drive.google.com/drive/folders/1TokvZJYBk_gl99JT5KqTyzeaeJiuP2mm</v>
      </c>
      <c r="C46" s="1" t="str">
        <f>HYPERLINK("https://drive.google.com/drive/folders/1TokvZJYBk_gl99JT5KqTyzeaeJiuP2mm","Comida para dormir bien")</f>
        <v>Comida para dormir bien</v>
      </c>
    </row>
    <row r="47">
      <c r="A47" s="1" t="str">
        <f t="shared" si="20"/>
        <v>Cómo dormir mejor por la noche naturalmente</v>
      </c>
      <c r="B47" s="1" t="str">
        <f t="shared" si="17"/>
        <v>https://drive.google.com/drive/folders/1TokvZJYBk_gl99JT5KqTyzeaeJiuP2mm</v>
      </c>
      <c r="C47" s="1" t="str">
        <f>HYPERLINK("https://drive.google.com/drive/folders/1TokvZJYBk_gl99JT5KqTyzeaeJiuP2mm","Consejos sobre cómo dormir toda la noche")</f>
        <v>Consejos sobre cómo dormir toda la noche</v>
      </c>
    </row>
    <row r="48">
      <c r="A48" s="1" t="str">
        <f t="shared" si="20"/>
        <v>Cómo dormir mejor por la noche naturalmente</v>
      </c>
      <c r="B48" s="1" t="str">
        <f t="shared" si="17"/>
        <v>https://drive.google.com/drive/folders/1TokvZJYBk_gl99JT5KqTyzeaeJiuP2mm</v>
      </c>
      <c r="C48" s="1" t="str">
        <f>HYPERLINK("https://drive.google.com/drive/folders/1TokvZJYBk_gl99JT5KqTyzeaeJiuP2mm","Cómo dormir mejor y más rápido")</f>
        <v>Cómo dormir mejor y más rápido</v>
      </c>
    </row>
    <row r="49">
      <c r="A49" s="1" t="str">
        <f t="shared" ref="A49:A51" si="21">HYPERLINK("https://docs.google.com/spreadsheets/d/1gAmwrTNE2EpDzr4M7WpQtQj08HTlXTW7SFk7aXLrvss","Cómo dormir en 5 minutos")</f>
        <v>Cómo dormir en 5 minutos</v>
      </c>
      <c r="B49" s="1" t="str">
        <f t="shared" ref="B49:B60" si="22">HYPERLINK("https://docs.google.com/spreadsheets/d/1gAmwrTNE2EpDzr4M7WpQtQj08HTlXTW7SFk7aXLrvss","https://docs.google.com/spreadsheets/d/1gAmwrTNE2EpDzr4M7WpQtQj08HTlXTW7SFk7aXLrvss")</f>
        <v>https://docs.google.com/spreadsheets/d/1gAmwrTNE2EpDzr4M7WpQtQj08HTlXTW7SFk7aXLrvss</v>
      </c>
      <c r="C49" s="1" t="str">
        <f>HYPERLINK("https://docs.google.com/spreadsheets/d/1gAmwrTNE2EpDzr4M7WpQtQj08HTlXTW7SFk7aXLrvss","Comida para dormir bien")</f>
        <v>Comida para dormir bien</v>
      </c>
    </row>
    <row r="50">
      <c r="A50" s="1" t="str">
        <f t="shared" si="21"/>
        <v>Cómo dormir en 5 minutos</v>
      </c>
      <c r="B50" s="1" t="str">
        <f t="shared" si="22"/>
        <v>https://docs.google.com/spreadsheets/d/1gAmwrTNE2EpDzr4M7WpQtQj08HTlXTW7SFk7aXLrvss</v>
      </c>
      <c r="C50" s="1" t="str">
        <f>HYPERLINK("https://docs.google.com/spreadsheets/d/1gAmwrTNE2EpDzr4M7WpQtQj08HTlXTW7SFk7aXLrvss","Consejos sobre cómo dormir toda la noche")</f>
        <v>Consejos sobre cómo dormir toda la noche</v>
      </c>
    </row>
    <row r="51">
      <c r="A51" s="1" t="str">
        <f t="shared" si="21"/>
        <v>Cómo dormir en 5 minutos</v>
      </c>
      <c r="B51" s="1" t="str">
        <f t="shared" si="22"/>
        <v>https://docs.google.com/spreadsheets/d/1gAmwrTNE2EpDzr4M7WpQtQj08HTlXTW7SFk7aXLrvss</v>
      </c>
      <c r="C51" s="1" t="str">
        <f>HYPERLINK("https://docs.google.com/spreadsheets/d/1gAmwrTNE2EpDzr4M7WpQtQj08HTlXTW7SFk7aXLrvss","Cómo dormir mejor y más rápido")</f>
        <v>Cómo dormir mejor y más rápido</v>
      </c>
    </row>
    <row r="52">
      <c r="A52" s="1" t="str">
        <f t="shared" ref="A52:A54" si="23">HYPERLINK("https://docs.google.com/spreadsheets/d/1gAmwrTNE2EpDzr4M7WpQtQj08HTlXTW7SFk7aXLrvss","Cómo dormir mejor con ansiedad")</f>
        <v>Cómo dormir mejor con ansiedad</v>
      </c>
      <c r="B52" s="1" t="str">
        <f t="shared" si="22"/>
        <v>https://docs.google.com/spreadsheets/d/1gAmwrTNE2EpDzr4M7WpQtQj08HTlXTW7SFk7aXLrvss</v>
      </c>
      <c r="C52" s="1" t="str">
        <f>HYPERLINK("https://docs.google.com/spreadsheets/d/1gAmwrTNE2EpDzr4M7WpQtQj08HTlXTW7SFk7aXLrvss","Comida para dormir bien")</f>
        <v>Comida para dormir bien</v>
      </c>
    </row>
    <row r="53">
      <c r="A53" s="1" t="str">
        <f t="shared" si="23"/>
        <v>Cómo dormir mejor con ansiedad</v>
      </c>
      <c r="B53" s="1" t="str">
        <f t="shared" si="22"/>
        <v>https://docs.google.com/spreadsheets/d/1gAmwrTNE2EpDzr4M7WpQtQj08HTlXTW7SFk7aXLrvss</v>
      </c>
      <c r="C53" s="1" t="str">
        <f>HYPERLINK("https://docs.google.com/spreadsheets/d/1gAmwrTNE2EpDzr4M7WpQtQj08HTlXTW7SFk7aXLrvss","Consejos sobre cómo dormir toda la noche")</f>
        <v>Consejos sobre cómo dormir toda la noche</v>
      </c>
    </row>
    <row r="54">
      <c r="A54" s="1" t="str">
        <f t="shared" si="23"/>
        <v>Cómo dormir mejor con ansiedad</v>
      </c>
      <c r="B54" s="1" t="str">
        <f t="shared" si="22"/>
        <v>https://docs.google.com/spreadsheets/d/1gAmwrTNE2EpDzr4M7WpQtQj08HTlXTW7SFk7aXLrvss</v>
      </c>
      <c r="C54" s="1" t="str">
        <f>HYPERLINK("https://docs.google.com/spreadsheets/d/1gAmwrTNE2EpDzr4M7WpQtQj08HTlXTW7SFk7aXLrvss","Cómo dormir mejor y más rápido")</f>
        <v>Cómo dormir mejor y más rápido</v>
      </c>
    </row>
    <row r="55">
      <c r="A55" s="1" t="str">
        <f t="shared" ref="A55:A57" si="24">HYPERLINK("https://docs.google.com/spreadsheets/d/1gAmwrTNE2EpDzr4M7WpQtQj08HTlXTW7SFk7aXLrvss","Remedios caseros para dormir bien")</f>
        <v>Remedios caseros para dormir bien</v>
      </c>
      <c r="B55" s="1" t="str">
        <f t="shared" si="22"/>
        <v>https://docs.google.com/spreadsheets/d/1gAmwrTNE2EpDzr4M7WpQtQj08HTlXTW7SFk7aXLrvss</v>
      </c>
      <c r="C55" s="1" t="str">
        <f>HYPERLINK("https://docs.google.com/spreadsheets/d/1gAmwrTNE2EpDzr4M7WpQtQj08HTlXTW7SFk7aXLrvss","Comida para dormir bien")</f>
        <v>Comida para dormir bien</v>
      </c>
    </row>
    <row r="56">
      <c r="A56" s="1" t="str">
        <f t="shared" si="24"/>
        <v>Remedios caseros para dormir bien</v>
      </c>
      <c r="B56" s="1" t="str">
        <f t="shared" si="22"/>
        <v>https://docs.google.com/spreadsheets/d/1gAmwrTNE2EpDzr4M7WpQtQj08HTlXTW7SFk7aXLrvss</v>
      </c>
      <c r="C56" s="1" t="str">
        <f>HYPERLINK("https://docs.google.com/spreadsheets/d/1gAmwrTNE2EpDzr4M7WpQtQj08HTlXTW7SFk7aXLrvss","Consejos sobre cómo dormir toda la noche")</f>
        <v>Consejos sobre cómo dormir toda la noche</v>
      </c>
    </row>
    <row r="57">
      <c r="A57" s="1" t="str">
        <f t="shared" si="24"/>
        <v>Remedios caseros para dormir bien</v>
      </c>
      <c r="B57" s="1" t="str">
        <f t="shared" si="22"/>
        <v>https://docs.google.com/spreadsheets/d/1gAmwrTNE2EpDzr4M7WpQtQj08HTlXTW7SFk7aXLrvss</v>
      </c>
      <c r="C57" s="1" t="str">
        <f>HYPERLINK("https://docs.google.com/spreadsheets/d/1gAmwrTNE2EpDzr4M7WpQtQj08HTlXTW7SFk7aXLrvss","Cómo dormir mejor y más rápido")</f>
        <v>Cómo dormir mejor y más rápido</v>
      </c>
    </row>
    <row r="58">
      <c r="A58" s="1" t="str">
        <f t="shared" ref="A58:A60" si="25">HYPERLINK("https://docs.google.com/spreadsheets/d/1gAmwrTNE2EpDzr4M7WpQtQj08HTlXTW7SFk7aXLrvss","Cómo dormir mejor por la noche naturalmente")</f>
        <v>Cómo dormir mejor por la noche naturalmente</v>
      </c>
      <c r="B58" s="1" t="str">
        <f t="shared" si="22"/>
        <v>https://docs.google.com/spreadsheets/d/1gAmwrTNE2EpDzr4M7WpQtQj08HTlXTW7SFk7aXLrvss</v>
      </c>
      <c r="C58" s="1" t="str">
        <f>HYPERLINK("https://docs.google.com/spreadsheets/d/1gAmwrTNE2EpDzr4M7WpQtQj08HTlXTW7SFk7aXLrvss","Comida para dormir bien")</f>
        <v>Comida para dormir bien</v>
      </c>
    </row>
    <row r="59">
      <c r="A59" s="1" t="str">
        <f t="shared" si="25"/>
        <v>Cómo dormir mejor por la noche naturalmente</v>
      </c>
      <c r="B59" s="1" t="str">
        <f t="shared" si="22"/>
        <v>https://docs.google.com/spreadsheets/d/1gAmwrTNE2EpDzr4M7WpQtQj08HTlXTW7SFk7aXLrvss</v>
      </c>
      <c r="C59" s="1" t="str">
        <f>HYPERLINK("https://docs.google.com/spreadsheets/d/1gAmwrTNE2EpDzr4M7WpQtQj08HTlXTW7SFk7aXLrvss","Consejos sobre cómo dormir toda la noche")</f>
        <v>Consejos sobre cómo dormir toda la noche</v>
      </c>
    </row>
    <row r="60">
      <c r="A60" s="1" t="str">
        <f t="shared" si="25"/>
        <v>Cómo dormir mejor por la noche naturalmente</v>
      </c>
      <c r="B60" s="1" t="str">
        <f t="shared" si="22"/>
        <v>https://docs.google.com/spreadsheets/d/1gAmwrTNE2EpDzr4M7WpQtQj08HTlXTW7SFk7aXLrvss</v>
      </c>
      <c r="C60" s="1" t="str">
        <f>HYPERLINK("https://docs.google.com/spreadsheets/d/1gAmwrTNE2EpDzr4M7WpQtQj08HTlXTW7SFk7aXLrvss","Cómo dormir mejor y más rápido")</f>
        <v>Cómo dormir mejor y más rápido</v>
      </c>
    </row>
    <row r="61">
      <c r="A61" s="1" t="str">
        <f t="shared" ref="A61:A63" si="26">HYPERLINK("https://docs.google.com/spreadsheets/d/1PhVpWWYCwQHdGBpfMQ2QAj2j4R9rcdRt5-D60QaIk9g","Cómo dormir en 5 minutos")</f>
        <v>Cómo dormir en 5 minutos</v>
      </c>
      <c r="B61" s="1" t="str">
        <f t="shared" ref="B61:B72" si="27">HYPERLINK("https://docs.google.com/spreadsheets/d/1PhVpWWYCwQHdGBpfMQ2QAj2j4R9rcdRt5-D60QaIk9g","https://docs.google.com/spreadsheets/d/1PhVpWWYCwQHdGBpfMQ2QAj2j4R9rcdRt5-D60QaIk9g")</f>
        <v>https://docs.google.com/spreadsheets/d/1PhVpWWYCwQHdGBpfMQ2QAj2j4R9rcdRt5-D60QaIk9g</v>
      </c>
      <c r="C61" s="1" t="str">
        <f>HYPERLINK("https://docs.google.com/spreadsheets/d/1PhVpWWYCwQHdGBpfMQ2QAj2j4R9rcdRt5-D60QaIk9g","Comida para dormir bien")</f>
        <v>Comida para dormir bien</v>
      </c>
    </row>
    <row r="62">
      <c r="A62" s="1" t="str">
        <f t="shared" si="26"/>
        <v>Cómo dormir en 5 minutos</v>
      </c>
      <c r="B62" s="1" t="str">
        <f t="shared" si="27"/>
        <v>https://docs.google.com/spreadsheets/d/1PhVpWWYCwQHdGBpfMQ2QAj2j4R9rcdRt5-D60QaIk9g</v>
      </c>
      <c r="C62" s="1" t="str">
        <f>HYPERLINK("https://docs.google.com/spreadsheets/d/1PhVpWWYCwQHdGBpfMQ2QAj2j4R9rcdRt5-D60QaIk9g","Consejos sobre cómo dormir toda la noche")</f>
        <v>Consejos sobre cómo dormir toda la noche</v>
      </c>
    </row>
    <row r="63">
      <c r="A63" s="1" t="str">
        <f t="shared" si="26"/>
        <v>Cómo dormir en 5 minutos</v>
      </c>
      <c r="B63" s="1" t="str">
        <f t="shared" si="27"/>
        <v>https://docs.google.com/spreadsheets/d/1PhVpWWYCwQHdGBpfMQ2QAj2j4R9rcdRt5-D60QaIk9g</v>
      </c>
      <c r="C63" s="1" t="str">
        <f>HYPERLINK("https://docs.google.com/spreadsheets/d/1PhVpWWYCwQHdGBpfMQ2QAj2j4R9rcdRt5-D60QaIk9g","Cómo dormir mejor y más rápido")</f>
        <v>Cómo dormir mejor y más rápido</v>
      </c>
    </row>
    <row r="64">
      <c r="A64" s="1" t="str">
        <f t="shared" ref="A64:A66" si="28">HYPERLINK("https://docs.google.com/spreadsheets/d/1PhVpWWYCwQHdGBpfMQ2QAj2j4R9rcdRt5-D60QaIk9g","Cómo dormir mejor con ansiedad")</f>
        <v>Cómo dormir mejor con ansiedad</v>
      </c>
      <c r="B64" s="1" t="str">
        <f t="shared" si="27"/>
        <v>https://docs.google.com/spreadsheets/d/1PhVpWWYCwQHdGBpfMQ2QAj2j4R9rcdRt5-D60QaIk9g</v>
      </c>
      <c r="C64" s="1" t="str">
        <f>HYPERLINK("https://docs.google.com/spreadsheets/d/1PhVpWWYCwQHdGBpfMQ2QAj2j4R9rcdRt5-D60QaIk9g","Comida para dormir bien")</f>
        <v>Comida para dormir bien</v>
      </c>
    </row>
    <row r="65">
      <c r="A65" s="1" t="str">
        <f t="shared" si="28"/>
        <v>Cómo dormir mejor con ansiedad</v>
      </c>
      <c r="B65" s="1" t="str">
        <f t="shared" si="27"/>
        <v>https://docs.google.com/spreadsheets/d/1PhVpWWYCwQHdGBpfMQ2QAj2j4R9rcdRt5-D60QaIk9g</v>
      </c>
      <c r="C65" s="1" t="str">
        <f>HYPERLINK("https://docs.google.com/spreadsheets/d/1PhVpWWYCwQHdGBpfMQ2QAj2j4R9rcdRt5-D60QaIk9g","Consejos sobre cómo dormir toda la noche")</f>
        <v>Consejos sobre cómo dormir toda la noche</v>
      </c>
    </row>
    <row r="66">
      <c r="A66" s="1" t="str">
        <f t="shared" si="28"/>
        <v>Cómo dormir mejor con ansiedad</v>
      </c>
      <c r="B66" s="1" t="str">
        <f t="shared" si="27"/>
        <v>https://docs.google.com/spreadsheets/d/1PhVpWWYCwQHdGBpfMQ2QAj2j4R9rcdRt5-D60QaIk9g</v>
      </c>
      <c r="C66" s="1" t="str">
        <f>HYPERLINK("https://docs.google.com/spreadsheets/d/1PhVpWWYCwQHdGBpfMQ2QAj2j4R9rcdRt5-D60QaIk9g","Cómo dormir mejor y más rápido")</f>
        <v>Cómo dormir mejor y más rápido</v>
      </c>
    </row>
    <row r="67">
      <c r="A67" s="1" t="str">
        <f t="shared" ref="A67:A69" si="29">HYPERLINK("https://docs.google.com/spreadsheets/d/1PhVpWWYCwQHdGBpfMQ2QAj2j4R9rcdRt5-D60QaIk9g","Remedios caseros para dormir bien")</f>
        <v>Remedios caseros para dormir bien</v>
      </c>
      <c r="B67" s="1" t="str">
        <f t="shared" si="27"/>
        <v>https://docs.google.com/spreadsheets/d/1PhVpWWYCwQHdGBpfMQ2QAj2j4R9rcdRt5-D60QaIk9g</v>
      </c>
      <c r="C67" s="1" t="str">
        <f>HYPERLINK("https://docs.google.com/spreadsheets/d/1PhVpWWYCwQHdGBpfMQ2QAj2j4R9rcdRt5-D60QaIk9g","Comida para dormir bien")</f>
        <v>Comida para dormir bien</v>
      </c>
    </row>
    <row r="68">
      <c r="A68" s="1" t="str">
        <f t="shared" si="29"/>
        <v>Remedios caseros para dormir bien</v>
      </c>
      <c r="B68" s="1" t="str">
        <f t="shared" si="27"/>
        <v>https://docs.google.com/spreadsheets/d/1PhVpWWYCwQHdGBpfMQ2QAj2j4R9rcdRt5-D60QaIk9g</v>
      </c>
      <c r="C68" s="1" t="str">
        <f>HYPERLINK("https://docs.google.com/spreadsheets/d/1PhVpWWYCwQHdGBpfMQ2QAj2j4R9rcdRt5-D60QaIk9g","Consejos sobre cómo dormir toda la noche")</f>
        <v>Consejos sobre cómo dormir toda la noche</v>
      </c>
    </row>
    <row r="69">
      <c r="A69" s="1" t="str">
        <f t="shared" si="29"/>
        <v>Remedios caseros para dormir bien</v>
      </c>
      <c r="B69" s="1" t="str">
        <f t="shared" si="27"/>
        <v>https://docs.google.com/spreadsheets/d/1PhVpWWYCwQHdGBpfMQ2QAj2j4R9rcdRt5-D60QaIk9g</v>
      </c>
      <c r="C69" s="1" t="str">
        <f>HYPERLINK("https://docs.google.com/spreadsheets/d/1PhVpWWYCwQHdGBpfMQ2QAj2j4R9rcdRt5-D60QaIk9g","Cómo dormir mejor y más rápido")</f>
        <v>Cómo dormir mejor y más rápido</v>
      </c>
    </row>
    <row r="70">
      <c r="A70" s="1" t="str">
        <f t="shared" ref="A70:A72" si="30">HYPERLINK("https://docs.google.com/spreadsheets/d/1PhVpWWYCwQHdGBpfMQ2QAj2j4R9rcdRt5-D60QaIk9g","Cómo dormir mejor por la noche naturalmente")</f>
        <v>Cómo dormir mejor por la noche naturalmente</v>
      </c>
      <c r="B70" s="1" t="str">
        <f t="shared" si="27"/>
        <v>https://docs.google.com/spreadsheets/d/1PhVpWWYCwQHdGBpfMQ2QAj2j4R9rcdRt5-D60QaIk9g</v>
      </c>
      <c r="C70" s="1" t="str">
        <f>HYPERLINK("https://docs.google.com/spreadsheets/d/1PhVpWWYCwQHdGBpfMQ2QAj2j4R9rcdRt5-D60QaIk9g","Comida para dormir bien")</f>
        <v>Comida para dormir bien</v>
      </c>
    </row>
    <row r="71">
      <c r="A71" s="1" t="str">
        <f t="shared" si="30"/>
        <v>Cómo dormir mejor por la noche naturalmente</v>
      </c>
      <c r="B71" s="1" t="str">
        <f t="shared" si="27"/>
        <v>https://docs.google.com/spreadsheets/d/1PhVpWWYCwQHdGBpfMQ2QAj2j4R9rcdRt5-D60QaIk9g</v>
      </c>
      <c r="C71" s="1" t="str">
        <f>HYPERLINK("https://docs.google.com/spreadsheets/d/1PhVpWWYCwQHdGBpfMQ2QAj2j4R9rcdRt5-D60QaIk9g","Consejos sobre cómo dormir toda la noche")</f>
        <v>Consejos sobre cómo dormir toda la noche</v>
      </c>
    </row>
    <row r="72">
      <c r="A72" s="1" t="str">
        <f t="shared" si="30"/>
        <v>Cómo dormir mejor por la noche naturalmente</v>
      </c>
      <c r="B72" s="1" t="str">
        <f t="shared" si="27"/>
        <v>https://docs.google.com/spreadsheets/d/1PhVpWWYCwQHdGBpfMQ2QAj2j4R9rcdRt5-D60QaIk9g</v>
      </c>
      <c r="C72" s="1" t="str">
        <f>HYPERLINK("https://docs.google.com/spreadsheets/d/1PhVpWWYCwQHdGBpfMQ2QAj2j4R9rcdRt5-D60QaIk9g","Cómo dormir mejor y más rápido")</f>
        <v>Cómo dormir mejor y más rápido</v>
      </c>
    </row>
    <row r="73">
      <c r="A73" s="1" t="str">
        <f t="shared" ref="A73:A75" si="31">HYPERLINK("https://docs.google.com/spreadsheets/d/1MYWDqemnqgZBqbrzu3nglPvv6HVXHlqtYYneTI6GQ64","Cómo dormir en 5 minutos")</f>
        <v>Cómo dormir en 5 minutos</v>
      </c>
      <c r="B73" s="1" t="str">
        <f t="shared" ref="B73:B84" si="32">HYPERLINK("https://docs.google.com/spreadsheets/d/1MYWDqemnqgZBqbrzu3nglPvv6HVXHlqtYYneTI6GQ64","https://docs.google.com/spreadsheets/d/1MYWDqemnqgZBqbrzu3nglPvv6HVXHlqtYYneTI6GQ64")</f>
        <v>https://docs.google.com/spreadsheets/d/1MYWDqemnqgZBqbrzu3nglPvv6HVXHlqtYYneTI6GQ64</v>
      </c>
      <c r="C73" s="1" t="str">
        <f>HYPERLINK("https://docs.google.com/spreadsheets/d/1MYWDqemnqgZBqbrzu3nglPvv6HVXHlqtYYneTI6GQ64","Comida para dormir bien")</f>
        <v>Comida para dormir bien</v>
      </c>
    </row>
    <row r="74">
      <c r="A74" s="1" t="str">
        <f t="shared" si="31"/>
        <v>Cómo dormir en 5 minutos</v>
      </c>
      <c r="B74" s="1" t="str">
        <f t="shared" si="32"/>
        <v>https://docs.google.com/spreadsheets/d/1MYWDqemnqgZBqbrzu3nglPvv6HVXHlqtYYneTI6GQ64</v>
      </c>
      <c r="C74" s="1" t="str">
        <f>HYPERLINK("https://docs.google.com/spreadsheets/d/1MYWDqemnqgZBqbrzu3nglPvv6HVXHlqtYYneTI6GQ64","Consejos sobre cómo dormir toda la noche")</f>
        <v>Consejos sobre cómo dormir toda la noche</v>
      </c>
    </row>
    <row r="75">
      <c r="A75" s="1" t="str">
        <f t="shared" si="31"/>
        <v>Cómo dormir en 5 minutos</v>
      </c>
      <c r="B75" s="1" t="str">
        <f t="shared" si="32"/>
        <v>https://docs.google.com/spreadsheets/d/1MYWDqemnqgZBqbrzu3nglPvv6HVXHlqtYYneTI6GQ64</v>
      </c>
      <c r="C75" s="1" t="str">
        <f>HYPERLINK("https://docs.google.com/spreadsheets/d/1MYWDqemnqgZBqbrzu3nglPvv6HVXHlqtYYneTI6GQ64","Cómo dormir mejor y más rápido")</f>
        <v>Cómo dormir mejor y más rápido</v>
      </c>
    </row>
    <row r="76">
      <c r="A76" s="1" t="str">
        <f t="shared" ref="A76:A78" si="33">HYPERLINK("https://docs.google.com/spreadsheets/d/1MYWDqemnqgZBqbrzu3nglPvv6HVXHlqtYYneTI6GQ64","Cómo dormir mejor con ansiedad")</f>
        <v>Cómo dormir mejor con ansiedad</v>
      </c>
      <c r="B76" s="1" t="str">
        <f t="shared" si="32"/>
        <v>https://docs.google.com/spreadsheets/d/1MYWDqemnqgZBqbrzu3nglPvv6HVXHlqtYYneTI6GQ64</v>
      </c>
      <c r="C76" s="1" t="str">
        <f>HYPERLINK("https://docs.google.com/spreadsheets/d/1MYWDqemnqgZBqbrzu3nglPvv6HVXHlqtYYneTI6GQ64","Comida para dormir bien")</f>
        <v>Comida para dormir bien</v>
      </c>
    </row>
    <row r="77">
      <c r="A77" s="1" t="str">
        <f t="shared" si="33"/>
        <v>Cómo dormir mejor con ansiedad</v>
      </c>
      <c r="B77" s="1" t="str">
        <f t="shared" si="32"/>
        <v>https://docs.google.com/spreadsheets/d/1MYWDqemnqgZBqbrzu3nglPvv6HVXHlqtYYneTI6GQ64</v>
      </c>
      <c r="C77" s="1" t="str">
        <f>HYPERLINK("https://docs.google.com/spreadsheets/d/1MYWDqemnqgZBqbrzu3nglPvv6HVXHlqtYYneTI6GQ64","Consejos sobre cómo dormir toda la noche")</f>
        <v>Consejos sobre cómo dormir toda la noche</v>
      </c>
    </row>
    <row r="78">
      <c r="A78" s="1" t="str">
        <f t="shared" si="33"/>
        <v>Cómo dormir mejor con ansiedad</v>
      </c>
      <c r="B78" s="1" t="str">
        <f t="shared" si="32"/>
        <v>https://docs.google.com/spreadsheets/d/1MYWDqemnqgZBqbrzu3nglPvv6HVXHlqtYYneTI6GQ64</v>
      </c>
      <c r="C78" s="1" t="str">
        <f>HYPERLINK("https://docs.google.com/spreadsheets/d/1MYWDqemnqgZBqbrzu3nglPvv6HVXHlqtYYneTI6GQ64","Cómo dormir mejor y más rápido")</f>
        <v>Cómo dormir mejor y más rápido</v>
      </c>
    </row>
    <row r="79">
      <c r="A79" s="1" t="str">
        <f t="shared" ref="A79:A81" si="34">HYPERLINK("https://docs.google.com/spreadsheets/d/1MYWDqemnqgZBqbrzu3nglPvv6HVXHlqtYYneTI6GQ64","Remedios caseros para dormir bien")</f>
        <v>Remedios caseros para dormir bien</v>
      </c>
      <c r="B79" s="1" t="str">
        <f t="shared" si="32"/>
        <v>https://docs.google.com/spreadsheets/d/1MYWDqemnqgZBqbrzu3nglPvv6HVXHlqtYYneTI6GQ64</v>
      </c>
      <c r="C79" s="1" t="str">
        <f>HYPERLINK("https://docs.google.com/spreadsheets/d/1MYWDqemnqgZBqbrzu3nglPvv6HVXHlqtYYneTI6GQ64","Comida para dormir bien")</f>
        <v>Comida para dormir bien</v>
      </c>
    </row>
    <row r="80">
      <c r="A80" s="1" t="str">
        <f t="shared" si="34"/>
        <v>Remedios caseros para dormir bien</v>
      </c>
      <c r="B80" s="1" t="str">
        <f t="shared" si="32"/>
        <v>https://docs.google.com/spreadsheets/d/1MYWDqemnqgZBqbrzu3nglPvv6HVXHlqtYYneTI6GQ64</v>
      </c>
      <c r="C80" s="1" t="str">
        <f>HYPERLINK("https://docs.google.com/spreadsheets/d/1MYWDqemnqgZBqbrzu3nglPvv6HVXHlqtYYneTI6GQ64","Consejos sobre cómo dormir toda la noche")</f>
        <v>Consejos sobre cómo dormir toda la noche</v>
      </c>
    </row>
    <row r="81">
      <c r="A81" s="1" t="str">
        <f t="shared" si="34"/>
        <v>Remedios caseros para dormir bien</v>
      </c>
      <c r="B81" s="1" t="str">
        <f t="shared" si="32"/>
        <v>https://docs.google.com/spreadsheets/d/1MYWDqemnqgZBqbrzu3nglPvv6HVXHlqtYYneTI6GQ64</v>
      </c>
      <c r="C81" s="1" t="str">
        <f>HYPERLINK("https://docs.google.com/spreadsheets/d/1MYWDqemnqgZBqbrzu3nglPvv6HVXHlqtYYneTI6GQ64","Cómo dormir mejor y más rápido")</f>
        <v>Cómo dormir mejor y más rápido</v>
      </c>
    </row>
    <row r="82">
      <c r="A82" s="1" t="str">
        <f t="shared" ref="A82:A84" si="35">HYPERLINK("https://docs.google.com/spreadsheets/d/1MYWDqemnqgZBqbrzu3nglPvv6HVXHlqtYYneTI6GQ64","Cómo dormir mejor por la noche naturalmente")</f>
        <v>Cómo dormir mejor por la noche naturalmente</v>
      </c>
      <c r="B82" s="1" t="str">
        <f t="shared" si="32"/>
        <v>https://docs.google.com/spreadsheets/d/1MYWDqemnqgZBqbrzu3nglPvv6HVXHlqtYYneTI6GQ64</v>
      </c>
      <c r="C82" s="1" t="str">
        <f>HYPERLINK("https://docs.google.com/spreadsheets/d/1MYWDqemnqgZBqbrzu3nglPvv6HVXHlqtYYneTI6GQ64","Comida para dormir bien")</f>
        <v>Comida para dormir bien</v>
      </c>
    </row>
    <row r="83">
      <c r="A83" s="1" t="str">
        <f t="shared" si="35"/>
        <v>Cómo dormir mejor por la noche naturalmente</v>
      </c>
      <c r="B83" s="1" t="str">
        <f t="shared" si="32"/>
        <v>https://docs.google.com/spreadsheets/d/1MYWDqemnqgZBqbrzu3nglPvv6HVXHlqtYYneTI6GQ64</v>
      </c>
      <c r="C83" s="1" t="str">
        <f>HYPERLINK("https://docs.google.com/spreadsheets/d/1MYWDqemnqgZBqbrzu3nglPvv6HVXHlqtYYneTI6GQ64","Consejos sobre cómo dormir toda la noche")</f>
        <v>Consejos sobre cómo dormir toda la noche</v>
      </c>
    </row>
    <row r="84">
      <c r="A84" s="1" t="str">
        <f t="shared" si="35"/>
        <v>Cómo dormir mejor por la noche naturalmente</v>
      </c>
      <c r="B84" s="1" t="str">
        <f t="shared" si="32"/>
        <v>https://docs.google.com/spreadsheets/d/1MYWDqemnqgZBqbrzu3nglPvv6HVXHlqtYYneTI6GQ64</v>
      </c>
      <c r="C84" s="1" t="str">
        <f>HYPERLINK("https://docs.google.com/spreadsheets/d/1MYWDqemnqgZBqbrzu3nglPvv6HVXHlqtYYneTI6GQ64","Cómo dormir mejor y más rápido")</f>
        <v>Cómo dormir mejor y más rápido</v>
      </c>
    </row>
    <row r="85">
      <c r="A85" s="1" t="str">
        <f t="shared" ref="A85:A87" si="36">HYPERLINK("https://docs.google.com/spreadsheets/d/1H4zDanDGTbi4qn2PXT7_kvponP2rHgUrtt37zNcRlZI","Cómo dormir en 5 minutos")</f>
        <v>Cómo dormir en 5 minutos</v>
      </c>
      <c r="B85" s="1" t="str">
        <f t="shared" ref="B85:B96" si="37">HYPERLINK("https://docs.google.com/spreadsheets/d/1H4zDanDGTbi4qn2PXT7_kvponP2rHgUrtt37zNcRlZI","https://docs.google.com/spreadsheets/d/1H4zDanDGTbi4qn2PXT7_kvponP2rHgUrtt37zNcRlZI")</f>
        <v>https://docs.google.com/spreadsheets/d/1H4zDanDGTbi4qn2PXT7_kvponP2rHgUrtt37zNcRlZI</v>
      </c>
      <c r="C85" s="1" t="str">
        <f>HYPERLINK("https://docs.google.com/spreadsheets/d/1H4zDanDGTbi4qn2PXT7_kvponP2rHgUrtt37zNcRlZI","Comida para dormir bien")</f>
        <v>Comida para dormir bien</v>
      </c>
    </row>
    <row r="86">
      <c r="A86" s="1" t="str">
        <f t="shared" si="36"/>
        <v>Cómo dormir en 5 minutos</v>
      </c>
      <c r="B86" s="1" t="str">
        <f t="shared" si="37"/>
        <v>https://docs.google.com/spreadsheets/d/1H4zDanDGTbi4qn2PXT7_kvponP2rHgUrtt37zNcRlZI</v>
      </c>
      <c r="C86" s="1" t="str">
        <f>HYPERLINK("https://docs.google.com/spreadsheets/d/1H4zDanDGTbi4qn2PXT7_kvponP2rHgUrtt37zNcRlZI","Consejos sobre cómo dormir toda la noche")</f>
        <v>Consejos sobre cómo dormir toda la noche</v>
      </c>
    </row>
    <row r="87">
      <c r="A87" s="1" t="str">
        <f t="shared" si="36"/>
        <v>Cómo dormir en 5 minutos</v>
      </c>
      <c r="B87" s="1" t="str">
        <f t="shared" si="37"/>
        <v>https://docs.google.com/spreadsheets/d/1H4zDanDGTbi4qn2PXT7_kvponP2rHgUrtt37zNcRlZI</v>
      </c>
      <c r="C87" s="1" t="str">
        <f>HYPERLINK("https://docs.google.com/spreadsheets/d/1H4zDanDGTbi4qn2PXT7_kvponP2rHgUrtt37zNcRlZI","Cómo dormir mejor y más rápido")</f>
        <v>Cómo dormir mejor y más rápido</v>
      </c>
    </row>
    <row r="88">
      <c r="A88" s="1" t="str">
        <f t="shared" ref="A88:A90" si="38">HYPERLINK("https://docs.google.com/spreadsheets/d/1H4zDanDGTbi4qn2PXT7_kvponP2rHgUrtt37zNcRlZI","Cómo dormir mejor con ansiedad")</f>
        <v>Cómo dormir mejor con ansiedad</v>
      </c>
      <c r="B88" s="1" t="str">
        <f t="shared" si="37"/>
        <v>https://docs.google.com/spreadsheets/d/1H4zDanDGTbi4qn2PXT7_kvponP2rHgUrtt37zNcRlZI</v>
      </c>
      <c r="C88" s="1" t="str">
        <f>HYPERLINK("https://docs.google.com/spreadsheets/d/1H4zDanDGTbi4qn2PXT7_kvponP2rHgUrtt37zNcRlZI","Comida para dormir bien")</f>
        <v>Comida para dormir bien</v>
      </c>
    </row>
    <row r="89">
      <c r="A89" s="1" t="str">
        <f t="shared" si="38"/>
        <v>Cómo dormir mejor con ansiedad</v>
      </c>
      <c r="B89" s="1" t="str">
        <f t="shared" si="37"/>
        <v>https://docs.google.com/spreadsheets/d/1H4zDanDGTbi4qn2PXT7_kvponP2rHgUrtt37zNcRlZI</v>
      </c>
      <c r="C89" s="1" t="str">
        <f>HYPERLINK("https://docs.google.com/spreadsheets/d/1H4zDanDGTbi4qn2PXT7_kvponP2rHgUrtt37zNcRlZI","Consejos sobre cómo dormir toda la noche")</f>
        <v>Consejos sobre cómo dormir toda la noche</v>
      </c>
    </row>
    <row r="90">
      <c r="A90" s="1" t="str">
        <f t="shared" si="38"/>
        <v>Cómo dormir mejor con ansiedad</v>
      </c>
      <c r="B90" s="1" t="str">
        <f t="shared" si="37"/>
        <v>https://docs.google.com/spreadsheets/d/1H4zDanDGTbi4qn2PXT7_kvponP2rHgUrtt37zNcRlZI</v>
      </c>
      <c r="C90" s="1" t="str">
        <f>HYPERLINK("https://docs.google.com/spreadsheets/d/1H4zDanDGTbi4qn2PXT7_kvponP2rHgUrtt37zNcRlZI","Cómo dormir mejor y más rápido")</f>
        <v>Cómo dormir mejor y más rápido</v>
      </c>
    </row>
    <row r="91">
      <c r="A91" s="1" t="str">
        <f t="shared" ref="A91:A93" si="39">HYPERLINK("https://docs.google.com/spreadsheets/d/1H4zDanDGTbi4qn2PXT7_kvponP2rHgUrtt37zNcRlZI","Remedios caseros para dormir bien")</f>
        <v>Remedios caseros para dormir bien</v>
      </c>
      <c r="B91" s="1" t="str">
        <f t="shared" si="37"/>
        <v>https://docs.google.com/spreadsheets/d/1H4zDanDGTbi4qn2PXT7_kvponP2rHgUrtt37zNcRlZI</v>
      </c>
      <c r="C91" s="1" t="str">
        <f>HYPERLINK("https://docs.google.com/spreadsheets/d/1H4zDanDGTbi4qn2PXT7_kvponP2rHgUrtt37zNcRlZI","Comida para dormir bien")</f>
        <v>Comida para dormir bien</v>
      </c>
    </row>
    <row r="92">
      <c r="A92" s="1" t="str">
        <f t="shared" si="39"/>
        <v>Remedios caseros para dormir bien</v>
      </c>
      <c r="B92" s="1" t="str">
        <f t="shared" si="37"/>
        <v>https://docs.google.com/spreadsheets/d/1H4zDanDGTbi4qn2PXT7_kvponP2rHgUrtt37zNcRlZI</v>
      </c>
      <c r="C92" s="1" t="str">
        <f>HYPERLINK("https://docs.google.com/spreadsheets/d/1H4zDanDGTbi4qn2PXT7_kvponP2rHgUrtt37zNcRlZI","Consejos sobre cómo dormir toda la noche")</f>
        <v>Consejos sobre cómo dormir toda la noche</v>
      </c>
    </row>
    <row r="93">
      <c r="A93" s="1" t="str">
        <f t="shared" si="39"/>
        <v>Remedios caseros para dormir bien</v>
      </c>
      <c r="B93" s="1" t="str">
        <f t="shared" si="37"/>
        <v>https://docs.google.com/spreadsheets/d/1H4zDanDGTbi4qn2PXT7_kvponP2rHgUrtt37zNcRlZI</v>
      </c>
      <c r="C93" s="1" t="str">
        <f>HYPERLINK("https://docs.google.com/spreadsheets/d/1H4zDanDGTbi4qn2PXT7_kvponP2rHgUrtt37zNcRlZI","Cómo dormir mejor y más rápido")</f>
        <v>Cómo dormir mejor y más rápido</v>
      </c>
    </row>
    <row r="94">
      <c r="A94" s="1" t="str">
        <f t="shared" ref="A94:A96" si="40">HYPERLINK("https://docs.google.com/spreadsheets/d/1H4zDanDGTbi4qn2PXT7_kvponP2rHgUrtt37zNcRlZI","Cómo dormir mejor por la noche naturalmente")</f>
        <v>Cómo dormir mejor por la noche naturalmente</v>
      </c>
      <c r="B94" s="1" t="str">
        <f t="shared" si="37"/>
        <v>https://docs.google.com/spreadsheets/d/1H4zDanDGTbi4qn2PXT7_kvponP2rHgUrtt37zNcRlZI</v>
      </c>
      <c r="C94" s="1" t="str">
        <f>HYPERLINK("https://docs.google.com/spreadsheets/d/1H4zDanDGTbi4qn2PXT7_kvponP2rHgUrtt37zNcRlZI","Comida para dormir bien")</f>
        <v>Comida para dormir bien</v>
      </c>
    </row>
    <row r="95">
      <c r="A95" s="1" t="str">
        <f t="shared" si="40"/>
        <v>Cómo dormir mejor por la noche naturalmente</v>
      </c>
      <c r="B95" s="1" t="str">
        <f t="shared" si="37"/>
        <v>https://docs.google.com/spreadsheets/d/1H4zDanDGTbi4qn2PXT7_kvponP2rHgUrtt37zNcRlZI</v>
      </c>
      <c r="C95" s="1" t="str">
        <f>HYPERLINK("https://docs.google.com/spreadsheets/d/1H4zDanDGTbi4qn2PXT7_kvponP2rHgUrtt37zNcRlZI","Consejos sobre cómo dormir toda la noche")</f>
        <v>Consejos sobre cómo dormir toda la noche</v>
      </c>
    </row>
    <row r="96">
      <c r="A96" s="1" t="str">
        <f t="shared" si="40"/>
        <v>Cómo dormir mejor por la noche naturalmente</v>
      </c>
      <c r="B96" s="1" t="str">
        <f t="shared" si="37"/>
        <v>https://docs.google.com/spreadsheets/d/1H4zDanDGTbi4qn2PXT7_kvponP2rHgUrtt37zNcRlZI</v>
      </c>
      <c r="C96" s="1" t="str">
        <f>HYPERLINK("https://docs.google.com/spreadsheets/d/1H4zDanDGTbi4qn2PXT7_kvponP2rHgUrtt37zNcRlZI","Cómo dormir mejor y más rápido")</f>
        <v>Cómo dormir mejor y más rápido</v>
      </c>
    </row>
    <row r="97">
      <c r="A97" s="1" t="str">
        <f t="shared" ref="A97:A99" si="41">HYPERLINK("https://drive.google.com/drive/folders/1XHtipgFVvhHSWVAxCRVJxUfORe8eFe0o","Cómo dormir en 5 minutos")</f>
        <v>Cómo dormir en 5 minutos</v>
      </c>
      <c r="B97" s="1" t="str">
        <f t="shared" ref="B97:B108" si="42">HYPERLINK("https://drive.google.com/drive/folders/1XHtipgFVvhHSWVAxCRVJxUfORe8eFe0o","https://drive.google.com/drive/folders/1XHtipgFVvhHSWVAxCRVJxUfORe8eFe0o")</f>
        <v>https://drive.google.com/drive/folders/1XHtipgFVvhHSWVAxCRVJxUfORe8eFe0o</v>
      </c>
      <c r="C97" s="1" t="str">
        <f>HYPERLINK("https://drive.google.com/drive/folders/1XHtipgFVvhHSWVAxCRVJxUfORe8eFe0o","Comida para dormir bien")</f>
        <v>Comida para dormir bien</v>
      </c>
    </row>
    <row r="98">
      <c r="A98" s="1" t="str">
        <f t="shared" si="41"/>
        <v>Cómo dormir en 5 minutos</v>
      </c>
      <c r="B98" s="1" t="str">
        <f t="shared" si="42"/>
        <v>https://drive.google.com/drive/folders/1XHtipgFVvhHSWVAxCRVJxUfORe8eFe0o</v>
      </c>
      <c r="C98" s="1" t="str">
        <f>HYPERLINK("https://drive.google.com/drive/folders/1XHtipgFVvhHSWVAxCRVJxUfORe8eFe0o","Consejos sobre cómo dormir toda la noche")</f>
        <v>Consejos sobre cómo dormir toda la noche</v>
      </c>
    </row>
    <row r="99">
      <c r="A99" s="1" t="str">
        <f t="shared" si="41"/>
        <v>Cómo dormir en 5 minutos</v>
      </c>
      <c r="B99" s="1" t="str">
        <f t="shared" si="42"/>
        <v>https://drive.google.com/drive/folders/1XHtipgFVvhHSWVAxCRVJxUfORe8eFe0o</v>
      </c>
      <c r="C99" s="1" t="str">
        <f>HYPERLINK("https://drive.google.com/drive/folders/1XHtipgFVvhHSWVAxCRVJxUfORe8eFe0o","Cómo dormir mejor y más rápido")</f>
        <v>Cómo dormir mejor y más rápido</v>
      </c>
    </row>
    <row r="100">
      <c r="A100" s="1" t="str">
        <f t="shared" ref="A100:A102" si="43">HYPERLINK("https://drive.google.com/drive/folders/1XHtipgFVvhHSWVAxCRVJxUfORe8eFe0o","Cómo dormir mejor con ansiedad")</f>
        <v>Cómo dormir mejor con ansiedad</v>
      </c>
      <c r="B100" s="1" t="str">
        <f t="shared" si="42"/>
        <v>https://drive.google.com/drive/folders/1XHtipgFVvhHSWVAxCRVJxUfORe8eFe0o</v>
      </c>
      <c r="C100" s="1" t="str">
        <f>HYPERLINK("https://drive.google.com/drive/folders/1XHtipgFVvhHSWVAxCRVJxUfORe8eFe0o","Comida para dormir bien")</f>
        <v>Comida para dormir bien</v>
      </c>
    </row>
    <row r="101">
      <c r="A101" s="1" t="str">
        <f t="shared" si="43"/>
        <v>Cómo dormir mejor con ansiedad</v>
      </c>
      <c r="B101" s="1" t="str">
        <f t="shared" si="42"/>
        <v>https://drive.google.com/drive/folders/1XHtipgFVvhHSWVAxCRVJxUfORe8eFe0o</v>
      </c>
      <c r="C101" s="1" t="str">
        <f>HYPERLINK("https://drive.google.com/drive/folders/1XHtipgFVvhHSWVAxCRVJxUfORe8eFe0o","Consejos sobre cómo dormir toda la noche")</f>
        <v>Consejos sobre cómo dormir toda la noche</v>
      </c>
    </row>
    <row r="102">
      <c r="A102" s="1" t="str">
        <f t="shared" si="43"/>
        <v>Cómo dormir mejor con ansiedad</v>
      </c>
      <c r="B102" s="1" t="str">
        <f t="shared" si="42"/>
        <v>https://drive.google.com/drive/folders/1XHtipgFVvhHSWVAxCRVJxUfORe8eFe0o</v>
      </c>
      <c r="C102" s="1" t="str">
        <f>HYPERLINK("https://drive.google.com/drive/folders/1XHtipgFVvhHSWVAxCRVJxUfORe8eFe0o","Cómo dormir mejor y más rápido")</f>
        <v>Cómo dormir mejor y más rápido</v>
      </c>
    </row>
    <row r="103">
      <c r="A103" s="1" t="str">
        <f t="shared" ref="A103:A105" si="44">HYPERLINK("https://drive.google.com/drive/folders/1XHtipgFVvhHSWVAxCRVJxUfORe8eFe0o","Remedios caseros para dormir bien")</f>
        <v>Remedios caseros para dormir bien</v>
      </c>
      <c r="B103" s="1" t="str">
        <f t="shared" si="42"/>
        <v>https://drive.google.com/drive/folders/1XHtipgFVvhHSWVAxCRVJxUfORe8eFe0o</v>
      </c>
      <c r="C103" s="1" t="str">
        <f>HYPERLINK("https://drive.google.com/drive/folders/1XHtipgFVvhHSWVAxCRVJxUfORe8eFe0o","Comida para dormir bien")</f>
        <v>Comida para dormir bien</v>
      </c>
    </row>
    <row r="104">
      <c r="A104" s="1" t="str">
        <f t="shared" si="44"/>
        <v>Remedios caseros para dormir bien</v>
      </c>
      <c r="B104" s="1" t="str">
        <f t="shared" si="42"/>
        <v>https://drive.google.com/drive/folders/1XHtipgFVvhHSWVAxCRVJxUfORe8eFe0o</v>
      </c>
      <c r="C104" s="1" t="str">
        <f>HYPERLINK("https://drive.google.com/drive/folders/1XHtipgFVvhHSWVAxCRVJxUfORe8eFe0o","Consejos sobre cómo dormir toda la noche")</f>
        <v>Consejos sobre cómo dormir toda la noche</v>
      </c>
    </row>
    <row r="105">
      <c r="A105" s="1" t="str">
        <f t="shared" si="44"/>
        <v>Remedios caseros para dormir bien</v>
      </c>
      <c r="B105" s="1" t="str">
        <f t="shared" si="42"/>
        <v>https://drive.google.com/drive/folders/1XHtipgFVvhHSWVAxCRVJxUfORe8eFe0o</v>
      </c>
      <c r="C105" s="1" t="str">
        <f>HYPERLINK("https://drive.google.com/drive/folders/1XHtipgFVvhHSWVAxCRVJxUfORe8eFe0o","Cómo dormir mejor y más rápido")</f>
        <v>Cómo dormir mejor y más rápido</v>
      </c>
    </row>
    <row r="106">
      <c r="A106" s="1" t="str">
        <f t="shared" ref="A106:A108" si="45">HYPERLINK("https://drive.google.com/drive/folders/1XHtipgFVvhHSWVAxCRVJxUfORe8eFe0o","Cómo dormir mejor por la noche naturalmente")</f>
        <v>Cómo dormir mejor por la noche naturalmente</v>
      </c>
      <c r="B106" s="1" t="str">
        <f t="shared" si="42"/>
        <v>https://drive.google.com/drive/folders/1XHtipgFVvhHSWVAxCRVJxUfORe8eFe0o</v>
      </c>
      <c r="C106" s="1" t="str">
        <f>HYPERLINK("https://drive.google.com/drive/folders/1XHtipgFVvhHSWVAxCRVJxUfORe8eFe0o","Comida para dormir bien")</f>
        <v>Comida para dormir bien</v>
      </c>
    </row>
    <row r="107">
      <c r="A107" s="1" t="str">
        <f t="shared" si="45"/>
        <v>Cómo dormir mejor por la noche naturalmente</v>
      </c>
      <c r="B107" s="1" t="str">
        <f t="shared" si="42"/>
        <v>https://drive.google.com/drive/folders/1XHtipgFVvhHSWVAxCRVJxUfORe8eFe0o</v>
      </c>
      <c r="C107" s="1" t="str">
        <f>HYPERLINK("https://drive.google.com/drive/folders/1XHtipgFVvhHSWVAxCRVJxUfORe8eFe0o","Consejos sobre cómo dormir toda la noche")</f>
        <v>Consejos sobre cómo dormir toda la noche</v>
      </c>
    </row>
    <row r="108">
      <c r="A108" s="1" t="str">
        <f t="shared" si="45"/>
        <v>Cómo dormir mejor por la noche naturalmente</v>
      </c>
      <c r="B108" s="1" t="str">
        <f t="shared" si="42"/>
        <v>https://drive.google.com/drive/folders/1XHtipgFVvhHSWVAxCRVJxUfORe8eFe0o</v>
      </c>
      <c r="C108" s="1" t="str">
        <f>HYPERLINK("https://drive.google.com/drive/folders/1XHtipgFVvhHSWVAxCRVJxUfORe8eFe0o","Cómo dormir mejor y más rápido")</f>
        <v>Cómo dormir mejor y más rápido</v>
      </c>
    </row>
    <row r="109">
      <c r="A109" s="1" t="str">
        <f t="shared" ref="A109:A111" si="46">HYPERLINK("https://drive.google.com/drive/folders/1Ozyyh5NZzzYwEQzq47jZ_H4Mb0b-9xLW","Cómo dormir en 5 minutos")</f>
        <v>Cómo dormir en 5 minutos</v>
      </c>
      <c r="B109" s="1" t="str">
        <f t="shared" ref="B109:B120" si="47">HYPERLINK("https://drive.google.com/drive/folders/1Ozyyh5NZzzYwEQzq47jZ_H4Mb0b-9xLW","https://drive.google.com/drive/folders/1Ozyyh5NZzzYwEQzq47jZ_H4Mb0b-9xLW")</f>
        <v>https://drive.google.com/drive/folders/1Ozyyh5NZzzYwEQzq47jZ_H4Mb0b-9xLW</v>
      </c>
      <c r="C109" s="1" t="str">
        <f>HYPERLINK("https://drive.google.com/drive/folders/1Ozyyh5NZzzYwEQzq47jZ_H4Mb0b-9xLW","Comida para dormir bien")</f>
        <v>Comida para dormir bien</v>
      </c>
    </row>
    <row r="110">
      <c r="A110" s="1" t="str">
        <f t="shared" si="46"/>
        <v>Cómo dormir en 5 minutos</v>
      </c>
      <c r="B110" s="1" t="str">
        <f t="shared" si="47"/>
        <v>https://drive.google.com/drive/folders/1Ozyyh5NZzzYwEQzq47jZ_H4Mb0b-9xLW</v>
      </c>
      <c r="C110" s="1" t="str">
        <f>HYPERLINK("https://drive.google.com/drive/folders/1Ozyyh5NZzzYwEQzq47jZ_H4Mb0b-9xLW","Consejos sobre cómo dormir toda la noche")</f>
        <v>Consejos sobre cómo dormir toda la noche</v>
      </c>
    </row>
    <row r="111">
      <c r="A111" s="1" t="str">
        <f t="shared" si="46"/>
        <v>Cómo dormir en 5 minutos</v>
      </c>
      <c r="B111" s="1" t="str">
        <f t="shared" si="47"/>
        <v>https://drive.google.com/drive/folders/1Ozyyh5NZzzYwEQzq47jZ_H4Mb0b-9xLW</v>
      </c>
      <c r="C111" s="1" t="str">
        <f>HYPERLINK("https://drive.google.com/drive/folders/1Ozyyh5NZzzYwEQzq47jZ_H4Mb0b-9xLW","Cómo dormir mejor y más rápido")</f>
        <v>Cómo dormir mejor y más rápido</v>
      </c>
    </row>
    <row r="112">
      <c r="A112" s="1" t="str">
        <f t="shared" ref="A112:A114" si="48">HYPERLINK("https://drive.google.com/drive/folders/1Ozyyh5NZzzYwEQzq47jZ_H4Mb0b-9xLW","Cómo dormir mejor con ansiedad")</f>
        <v>Cómo dormir mejor con ansiedad</v>
      </c>
      <c r="B112" s="1" t="str">
        <f t="shared" si="47"/>
        <v>https://drive.google.com/drive/folders/1Ozyyh5NZzzYwEQzq47jZ_H4Mb0b-9xLW</v>
      </c>
      <c r="C112" s="1" t="str">
        <f>HYPERLINK("https://drive.google.com/drive/folders/1Ozyyh5NZzzYwEQzq47jZ_H4Mb0b-9xLW","Comida para dormir bien")</f>
        <v>Comida para dormir bien</v>
      </c>
    </row>
    <row r="113">
      <c r="A113" s="1" t="str">
        <f t="shared" si="48"/>
        <v>Cómo dormir mejor con ansiedad</v>
      </c>
      <c r="B113" s="1" t="str">
        <f t="shared" si="47"/>
        <v>https://drive.google.com/drive/folders/1Ozyyh5NZzzYwEQzq47jZ_H4Mb0b-9xLW</v>
      </c>
      <c r="C113" s="1" t="str">
        <f>HYPERLINK("https://drive.google.com/drive/folders/1Ozyyh5NZzzYwEQzq47jZ_H4Mb0b-9xLW","Consejos sobre cómo dormir toda la noche")</f>
        <v>Consejos sobre cómo dormir toda la noche</v>
      </c>
    </row>
    <row r="114">
      <c r="A114" s="1" t="str">
        <f t="shared" si="48"/>
        <v>Cómo dormir mejor con ansiedad</v>
      </c>
      <c r="B114" s="1" t="str">
        <f t="shared" si="47"/>
        <v>https://drive.google.com/drive/folders/1Ozyyh5NZzzYwEQzq47jZ_H4Mb0b-9xLW</v>
      </c>
      <c r="C114" s="1" t="str">
        <f>HYPERLINK("https://drive.google.com/drive/folders/1Ozyyh5NZzzYwEQzq47jZ_H4Mb0b-9xLW","Cómo dormir mejor y más rápido")</f>
        <v>Cómo dormir mejor y más rápido</v>
      </c>
    </row>
    <row r="115">
      <c r="A115" s="1" t="str">
        <f t="shared" ref="A115:A117" si="49">HYPERLINK("https://drive.google.com/drive/folders/1Ozyyh5NZzzYwEQzq47jZ_H4Mb0b-9xLW","Remedios caseros para dormir bien")</f>
        <v>Remedios caseros para dormir bien</v>
      </c>
      <c r="B115" s="1" t="str">
        <f t="shared" si="47"/>
        <v>https://drive.google.com/drive/folders/1Ozyyh5NZzzYwEQzq47jZ_H4Mb0b-9xLW</v>
      </c>
      <c r="C115" s="1" t="str">
        <f>HYPERLINK("https://drive.google.com/drive/folders/1Ozyyh5NZzzYwEQzq47jZ_H4Mb0b-9xLW","Comida para dormir bien")</f>
        <v>Comida para dormir bien</v>
      </c>
    </row>
    <row r="116">
      <c r="A116" s="1" t="str">
        <f t="shared" si="49"/>
        <v>Remedios caseros para dormir bien</v>
      </c>
      <c r="B116" s="1" t="str">
        <f t="shared" si="47"/>
        <v>https://drive.google.com/drive/folders/1Ozyyh5NZzzYwEQzq47jZ_H4Mb0b-9xLW</v>
      </c>
      <c r="C116" s="1" t="str">
        <f>HYPERLINK("https://drive.google.com/drive/folders/1Ozyyh5NZzzYwEQzq47jZ_H4Mb0b-9xLW","Consejos sobre cómo dormir toda la noche")</f>
        <v>Consejos sobre cómo dormir toda la noche</v>
      </c>
    </row>
    <row r="117">
      <c r="A117" s="1" t="str">
        <f t="shared" si="49"/>
        <v>Remedios caseros para dormir bien</v>
      </c>
      <c r="B117" s="1" t="str">
        <f t="shared" si="47"/>
        <v>https://drive.google.com/drive/folders/1Ozyyh5NZzzYwEQzq47jZ_H4Mb0b-9xLW</v>
      </c>
      <c r="C117" s="1" t="str">
        <f>HYPERLINK("https://drive.google.com/drive/folders/1Ozyyh5NZzzYwEQzq47jZ_H4Mb0b-9xLW","Cómo dormir mejor y más rápido")</f>
        <v>Cómo dormir mejor y más rápido</v>
      </c>
    </row>
    <row r="118">
      <c r="A118" s="1" t="str">
        <f t="shared" ref="A118:A120" si="50">HYPERLINK("https://drive.google.com/drive/folders/1Ozyyh5NZzzYwEQzq47jZ_H4Mb0b-9xLW","Cómo dormir mejor por la noche naturalmente")</f>
        <v>Cómo dormir mejor por la noche naturalmente</v>
      </c>
      <c r="B118" s="1" t="str">
        <f t="shared" si="47"/>
        <v>https://drive.google.com/drive/folders/1Ozyyh5NZzzYwEQzq47jZ_H4Mb0b-9xLW</v>
      </c>
      <c r="C118" s="1" t="str">
        <f>HYPERLINK("https://drive.google.com/drive/folders/1Ozyyh5NZzzYwEQzq47jZ_H4Mb0b-9xLW","Comida para dormir bien")</f>
        <v>Comida para dormir bien</v>
      </c>
    </row>
    <row r="119">
      <c r="A119" s="1" t="str">
        <f t="shared" si="50"/>
        <v>Cómo dormir mejor por la noche naturalmente</v>
      </c>
      <c r="B119" s="1" t="str">
        <f t="shared" si="47"/>
        <v>https://drive.google.com/drive/folders/1Ozyyh5NZzzYwEQzq47jZ_H4Mb0b-9xLW</v>
      </c>
      <c r="C119" s="1" t="str">
        <f>HYPERLINK("https://drive.google.com/drive/folders/1Ozyyh5NZzzYwEQzq47jZ_H4Mb0b-9xLW","Consejos sobre cómo dormir toda la noche")</f>
        <v>Consejos sobre cómo dormir toda la noche</v>
      </c>
    </row>
    <row r="120">
      <c r="A120" s="1" t="str">
        <f t="shared" si="50"/>
        <v>Cómo dormir mejor por la noche naturalmente</v>
      </c>
      <c r="B120" s="1" t="str">
        <f t="shared" si="47"/>
        <v>https://drive.google.com/drive/folders/1Ozyyh5NZzzYwEQzq47jZ_H4Mb0b-9xLW</v>
      </c>
      <c r="C120" s="1" t="str">
        <f>HYPERLINK("https://drive.google.com/drive/folders/1Ozyyh5NZzzYwEQzq47jZ_H4Mb0b-9xLW","Cómo dormir mejor y más rápido")</f>
        <v>Cómo dormir mejor y más rápido</v>
      </c>
    </row>
    <row r="121">
      <c r="A121" s="1" t="str">
        <f t="shared" ref="A121:A123" si="51">HYPERLINK("https://drive.google.com/drive/folders/1ER0SPay4MzTrw3JjwFTTLUMVi3bl2QqM","Cómo dormir en 5 minutos")</f>
        <v>Cómo dormir en 5 minutos</v>
      </c>
      <c r="B121" s="1" t="str">
        <f t="shared" ref="B121:B132" si="52">HYPERLINK("https://drive.google.com/drive/folders/1ER0SPay4MzTrw3JjwFTTLUMVi3bl2QqM","https://drive.google.com/drive/folders/1ER0SPay4MzTrw3JjwFTTLUMVi3bl2QqM")</f>
        <v>https://drive.google.com/drive/folders/1ER0SPay4MzTrw3JjwFTTLUMVi3bl2QqM</v>
      </c>
      <c r="C121" s="1" t="str">
        <f>HYPERLINK("https://drive.google.com/drive/folders/1ER0SPay4MzTrw3JjwFTTLUMVi3bl2QqM","Comida para dormir bien")</f>
        <v>Comida para dormir bien</v>
      </c>
    </row>
    <row r="122">
      <c r="A122" s="1" t="str">
        <f t="shared" si="51"/>
        <v>Cómo dormir en 5 minutos</v>
      </c>
      <c r="B122" s="1" t="str">
        <f t="shared" si="52"/>
        <v>https://drive.google.com/drive/folders/1ER0SPay4MzTrw3JjwFTTLUMVi3bl2QqM</v>
      </c>
      <c r="C122" s="1" t="str">
        <f>HYPERLINK("https://drive.google.com/drive/folders/1ER0SPay4MzTrw3JjwFTTLUMVi3bl2QqM","Consejos sobre cómo dormir toda la noche")</f>
        <v>Consejos sobre cómo dormir toda la noche</v>
      </c>
    </row>
    <row r="123">
      <c r="A123" s="1" t="str">
        <f t="shared" si="51"/>
        <v>Cómo dormir en 5 minutos</v>
      </c>
      <c r="B123" s="1" t="str">
        <f t="shared" si="52"/>
        <v>https://drive.google.com/drive/folders/1ER0SPay4MzTrw3JjwFTTLUMVi3bl2QqM</v>
      </c>
      <c r="C123" s="1" t="str">
        <f>HYPERLINK("https://drive.google.com/drive/folders/1ER0SPay4MzTrw3JjwFTTLUMVi3bl2QqM","Cómo dormir mejor y más rápido")</f>
        <v>Cómo dormir mejor y más rápido</v>
      </c>
    </row>
    <row r="124">
      <c r="A124" s="1" t="str">
        <f t="shared" ref="A124:A126" si="53">HYPERLINK("https://drive.google.com/drive/folders/1ER0SPay4MzTrw3JjwFTTLUMVi3bl2QqM","Cómo dormir mejor con ansiedad")</f>
        <v>Cómo dormir mejor con ansiedad</v>
      </c>
      <c r="B124" s="1" t="str">
        <f t="shared" si="52"/>
        <v>https://drive.google.com/drive/folders/1ER0SPay4MzTrw3JjwFTTLUMVi3bl2QqM</v>
      </c>
      <c r="C124" s="1" t="str">
        <f>HYPERLINK("https://drive.google.com/drive/folders/1ER0SPay4MzTrw3JjwFTTLUMVi3bl2QqM","Comida para dormir bien")</f>
        <v>Comida para dormir bien</v>
      </c>
    </row>
    <row r="125">
      <c r="A125" s="1" t="str">
        <f t="shared" si="53"/>
        <v>Cómo dormir mejor con ansiedad</v>
      </c>
      <c r="B125" s="1" t="str">
        <f t="shared" si="52"/>
        <v>https://drive.google.com/drive/folders/1ER0SPay4MzTrw3JjwFTTLUMVi3bl2QqM</v>
      </c>
      <c r="C125" s="1" t="str">
        <f>HYPERLINK("https://drive.google.com/drive/folders/1ER0SPay4MzTrw3JjwFTTLUMVi3bl2QqM","Consejos sobre cómo dormir toda la noche")</f>
        <v>Consejos sobre cómo dormir toda la noche</v>
      </c>
    </row>
    <row r="126">
      <c r="A126" s="1" t="str">
        <f t="shared" si="53"/>
        <v>Cómo dormir mejor con ansiedad</v>
      </c>
      <c r="B126" s="1" t="str">
        <f t="shared" si="52"/>
        <v>https://drive.google.com/drive/folders/1ER0SPay4MzTrw3JjwFTTLUMVi3bl2QqM</v>
      </c>
      <c r="C126" s="1" t="str">
        <f>HYPERLINK("https://drive.google.com/drive/folders/1ER0SPay4MzTrw3JjwFTTLUMVi3bl2QqM","Cómo dormir mejor y más rápido")</f>
        <v>Cómo dormir mejor y más rápido</v>
      </c>
    </row>
    <row r="127">
      <c r="A127" s="1" t="str">
        <f t="shared" ref="A127:A129" si="54">HYPERLINK("https://drive.google.com/drive/folders/1ER0SPay4MzTrw3JjwFTTLUMVi3bl2QqM","Remedios caseros para dormir bien")</f>
        <v>Remedios caseros para dormir bien</v>
      </c>
      <c r="B127" s="1" t="str">
        <f t="shared" si="52"/>
        <v>https://drive.google.com/drive/folders/1ER0SPay4MzTrw3JjwFTTLUMVi3bl2QqM</v>
      </c>
      <c r="C127" s="1" t="str">
        <f>HYPERLINK("https://drive.google.com/drive/folders/1ER0SPay4MzTrw3JjwFTTLUMVi3bl2QqM","Comida para dormir bien")</f>
        <v>Comida para dormir bien</v>
      </c>
    </row>
    <row r="128">
      <c r="A128" s="1" t="str">
        <f t="shared" si="54"/>
        <v>Remedios caseros para dormir bien</v>
      </c>
      <c r="B128" s="1" t="str">
        <f t="shared" si="52"/>
        <v>https://drive.google.com/drive/folders/1ER0SPay4MzTrw3JjwFTTLUMVi3bl2QqM</v>
      </c>
      <c r="C128" s="1" t="str">
        <f>HYPERLINK("https://drive.google.com/drive/folders/1ER0SPay4MzTrw3JjwFTTLUMVi3bl2QqM","Consejos sobre cómo dormir toda la noche")</f>
        <v>Consejos sobre cómo dormir toda la noche</v>
      </c>
    </row>
    <row r="129">
      <c r="A129" s="1" t="str">
        <f t="shared" si="54"/>
        <v>Remedios caseros para dormir bien</v>
      </c>
      <c r="B129" s="1" t="str">
        <f t="shared" si="52"/>
        <v>https://drive.google.com/drive/folders/1ER0SPay4MzTrw3JjwFTTLUMVi3bl2QqM</v>
      </c>
      <c r="C129" s="1" t="str">
        <f>HYPERLINK("https://drive.google.com/drive/folders/1ER0SPay4MzTrw3JjwFTTLUMVi3bl2QqM","Cómo dormir mejor y más rápido")</f>
        <v>Cómo dormir mejor y más rápido</v>
      </c>
    </row>
    <row r="130">
      <c r="A130" s="1" t="str">
        <f t="shared" ref="A130:A132" si="55">HYPERLINK("https://drive.google.com/drive/folders/1ER0SPay4MzTrw3JjwFTTLUMVi3bl2QqM","Cómo dormir mejor por la noche naturalmente")</f>
        <v>Cómo dormir mejor por la noche naturalmente</v>
      </c>
      <c r="B130" s="1" t="str">
        <f t="shared" si="52"/>
        <v>https://drive.google.com/drive/folders/1ER0SPay4MzTrw3JjwFTTLUMVi3bl2QqM</v>
      </c>
      <c r="C130" s="1" t="str">
        <f>HYPERLINK("https://drive.google.com/drive/folders/1ER0SPay4MzTrw3JjwFTTLUMVi3bl2QqM","Comida para dormir bien")</f>
        <v>Comida para dormir bien</v>
      </c>
    </row>
    <row r="131">
      <c r="A131" s="1" t="str">
        <f t="shared" si="55"/>
        <v>Cómo dormir mejor por la noche naturalmente</v>
      </c>
      <c r="B131" s="1" t="str">
        <f t="shared" si="52"/>
        <v>https://drive.google.com/drive/folders/1ER0SPay4MzTrw3JjwFTTLUMVi3bl2QqM</v>
      </c>
      <c r="C131" s="1" t="str">
        <f>HYPERLINK("https://drive.google.com/drive/folders/1ER0SPay4MzTrw3JjwFTTLUMVi3bl2QqM","Consejos sobre cómo dormir toda la noche")</f>
        <v>Consejos sobre cómo dormir toda la noche</v>
      </c>
    </row>
    <row r="132">
      <c r="A132" s="1" t="str">
        <f t="shared" si="55"/>
        <v>Cómo dormir mejor por la noche naturalmente</v>
      </c>
      <c r="B132" s="1" t="str">
        <f t="shared" si="52"/>
        <v>https://drive.google.com/drive/folders/1ER0SPay4MzTrw3JjwFTTLUMVi3bl2QqM</v>
      </c>
      <c r="C132" s="1" t="str">
        <f>HYPERLINK("https://drive.google.com/drive/folders/1ER0SPay4MzTrw3JjwFTTLUMVi3bl2QqM","Cómo dormir mejor y más rápido")</f>
        <v>Cómo dormir mejor y más rápido</v>
      </c>
    </row>
    <row r="133">
      <c r="A133" s="1" t="str">
        <f t="shared" ref="A133:A135" si="56">HYPERLINK("https://docs.google.com/spreadsheets/d/19PNRI7-mXc4THGBkZ5KQS5Wrx4FXxBeYv9KRamUif-0","Cómo dormir en 5 minutos")</f>
        <v>Cómo dormir en 5 minutos</v>
      </c>
      <c r="B133" s="1" t="str">
        <f t="shared" ref="B133:B144" si="57">HYPERLINK("https://docs.google.com/spreadsheets/d/19PNRI7-mXc4THGBkZ5KQS5Wrx4FXxBeYv9KRamUif-0","https://docs.google.com/spreadsheets/d/19PNRI7-mXc4THGBkZ5KQS5Wrx4FXxBeYv9KRamUif-0")</f>
        <v>https://docs.google.com/spreadsheets/d/19PNRI7-mXc4THGBkZ5KQS5Wrx4FXxBeYv9KRamUif-0</v>
      </c>
      <c r="C133" s="1" t="str">
        <f>HYPERLINK("https://docs.google.com/spreadsheets/d/19PNRI7-mXc4THGBkZ5KQS5Wrx4FXxBeYv9KRamUif-0","Comida para dormir bien")</f>
        <v>Comida para dormir bien</v>
      </c>
    </row>
    <row r="134">
      <c r="A134" s="1" t="str">
        <f t="shared" si="56"/>
        <v>Cómo dormir en 5 minutos</v>
      </c>
      <c r="B134" s="1" t="str">
        <f t="shared" si="57"/>
        <v>https://docs.google.com/spreadsheets/d/19PNRI7-mXc4THGBkZ5KQS5Wrx4FXxBeYv9KRamUif-0</v>
      </c>
      <c r="C134" s="1" t="str">
        <f>HYPERLINK("https://docs.google.com/spreadsheets/d/19PNRI7-mXc4THGBkZ5KQS5Wrx4FXxBeYv9KRamUif-0","Consejos sobre cómo dormir toda la noche")</f>
        <v>Consejos sobre cómo dormir toda la noche</v>
      </c>
    </row>
    <row r="135">
      <c r="A135" s="1" t="str">
        <f t="shared" si="56"/>
        <v>Cómo dormir en 5 minutos</v>
      </c>
      <c r="B135" s="1" t="str">
        <f t="shared" si="57"/>
        <v>https://docs.google.com/spreadsheets/d/19PNRI7-mXc4THGBkZ5KQS5Wrx4FXxBeYv9KRamUif-0</v>
      </c>
      <c r="C135" s="1" t="str">
        <f>HYPERLINK("https://docs.google.com/spreadsheets/d/19PNRI7-mXc4THGBkZ5KQS5Wrx4FXxBeYv9KRamUif-0","Cómo dormir mejor y más rápido")</f>
        <v>Cómo dormir mejor y más rápido</v>
      </c>
    </row>
    <row r="136">
      <c r="A136" s="1" t="str">
        <f t="shared" ref="A136:A138" si="58">HYPERLINK("https://docs.google.com/spreadsheets/d/19PNRI7-mXc4THGBkZ5KQS5Wrx4FXxBeYv9KRamUif-0","Cómo dormir mejor con ansiedad")</f>
        <v>Cómo dormir mejor con ansiedad</v>
      </c>
      <c r="B136" s="1" t="str">
        <f t="shared" si="57"/>
        <v>https://docs.google.com/spreadsheets/d/19PNRI7-mXc4THGBkZ5KQS5Wrx4FXxBeYv9KRamUif-0</v>
      </c>
      <c r="C136" s="1" t="str">
        <f>HYPERLINK("https://docs.google.com/spreadsheets/d/19PNRI7-mXc4THGBkZ5KQS5Wrx4FXxBeYv9KRamUif-0","Comida para dormir bien")</f>
        <v>Comida para dormir bien</v>
      </c>
    </row>
    <row r="137">
      <c r="A137" s="1" t="str">
        <f t="shared" si="58"/>
        <v>Cómo dormir mejor con ansiedad</v>
      </c>
      <c r="B137" s="1" t="str">
        <f t="shared" si="57"/>
        <v>https://docs.google.com/spreadsheets/d/19PNRI7-mXc4THGBkZ5KQS5Wrx4FXxBeYv9KRamUif-0</v>
      </c>
      <c r="C137" s="1" t="str">
        <f>HYPERLINK("https://docs.google.com/spreadsheets/d/19PNRI7-mXc4THGBkZ5KQS5Wrx4FXxBeYv9KRamUif-0","Consejos sobre cómo dormir toda la noche")</f>
        <v>Consejos sobre cómo dormir toda la noche</v>
      </c>
    </row>
    <row r="138">
      <c r="A138" s="1" t="str">
        <f t="shared" si="58"/>
        <v>Cómo dormir mejor con ansiedad</v>
      </c>
      <c r="B138" s="1" t="str">
        <f t="shared" si="57"/>
        <v>https://docs.google.com/spreadsheets/d/19PNRI7-mXc4THGBkZ5KQS5Wrx4FXxBeYv9KRamUif-0</v>
      </c>
      <c r="C138" s="1" t="str">
        <f>HYPERLINK("https://docs.google.com/spreadsheets/d/19PNRI7-mXc4THGBkZ5KQS5Wrx4FXxBeYv9KRamUif-0","Cómo dormir mejor y más rápido")</f>
        <v>Cómo dormir mejor y más rápido</v>
      </c>
    </row>
    <row r="139">
      <c r="A139" s="1" t="str">
        <f t="shared" ref="A139:A141" si="59">HYPERLINK("https://docs.google.com/spreadsheets/d/19PNRI7-mXc4THGBkZ5KQS5Wrx4FXxBeYv9KRamUif-0","Remedios caseros para dormir bien")</f>
        <v>Remedios caseros para dormir bien</v>
      </c>
      <c r="B139" s="1" t="str">
        <f t="shared" si="57"/>
        <v>https://docs.google.com/spreadsheets/d/19PNRI7-mXc4THGBkZ5KQS5Wrx4FXxBeYv9KRamUif-0</v>
      </c>
      <c r="C139" s="1" t="str">
        <f>HYPERLINK("https://docs.google.com/spreadsheets/d/19PNRI7-mXc4THGBkZ5KQS5Wrx4FXxBeYv9KRamUif-0","Comida para dormir bien")</f>
        <v>Comida para dormir bien</v>
      </c>
    </row>
    <row r="140">
      <c r="A140" s="1" t="str">
        <f t="shared" si="59"/>
        <v>Remedios caseros para dormir bien</v>
      </c>
      <c r="B140" s="1" t="str">
        <f t="shared" si="57"/>
        <v>https://docs.google.com/spreadsheets/d/19PNRI7-mXc4THGBkZ5KQS5Wrx4FXxBeYv9KRamUif-0</v>
      </c>
      <c r="C140" s="1" t="str">
        <f>HYPERLINK("https://docs.google.com/spreadsheets/d/19PNRI7-mXc4THGBkZ5KQS5Wrx4FXxBeYv9KRamUif-0","Consejos sobre cómo dormir toda la noche")</f>
        <v>Consejos sobre cómo dormir toda la noche</v>
      </c>
    </row>
    <row r="141">
      <c r="A141" s="1" t="str">
        <f t="shared" si="59"/>
        <v>Remedios caseros para dormir bien</v>
      </c>
      <c r="B141" s="1" t="str">
        <f t="shared" si="57"/>
        <v>https://docs.google.com/spreadsheets/d/19PNRI7-mXc4THGBkZ5KQS5Wrx4FXxBeYv9KRamUif-0</v>
      </c>
      <c r="C141" s="1" t="str">
        <f>HYPERLINK("https://docs.google.com/spreadsheets/d/19PNRI7-mXc4THGBkZ5KQS5Wrx4FXxBeYv9KRamUif-0","Cómo dormir mejor y más rápido")</f>
        <v>Cómo dormir mejor y más rápido</v>
      </c>
    </row>
    <row r="142">
      <c r="A142" s="1" t="str">
        <f t="shared" ref="A142:A144" si="60">HYPERLINK("https://docs.google.com/spreadsheets/d/19PNRI7-mXc4THGBkZ5KQS5Wrx4FXxBeYv9KRamUif-0","Cómo dormir mejor por la noche naturalmente")</f>
        <v>Cómo dormir mejor por la noche naturalmente</v>
      </c>
      <c r="B142" s="1" t="str">
        <f t="shared" si="57"/>
        <v>https://docs.google.com/spreadsheets/d/19PNRI7-mXc4THGBkZ5KQS5Wrx4FXxBeYv9KRamUif-0</v>
      </c>
      <c r="C142" s="1" t="str">
        <f>HYPERLINK("https://docs.google.com/spreadsheets/d/19PNRI7-mXc4THGBkZ5KQS5Wrx4FXxBeYv9KRamUif-0","Comida para dormir bien")</f>
        <v>Comida para dormir bien</v>
      </c>
    </row>
    <row r="143">
      <c r="A143" s="1" t="str">
        <f t="shared" si="60"/>
        <v>Cómo dormir mejor por la noche naturalmente</v>
      </c>
      <c r="B143" s="1" t="str">
        <f t="shared" si="57"/>
        <v>https://docs.google.com/spreadsheets/d/19PNRI7-mXc4THGBkZ5KQS5Wrx4FXxBeYv9KRamUif-0</v>
      </c>
      <c r="C143" s="1" t="str">
        <f>HYPERLINK("https://docs.google.com/spreadsheets/d/19PNRI7-mXc4THGBkZ5KQS5Wrx4FXxBeYv9KRamUif-0","Consejos sobre cómo dormir toda la noche")</f>
        <v>Consejos sobre cómo dormir toda la noche</v>
      </c>
    </row>
    <row r="144">
      <c r="A144" s="1" t="str">
        <f t="shared" si="60"/>
        <v>Cómo dormir mejor por la noche naturalmente</v>
      </c>
      <c r="B144" s="1" t="str">
        <f t="shared" si="57"/>
        <v>https://docs.google.com/spreadsheets/d/19PNRI7-mXc4THGBkZ5KQS5Wrx4FXxBeYv9KRamUif-0</v>
      </c>
      <c r="C144" s="1" t="str">
        <f>HYPERLINK("https://docs.google.com/spreadsheets/d/19PNRI7-mXc4THGBkZ5KQS5Wrx4FXxBeYv9KRamUif-0","Cómo dormir mejor y más rápido")</f>
        <v>Cómo dormir mejor y más rápido</v>
      </c>
    </row>
    <row r="145">
      <c r="A145" s="1" t="str">
        <f t="shared" ref="A145:A147" si="61">HYPERLINK("https://drive.google.com/drive/folders/1DbeZp1ZXJnd8T-wsqN3vHmSUFTY5pSB3","Cómo dormir en 5 minutos")</f>
        <v>Cómo dormir en 5 minutos</v>
      </c>
      <c r="B145" s="1" t="str">
        <f t="shared" ref="B145:B156" si="62">HYPERLINK("https://drive.google.com/drive/folders/1DbeZp1ZXJnd8T-wsqN3vHmSUFTY5pSB3","https://drive.google.com/drive/folders/1DbeZp1ZXJnd8T-wsqN3vHmSUFTY5pSB3")</f>
        <v>https://drive.google.com/drive/folders/1DbeZp1ZXJnd8T-wsqN3vHmSUFTY5pSB3</v>
      </c>
      <c r="C145" s="1" t="str">
        <f>HYPERLINK("https://drive.google.com/drive/folders/1DbeZp1ZXJnd8T-wsqN3vHmSUFTY5pSB3","Comida para dormir bien")</f>
        <v>Comida para dormir bien</v>
      </c>
    </row>
    <row r="146">
      <c r="A146" s="1" t="str">
        <f t="shared" si="61"/>
        <v>Cómo dormir en 5 minutos</v>
      </c>
      <c r="B146" s="1" t="str">
        <f t="shared" si="62"/>
        <v>https://drive.google.com/drive/folders/1DbeZp1ZXJnd8T-wsqN3vHmSUFTY5pSB3</v>
      </c>
      <c r="C146" s="1" t="str">
        <f>HYPERLINK("https://drive.google.com/drive/folders/1DbeZp1ZXJnd8T-wsqN3vHmSUFTY5pSB3","Consejos sobre cómo dormir toda la noche")</f>
        <v>Consejos sobre cómo dormir toda la noche</v>
      </c>
    </row>
    <row r="147">
      <c r="A147" s="1" t="str">
        <f t="shared" si="61"/>
        <v>Cómo dormir en 5 minutos</v>
      </c>
      <c r="B147" s="1" t="str">
        <f t="shared" si="62"/>
        <v>https://drive.google.com/drive/folders/1DbeZp1ZXJnd8T-wsqN3vHmSUFTY5pSB3</v>
      </c>
      <c r="C147" s="1" t="str">
        <f>HYPERLINK("https://drive.google.com/drive/folders/1DbeZp1ZXJnd8T-wsqN3vHmSUFTY5pSB3","Cómo dormir mejor y más rápido")</f>
        <v>Cómo dormir mejor y más rápido</v>
      </c>
    </row>
    <row r="148">
      <c r="A148" s="1" t="str">
        <f t="shared" ref="A148:A150" si="63">HYPERLINK("https://drive.google.com/drive/folders/1DbeZp1ZXJnd8T-wsqN3vHmSUFTY5pSB3","Cómo dormir mejor con ansiedad")</f>
        <v>Cómo dormir mejor con ansiedad</v>
      </c>
      <c r="B148" s="1" t="str">
        <f t="shared" si="62"/>
        <v>https://drive.google.com/drive/folders/1DbeZp1ZXJnd8T-wsqN3vHmSUFTY5pSB3</v>
      </c>
      <c r="C148" s="1" t="str">
        <f>HYPERLINK("https://drive.google.com/drive/folders/1DbeZp1ZXJnd8T-wsqN3vHmSUFTY5pSB3","Comida para dormir bien")</f>
        <v>Comida para dormir bien</v>
      </c>
    </row>
    <row r="149">
      <c r="A149" s="1" t="str">
        <f t="shared" si="63"/>
        <v>Cómo dormir mejor con ansiedad</v>
      </c>
      <c r="B149" s="1" t="str">
        <f t="shared" si="62"/>
        <v>https://drive.google.com/drive/folders/1DbeZp1ZXJnd8T-wsqN3vHmSUFTY5pSB3</v>
      </c>
      <c r="C149" s="1" t="str">
        <f>HYPERLINK("https://drive.google.com/drive/folders/1DbeZp1ZXJnd8T-wsqN3vHmSUFTY5pSB3","Consejos sobre cómo dormir toda la noche")</f>
        <v>Consejos sobre cómo dormir toda la noche</v>
      </c>
    </row>
    <row r="150">
      <c r="A150" s="1" t="str">
        <f t="shared" si="63"/>
        <v>Cómo dormir mejor con ansiedad</v>
      </c>
      <c r="B150" s="1" t="str">
        <f t="shared" si="62"/>
        <v>https://drive.google.com/drive/folders/1DbeZp1ZXJnd8T-wsqN3vHmSUFTY5pSB3</v>
      </c>
      <c r="C150" s="1" t="str">
        <f>HYPERLINK("https://drive.google.com/drive/folders/1DbeZp1ZXJnd8T-wsqN3vHmSUFTY5pSB3","Cómo dormir mejor y más rápido")</f>
        <v>Cómo dormir mejor y más rápido</v>
      </c>
    </row>
    <row r="151">
      <c r="A151" s="1" t="str">
        <f t="shared" ref="A151:A153" si="64">HYPERLINK("https://drive.google.com/drive/folders/1DbeZp1ZXJnd8T-wsqN3vHmSUFTY5pSB3","Remedios caseros para dormir bien")</f>
        <v>Remedios caseros para dormir bien</v>
      </c>
      <c r="B151" s="1" t="str">
        <f t="shared" si="62"/>
        <v>https://drive.google.com/drive/folders/1DbeZp1ZXJnd8T-wsqN3vHmSUFTY5pSB3</v>
      </c>
      <c r="C151" s="1" t="str">
        <f>HYPERLINK("https://drive.google.com/drive/folders/1DbeZp1ZXJnd8T-wsqN3vHmSUFTY5pSB3","Comida para dormir bien")</f>
        <v>Comida para dormir bien</v>
      </c>
    </row>
    <row r="152">
      <c r="A152" s="1" t="str">
        <f t="shared" si="64"/>
        <v>Remedios caseros para dormir bien</v>
      </c>
      <c r="B152" s="1" t="str">
        <f t="shared" si="62"/>
        <v>https://drive.google.com/drive/folders/1DbeZp1ZXJnd8T-wsqN3vHmSUFTY5pSB3</v>
      </c>
      <c r="C152" s="1" t="str">
        <f>HYPERLINK("https://drive.google.com/drive/folders/1DbeZp1ZXJnd8T-wsqN3vHmSUFTY5pSB3","Consejos sobre cómo dormir toda la noche")</f>
        <v>Consejos sobre cómo dormir toda la noche</v>
      </c>
    </row>
    <row r="153">
      <c r="A153" s="1" t="str">
        <f t="shared" si="64"/>
        <v>Remedios caseros para dormir bien</v>
      </c>
      <c r="B153" s="1" t="str">
        <f t="shared" si="62"/>
        <v>https://drive.google.com/drive/folders/1DbeZp1ZXJnd8T-wsqN3vHmSUFTY5pSB3</v>
      </c>
      <c r="C153" s="1" t="str">
        <f>HYPERLINK("https://drive.google.com/drive/folders/1DbeZp1ZXJnd8T-wsqN3vHmSUFTY5pSB3","Cómo dormir mejor y más rápido")</f>
        <v>Cómo dormir mejor y más rápido</v>
      </c>
    </row>
    <row r="154">
      <c r="A154" s="1" t="str">
        <f t="shared" ref="A154:A156" si="65">HYPERLINK("https://drive.google.com/drive/folders/1DbeZp1ZXJnd8T-wsqN3vHmSUFTY5pSB3","Cómo dormir mejor por la noche naturalmente")</f>
        <v>Cómo dormir mejor por la noche naturalmente</v>
      </c>
      <c r="B154" s="1" t="str">
        <f t="shared" si="62"/>
        <v>https://drive.google.com/drive/folders/1DbeZp1ZXJnd8T-wsqN3vHmSUFTY5pSB3</v>
      </c>
      <c r="C154" s="1" t="str">
        <f>HYPERLINK("https://drive.google.com/drive/folders/1DbeZp1ZXJnd8T-wsqN3vHmSUFTY5pSB3","Comida para dormir bien")</f>
        <v>Comida para dormir bien</v>
      </c>
    </row>
    <row r="155">
      <c r="A155" s="1" t="str">
        <f t="shared" si="65"/>
        <v>Cómo dormir mejor por la noche naturalmente</v>
      </c>
      <c r="B155" s="1" t="str">
        <f t="shared" si="62"/>
        <v>https://drive.google.com/drive/folders/1DbeZp1ZXJnd8T-wsqN3vHmSUFTY5pSB3</v>
      </c>
      <c r="C155" s="1" t="str">
        <f>HYPERLINK("https://drive.google.com/drive/folders/1DbeZp1ZXJnd8T-wsqN3vHmSUFTY5pSB3","Consejos sobre cómo dormir toda la noche")</f>
        <v>Consejos sobre cómo dormir toda la noche</v>
      </c>
    </row>
    <row r="156">
      <c r="A156" s="1" t="str">
        <f t="shared" si="65"/>
        <v>Cómo dormir mejor por la noche naturalmente</v>
      </c>
      <c r="B156" s="1" t="str">
        <f t="shared" si="62"/>
        <v>https://drive.google.com/drive/folders/1DbeZp1ZXJnd8T-wsqN3vHmSUFTY5pSB3</v>
      </c>
      <c r="C156" s="1" t="str">
        <f>HYPERLINK("https://drive.google.com/drive/folders/1DbeZp1ZXJnd8T-wsqN3vHmSUFTY5pSB3","Cómo dormir mejor y más rápido")</f>
        <v>Cómo dormir mejor y más rápido</v>
      </c>
    </row>
    <row r="157">
      <c r="A157" s="1" t="str">
        <f t="shared" ref="A157:A159" si="66">HYPERLINK("https://docs.google.com/spreadsheets/d/1EksxSFy7jSJ-dtKUWwvnGbYDbZ9D6fpm6gUZBCAsvOI","Cómo dormir en 5 minutos")</f>
        <v>Cómo dormir en 5 minutos</v>
      </c>
      <c r="B157" s="1" t="str">
        <f t="shared" ref="B157:B168" si="67">HYPERLINK("https://docs.google.com/spreadsheets/d/1EksxSFy7jSJ-dtKUWwvnGbYDbZ9D6fpm6gUZBCAsvOI","https://docs.google.com/spreadsheets/d/1EksxSFy7jSJ-dtKUWwvnGbYDbZ9D6fpm6gUZBCAsvOI")</f>
        <v>https://docs.google.com/spreadsheets/d/1EksxSFy7jSJ-dtKUWwvnGbYDbZ9D6fpm6gUZBCAsvOI</v>
      </c>
      <c r="C157" s="1" t="str">
        <f>HYPERLINK("https://docs.google.com/spreadsheets/d/1EksxSFy7jSJ-dtKUWwvnGbYDbZ9D6fpm6gUZBCAsvOI","Comida para dormir bien")</f>
        <v>Comida para dormir bien</v>
      </c>
    </row>
    <row r="158">
      <c r="A158" s="1" t="str">
        <f t="shared" si="66"/>
        <v>Cómo dormir en 5 minutos</v>
      </c>
      <c r="B158" s="1" t="str">
        <f t="shared" si="67"/>
        <v>https://docs.google.com/spreadsheets/d/1EksxSFy7jSJ-dtKUWwvnGbYDbZ9D6fpm6gUZBCAsvOI</v>
      </c>
      <c r="C158" s="1" t="str">
        <f>HYPERLINK("https://docs.google.com/spreadsheets/d/1EksxSFy7jSJ-dtKUWwvnGbYDbZ9D6fpm6gUZBCAsvOI","Consejos sobre cómo dormir toda la noche")</f>
        <v>Consejos sobre cómo dormir toda la noche</v>
      </c>
    </row>
    <row r="159">
      <c r="A159" s="1" t="str">
        <f t="shared" si="66"/>
        <v>Cómo dormir en 5 minutos</v>
      </c>
      <c r="B159" s="1" t="str">
        <f t="shared" si="67"/>
        <v>https://docs.google.com/spreadsheets/d/1EksxSFy7jSJ-dtKUWwvnGbYDbZ9D6fpm6gUZBCAsvOI</v>
      </c>
      <c r="C159" s="1" t="str">
        <f>HYPERLINK("https://docs.google.com/spreadsheets/d/1EksxSFy7jSJ-dtKUWwvnGbYDbZ9D6fpm6gUZBCAsvOI","Cómo dormir mejor y más rápido")</f>
        <v>Cómo dormir mejor y más rápido</v>
      </c>
    </row>
    <row r="160">
      <c r="A160" s="1" t="str">
        <f t="shared" ref="A160:A162" si="68">HYPERLINK("https://docs.google.com/spreadsheets/d/1EksxSFy7jSJ-dtKUWwvnGbYDbZ9D6fpm6gUZBCAsvOI","Cómo dormir mejor con ansiedad")</f>
        <v>Cómo dormir mejor con ansiedad</v>
      </c>
      <c r="B160" s="1" t="str">
        <f t="shared" si="67"/>
        <v>https://docs.google.com/spreadsheets/d/1EksxSFy7jSJ-dtKUWwvnGbYDbZ9D6fpm6gUZBCAsvOI</v>
      </c>
      <c r="C160" s="1" t="str">
        <f>HYPERLINK("https://docs.google.com/spreadsheets/d/1EksxSFy7jSJ-dtKUWwvnGbYDbZ9D6fpm6gUZBCAsvOI","Comida para dormir bien")</f>
        <v>Comida para dormir bien</v>
      </c>
    </row>
    <row r="161">
      <c r="A161" s="1" t="str">
        <f t="shared" si="68"/>
        <v>Cómo dormir mejor con ansiedad</v>
      </c>
      <c r="B161" s="1" t="str">
        <f t="shared" si="67"/>
        <v>https://docs.google.com/spreadsheets/d/1EksxSFy7jSJ-dtKUWwvnGbYDbZ9D6fpm6gUZBCAsvOI</v>
      </c>
      <c r="C161" s="1" t="str">
        <f>HYPERLINK("https://docs.google.com/spreadsheets/d/1EksxSFy7jSJ-dtKUWwvnGbYDbZ9D6fpm6gUZBCAsvOI","Consejos sobre cómo dormir toda la noche")</f>
        <v>Consejos sobre cómo dormir toda la noche</v>
      </c>
    </row>
    <row r="162">
      <c r="A162" s="1" t="str">
        <f t="shared" si="68"/>
        <v>Cómo dormir mejor con ansiedad</v>
      </c>
      <c r="B162" s="1" t="str">
        <f t="shared" si="67"/>
        <v>https://docs.google.com/spreadsheets/d/1EksxSFy7jSJ-dtKUWwvnGbYDbZ9D6fpm6gUZBCAsvOI</v>
      </c>
      <c r="C162" s="1" t="str">
        <f>HYPERLINK("https://docs.google.com/spreadsheets/d/1EksxSFy7jSJ-dtKUWwvnGbYDbZ9D6fpm6gUZBCAsvOI","Cómo dormir mejor y más rápido")</f>
        <v>Cómo dormir mejor y más rápido</v>
      </c>
    </row>
    <row r="163">
      <c r="A163" s="1" t="str">
        <f t="shared" ref="A163:A165" si="69">HYPERLINK("https://docs.google.com/spreadsheets/d/1EksxSFy7jSJ-dtKUWwvnGbYDbZ9D6fpm6gUZBCAsvOI","Remedios caseros para dormir bien")</f>
        <v>Remedios caseros para dormir bien</v>
      </c>
      <c r="B163" s="1" t="str">
        <f t="shared" si="67"/>
        <v>https://docs.google.com/spreadsheets/d/1EksxSFy7jSJ-dtKUWwvnGbYDbZ9D6fpm6gUZBCAsvOI</v>
      </c>
      <c r="C163" s="1" t="str">
        <f>HYPERLINK("https://docs.google.com/spreadsheets/d/1EksxSFy7jSJ-dtKUWwvnGbYDbZ9D6fpm6gUZBCAsvOI","Comida para dormir bien")</f>
        <v>Comida para dormir bien</v>
      </c>
    </row>
    <row r="164">
      <c r="A164" s="1" t="str">
        <f t="shared" si="69"/>
        <v>Remedios caseros para dormir bien</v>
      </c>
      <c r="B164" s="1" t="str">
        <f t="shared" si="67"/>
        <v>https://docs.google.com/spreadsheets/d/1EksxSFy7jSJ-dtKUWwvnGbYDbZ9D6fpm6gUZBCAsvOI</v>
      </c>
      <c r="C164" s="1" t="str">
        <f>HYPERLINK("https://docs.google.com/spreadsheets/d/1EksxSFy7jSJ-dtKUWwvnGbYDbZ9D6fpm6gUZBCAsvOI","Consejos sobre cómo dormir toda la noche")</f>
        <v>Consejos sobre cómo dormir toda la noche</v>
      </c>
    </row>
    <row r="165">
      <c r="A165" s="1" t="str">
        <f t="shared" si="69"/>
        <v>Remedios caseros para dormir bien</v>
      </c>
      <c r="B165" s="1" t="str">
        <f t="shared" si="67"/>
        <v>https://docs.google.com/spreadsheets/d/1EksxSFy7jSJ-dtKUWwvnGbYDbZ9D6fpm6gUZBCAsvOI</v>
      </c>
      <c r="C165" s="1" t="str">
        <f>HYPERLINK("https://docs.google.com/spreadsheets/d/1EksxSFy7jSJ-dtKUWwvnGbYDbZ9D6fpm6gUZBCAsvOI","Cómo dormir mejor y más rápido")</f>
        <v>Cómo dormir mejor y más rápido</v>
      </c>
    </row>
    <row r="166">
      <c r="A166" s="1" t="str">
        <f t="shared" ref="A166:A168" si="70">HYPERLINK("https://docs.google.com/spreadsheets/d/1EksxSFy7jSJ-dtKUWwvnGbYDbZ9D6fpm6gUZBCAsvOI","Cómo dormir mejor por la noche naturalmente")</f>
        <v>Cómo dormir mejor por la noche naturalmente</v>
      </c>
      <c r="B166" s="1" t="str">
        <f t="shared" si="67"/>
        <v>https://docs.google.com/spreadsheets/d/1EksxSFy7jSJ-dtKUWwvnGbYDbZ9D6fpm6gUZBCAsvOI</v>
      </c>
      <c r="C166" s="1" t="str">
        <f>HYPERLINK("https://docs.google.com/spreadsheets/d/1EksxSFy7jSJ-dtKUWwvnGbYDbZ9D6fpm6gUZBCAsvOI","Comida para dormir bien")</f>
        <v>Comida para dormir bien</v>
      </c>
    </row>
    <row r="167">
      <c r="A167" s="1" t="str">
        <f t="shared" si="70"/>
        <v>Cómo dormir mejor por la noche naturalmente</v>
      </c>
      <c r="B167" s="1" t="str">
        <f t="shared" si="67"/>
        <v>https://docs.google.com/spreadsheets/d/1EksxSFy7jSJ-dtKUWwvnGbYDbZ9D6fpm6gUZBCAsvOI</v>
      </c>
      <c r="C167" s="1" t="str">
        <f>HYPERLINK("https://docs.google.com/spreadsheets/d/1EksxSFy7jSJ-dtKUWwvnGbYDbZ9D6fpm6gUZBCAsvOI","Consejos sobre cómo dormir toda la noche")</f>
        <v>Consejos sobre cómo dormir toda la noche</v>
      </c>
    </row>
    <row r="168">
      <c r="A168" s="1" t="str">
        <f t="shared" si="70"/>
        <v>Cómo dormir mejor por la noche naturalmente</v>
      </c>
      <c r="B168" s="1" t="str">
        <f t="shared" si="67"/>
        <v>https://docs.google.com/spreadsheets/d/1EksxSFy7jSJ-dtKUWwvnGbYDbZ9D6fpm6gUZBCAsvOI</v>
      </c>
      <c r="C168" s="1" t="str">
        <f>HYPERLINK("https://docs.google.com/spreadsheets/d/1EksxSFy7jSJ-dtKUWwvnGbYDbZ9D6fpm6gUZBCAsvOI","Cómo dormir mejor y más rápido")</f>
        <v>Cómo dormir mejor y más rápido</v>
      </c>
    </row>
    <row r="169">
      <c r="A169" s="1" t="str">
        <f t="shared" ref="A169:A171" si="71">HYPERLINK("https://drive.google.com/drive/folders/112lsG739e2c8mHIEnkFflX2gNTUYXGCH","Cómo dormir en 5 minutos")</f>
        <v>Cómo dormir en 5 minutos</v>
      </c>
      <c r="B169" s="1" t="str">
        <f t="shared" ref="B169:B180" si="72">HYPERLINK("https://drive.google.com/drive/folders/112lsG739e2c8mHIEnkFflX2gNTUYXGCH","https://drive.google.com/drive/folders/112lsG739e2c8mHIEnkFflX2gNTUYXGCH")</f>
        <v>https://drive.google.com/drive/folders/112lsG739e2c8mHIEnkFflX2gNTUYXGCH</v>
      </c>
      <c r="C169" s="1" t="str">
        <f>HYPERLINK("https://drive.google.com/drive/folders/112lsG739e2c8mHIEnkFflX2gNTUYXGCH","Comida para dormir bien")</f>
        <v>Comida para dormir bien</v>
      </c>
    </row>
    <row r="170">
      <c r="A170" s="1" t="str">
        <f t="shared" si="71"/>
        <v>Cómo dormir en 5 minutos</v>
      </c>
      <c r="B170" s="1" t="str">
        <f t="shared" si="72"/>
        <v>https://drive.google.com/drive/folders/112lsG739e2c8mHIEnkFflX2gNTUYXGCH</v>
      </c>
      <c r="C170" s="1" t="str">
        <f>HYPERLINK("https://drive.google.com/drive/folders/112lsG739e2c8mHIEnkFflX2gNTUYXGCH","Consejos sobre cómo dormir toda la noche")</f>
        <v>Consejos sobre cómo dormir toda la noche</v>
      </c>
    </row>
    <row r="171">
      <c r="A171" s="1" t="str">
        <f t="shared" si="71"/>
        <v>Cómo dormir en 5 minutos</v>
      </c>
      <c r="B171" s="1" t="str">
        <f t="shared" si="72"/>
        <v>https://drive.google.com/drive/folders/112lsG739e2c8mHIEnkFflX2gNTUYXGCH</v>
      </c>
      <c r="C171" s="1" t="str">
        <f>HYPERLINK("https://drive.google.com/drive/folders/112lsG739e2c8mHIEnkFflX2gNTUYXGCH","Cómo dormir mejor y más rápido")</f>
        <v>Cómo dormir mejor y más rápido</v>
      </c>
    </row>
    <row r="172">
      <c r="A172" s="1" t="str">
        <f t="shared" ref="A172:A174" si="73">HYPERLINK("https://drive.google.com/drive/folders/112lsG739e2c8mHIEnkFflX2gNTUYXGCH","Cómo dormir mejor con ansiedad")</f>
        <v>Cómo dormir mejor con ansiedad</v>
      </c>
      <c r="B172" s="1" t="str">
        <f t="shared" si="72"/>
        <v>https://drive.google.com/drive/folders/112lsG739e2c8mHIEnkFflX2gNTUYXGCH</v>
      </c>
      <c r="C172" s="1" t="str">
        <f>HYPERLINK("https://drive.google.com/drive/folders/112lsG739e2c8mHIEnkFflX2gNTUYXGCH","Comida para dormir bien")</f>
        <v>Comida para dormir bien</v>
      </c>
    </row>
    <row r="173">
      <c r="A173" s="1" t="str">
        <f t="shared" si="73"/>
        <v>Cómo dormir mejor con ansiedad</v>
      </c>
      <c r="B173" s="1" t="str">
        <f t="shared" si="72"/>
        <v>https://drive.google.com/drive/folders/112lsG739e2c8mHIEnkFflX2gNTUYXGCH</v>
      </c>
      <c r="C173" s="1" t="str">
        <f>HYPERLINK("https://drive.google.com/drive/folders/112lsG739e2c8mHIEnkFflX2gNTUYXGCH","Consejos sobre cómo dormir toda la noche")</f>
        <v>Consejos sobre cómo dormir toda la noche</v>
      </c>
    </row>
    <row r="174">
      <c r="A174" s="1" t="str">
        <f t="shared" si="73"/>
        <v>Cómo dormir mejor con ansiedad</v>
      </c>
      <c r="B174" s="1" t="str">
        <f t="shared" si="72"/>
        <v>https://drive.google.com/drive/folders/112lsG739e2c8mHIEnkFflX2gNTUYXGCH</v>
      </c>
      <c r="C174" s="1" t="str">
        <f>HYPERLINK("https://drive.google.com/drive/folders/112lsG739e2c8mHIEnkFflX2gNTUYXGCH","Cómo dormir mejor y más rápido")</f>
        <v>Cómo dormir mejor y más rápido</v>
      </c>
    </row>
    <row r="175">
      <c r="A175" s="1" t="str">
        <f t="shared" ref="A175:A177" si="74">HYPERLINK("https://drive.google.com/drive/folders/112lsG739e2c8mHIEnkFflX2gNTUYXGCH","Remedios caseros para dormir bien")</f>
        <v>Remedios caseros para dormir bien</v>
      </c>
      <c r="B175" s="1" t="str">
        <f t="shared" si="72"/>
        <v>https://drive.google.com/drive/folders/112lsG739e2c8mHIEnkFflX2gNTUYXGCH</v>
      </c>
      <c r="C175" s="1" t="str">
        <f>HYPERLINK("https://drive.google.com/drive/folders/112lsG739e2c8mHIEnkFflX2gNTUYXGCH","Comida para dormir bien")</f>
        <v>Comida para dormir bien</v>
      </c>
    </row>
    <row r="176">
      <c r="A176" s="1" t="str">
        <f t="shared" si="74"/>
        <v>Remedios caseros para dormir bien</v>
      </c>
      <c r="B176" s="1" t="str">
        <f t="shared" si="72"/>
        <v>https://drive.google.com/drive/folders/112lsG739e2c8mHIEnkFflX2gNTUYXGCH</v>
      </c>
      <c r="C176" s="1" t="str">
        <f>HYPERLINK("https://drive.google.com/drive/folders/112lsG739e2c8mHIEnkFflX2gNTUYXGCH","Consejos sobre cómo dormir toda la noche")</f>
        <v>Consejos sobre cómo dormir toda la noche</v>
      </c>
    </row>
    <row r="177">
      <c r="A177" s="1" t="str">
        <f t="shared" si="74"/>
        <v>Remedios caseros para dormir bien</v>
      </c>
      <c r="B177" s="1" t="str">
        <f t="shared" si="72"/>
        <v>https://drive.google.com/drive/folders/112lsG739e2c8mHIEnkFflX2gNTUYXGCH</v>
      </c>
      <c r="C177" s="1" t="str">
        <f>HYPERLINK("https://drive.google.com/drive/folders/112lsG739e2c8mHIEnkFflX2gNTUYXGCH","Cómo dormir mejor y más rápido")</f>
        <v>Cómo dormir mejor y más rápido</v>
      </c>
    </row>
    <row r="178">
      <c r="A178" s="1" t="str">
        <f t="shared" ref="A178:A180" si="75">HYPERLINK("https://drive.google.com/drive/folders/112lsG739e2c8mHIEnkFflX2gNTUYXGCH","Cómo dormir mejor por la noche naturalmente")</f>
        <v>Cómo dormir mejor por la noche naturalmente</v>
      </c>
      <c r="B178" s="1" t="str">
        <f t="shared" si="72"/>
        <v>https://drive.google.com/drive/folders/112lsG739e2c8mHIEnkFflX2gNTUYXGCH</v>
      </c>
      <c r="C178" s="1" t="str">
        <f>HYPERLINK("https://drive.google.com/drive/folders/112lsG739e2c8mHIEnkFflX2gNTUYXGCH","Comida para dormir bien")</f>
        <v>Comida para dormir bien</v>
      </c>
    </row>
    <row r="179">
      <c r="A179" s="1" t="str">
        <f t="shared" si="75"/>
        <v>Cómo dormir mejor por la noche naturalmente</v>
      </c>
      <c r="B179" s="1" t="str">
        <f t="shared" si="72"/>
        <v>https://drive.google.com/drive/folders/112lsG739e2c8mHIEnkFflX2gNTUYXGCH</v>
      </c>
      <c r="C179" s="1" t="str">
        <f>HYPERLINK("https://drive.google.com/drive/folders/112lsG739e2c8mHIEnkFflX2gNTUYXGCH","Consejos sobre cómo dormir toda la noche")</f>
        <v>Consejos sobre cómo dormir toda la noche</v>
      </c>
    </row>
    <row r="180">
      <c r="A180" s="1" t="str">
        <f t="shared" si="75"/>
        <v>Cómo dormir mejor por la noche naturalmente</v>
      </c>
      <c r="B180" s="1" t="str">
        <f t="shared" si="72"/>
        <v>https://drive.google.com/drive/folders/112lsG739e2c8mHIEnkFflX2gNTUYXGCH</v>
      </c>
      <c r="C180" s="1" t="str">
        <f>HYPERLINK("https://drive.google.com/drive/folders/112lsG739e2c8mHIEnkFflX2gNTUYXGCH","Cómo dormir mejor y más rápido")</f>
        <v>Cómo dormir mejor y más rápido</v>
      </c>
    </row>
  </sheetData>
  <drawing r:id="rId1"/>
</worksheet>
</file>