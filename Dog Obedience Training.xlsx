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g Obedience Training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2">
    <border/>
    <border>
      <right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 t="shared" ref="A1:A6" si="1">HYPERLINK("https://m566.info/maebf00","Dog Aggression Training")</f>
        <v>Dog Aggression Training</v>
      </c>
      <c r="B1" s="1" t="str">
        <f t="shared" ref="B1:B30" si="2">HYPERLINK("https://m566.info/maebf00","https://m566.info/maebf00")</f>
        <v>https://m566.info/maebf00</v>
      </c>
      <c r="C1" s="1" t="str">
        <f>HYPERLINK("https://m566.info/maebf00","Doberman")</f>
        <v>Doberman</v>
      </c>
    </row>
    <row r="2">
      <c r="A2" s="1" t="str">
        <f t="shared" si="1"/>
        <v>Dog Aggression Training</v>
      </c>
      <c r="B2" s="1" t="str">
        <f t="shared" si="2"/>
        <v>https://m566.info/maebf00</v>
      </c>
      <c r="C2" s="1" t="str">
        <f>HYPERLINK("https://m566.info/maebf00","German Shepherd")</f>
        <v>German Shepherd</v>
      </c>
    </row>
    <row r="3">
      <c r="A3" s="1" t="str">
        <f t="shared" si="1"/>
        <v>Dog Aggression Training</v>
      </c>
      <c r="B3" s="1" t="str">
        <f t="shared" si="2"/>
        <v>https://m566.info/maebf00</v>
      </c>
      <c r="C3" s="1" t="str">
        <f>HYPERLINK("https://m566.info/maebf00","Border Clollie")</f>
        <v>Border Clollie</v>
      </c>
    </row>
    <row r="4">
      <c r="A4" s="1" t="str">
        <f t="shared" si="1"/>
        <v>Dog Aggression Training</v>
      </c>
      <c r="B4" s="1" t="str">
        <f t="shared" si="2"/>
        <v>https://m566.info/maebf00</v>
      </c>
      <c r="C4" s="1" t="str">
        <f>HYPERLINK("https://m566.info/maebf00","Rotwieller")</f>
        <v>Rotwieller</v>
      </c>
    </row>
    <row r="5">
      <c r="A5" s="1" t="str">
        <f t="shared" si="1"/>
        <v>Dog Aggression Training</v>
      </c>
      <c r="B5" s="1" t="str">
        <f t="shared" si="2"/>
        <v>https://m566.info/maebf00</v>
      </c>
      <c r="C5" s="1" t="str">
        <f>HYPERLINK("https://m566.info/maebf00","Cross Bred")</f>
        <v>Cross Bred</v>
      </c>
    </row>
    <row r="6">
      <c r="A6" s="1" t="str">
        <f t="shared" si="1"/>
        <v>Dog Aggression Training</v>
      </c>
      <c r="B6" s="1" t="str">
        <f t="shared" si="2"/>
        <v>https://m566.info/maebf00</v>
      </c>
      <c r="C6" s="1" t="str">
        <f>HYPERLINK("https://m566.info/maebf00","Rotweiller")</f>
        <v>Rotweiller</v>
      </c>
    </row>
    <row r="7">
      <c r="A7" s="1" t="str">
        <f t="shared" ref="A7:A12" si="3">HYPERLINK("https://m566.info/maebf00","Dog Obedience Training")</f>
        <v>Dog Obedience Training</v>
      </c>
      <c r="B7" s="1" t="str">
        <f t="shared" si="2"/>
        <v>https://m566.info/maebf00</v>
      </c>
      <c r="C7" s="1" t="str">
        <f>HYPERLINK("https://m566.info/maebf00","Doberman")</f>
        <v>Doberman</v>
      </c>
    </row>
    <row r="8">
      <c r="A8" s="1" t="str">
        <f t="shared" si="3"/>
        <v>Dog Obedience Training</v>
      </c>
      <c r="B8" s="1" t="str">
        <f t="shared" si="2"/>
        <v>https://m566.info/maebf00</v>
      </c>
      <c r="C8" s="1" t="str">
        <f>HYPERLINK("https://m566.info/maebf00","German Shepherd")</f>
        <v>German Shepherd</v>
      </c>
    </row>
    <row r="9">
      <c r="A9" s="1" t="str">
        <f t="shared" si="3"/>
        <v>Dog Obedience Training</v>
      </c>
      <c r="B9" s="1" t="str">
        <f t="shared" si="2"/>
        <v>https://m566.info/maebf00</v>
      </c>
      <c r="C9" s="1" t="str">
        <f>HYPERLINK("https://m566.info/maebf00","Border Clollie")</f>
        <v>Border Clollie</v>
      </c>
    </row>
    <row r="10">
      <c r="A10" s="1" t="str">
        <f t="shared" si="3"/>
        <v>Dog Obedience Training</v>
      </c>
      <c r="B10" s="1" t="str">
        <f t="shared" si="2"/>
        <v>https://m566.info/maebf00</v>
      </c>
      <c r="C10" s="1" t="str">
        <f>HYPERLINK("https://m566.info/maebf00","Rotwieller")</f>
        <v>Rotwieller</v>
      </c>
    </row>
    <row r="11">
      <c r="A11" s="1" t="str">
        <f t="shared" si="3"/>
        <v>Dog Obedience Training</v>
      </c>
      <c r="B11" s="1" t="str">
        <f t="shared" si="2"/>
        <v>https://m566.info/maebf00</v>
      </c>
      <c r="C11" s="1" t="str">
        <f>HYPERLINK("https://m566.info/maebf00","Cross Bred")</f>
        <v>Cross Bred</v>
      </c>
    </row>
    <row r="12">
      <c r="A12" s="1" t="str">
        <f t="shared" si="3"/>
        <v>Dog Obedience Training</v>
      </c>
      <c r="B12" s="1" t="str">
        <f t="shared" si="2"/>
        <v>https://m566.info/maebf00</v>
      </c>
      <c r="C12" s="1" t="str">
        <f>HYPERLINK("https://m566.info/maebf00","Rotweiller")</f>
        <v>Rotweiller</v>
      </c>
    </row>
    <row r="13">
      <c r="A13" s="1" t="str">
        <f t="shared" ref="A13:A18" si="4">HYPERLINK("https://m566.info/maebf00","Dog House Training")</f>
        <v>Dog House Training</v>
      </c>
      <c r="B13" s="1" t="str">
        <f t="shared" si="2"/>
        <v>https://m566.info/maebf00</v>
      </c>
      <c r="C13" s="1" t="str">
        <f>HYPERLINK("https://m566.info/maebf00","Doberman")</f>
        <v>Doberman</v>
      </c>
    </row>
    <row r="14">
      <c r="A14" s="1" t="str">
        <f t="shared" si="4"/>
        <v>Dog House Training</v>
      </c>
      <c r="B14" s="1" t="str">
        <f t="shared" si="2"/>
        <v>https://m566.info/maebf00</v>
      </c>
      <c r="C14" s="1" t="str">
        <f>HYPERLINK("https://m566.info/maebf00","German Shepherd")</f>
        <v>German Shepherd</v>
      </c>
    </row>
    <row r="15">
      <c r="A15" s="1" t="str">
        <f t="shared" si="4"/>
        <v>Dog House Training</v>
      </c>
      <c r="B15" s="1" t="str">
        <f t="shared" si="2"/>
        <v>https://m566.info/maebf00</v>
      </c>
      <c r="C15" s="1" t="str">
        <f>HYPERLINK("https://m566.info/maebf00","Border Clollie")</f>
        <v>Border Clollie</v>
      </c>
    </row>
    <row r="16">
      <c r="A16" s="1" t="str">
        <f t="shared" si="4"/>
        <v>Dog House Training</v>
      </c>
      <c r="B16" s="1" t="str">
        <f t="shared" si="2"/>
        <v>https://m566.info/maebf00</v>
      </c>
      <c r="C16" s="1" t="str">
        <f>HYPERLINK("https://m566.info/maebf00","Rotwieller")</f>
        <v>Rotwieller</v>
      </c>
    </row>
    <row r="17">
      <c r="A17" s="1" t="str">
        <f t="shared" si="4"/>
        <v>Dog House Training</v>
      </c>
      <c r="B17" s="1" t="str">
        <f t="shared" si="2"/>
        <v>https://m566.info/maebf00</v>
      </c>
      <c r="C17" s="1" t="str">
        <f>HYPERLINK("https://m566.info/maebf00","Cross Bred")</f>
        <v>Cross Bred</v>
      </c>
    </row>
    <row r="18">
      <c r="A18" s="1" t="str">
        <f t="shared" si="4"/>
        <v>Dog House Training</v>
      </c>
      <c r="B18" s="1" t="str">
        <f t="shared" si="2"/>
        <v>https://m566.info/maebf00</v>
      </c>
      <c r="C18" s="1" t="str">
        <f>HYPERLINK("https://m566.info/maebf00","Rotweiller")</f>
        <v>Rotweiller</v>
      </c>
    </row>
    <row r="19">
      <c r="A19" s="1" t="str">
        <f t="shared" ref="A19:A24" si="5">HYPERLINK("https://m566.info/maebf00","Dog Behaviour Training")</f>
        <v>Dog Behaviour Training</v>
      </c>
      <c r="B19" s="1" t="str">
        <f t="shared" si="2"/>
        <v>https://m566.info/maebf00</v>
      </c>
      <c r="C19" s="1" t="str">
        <f>HYPERLINK("https://m566.info/maebf00","Doberman")</f>
        <v>Doberman</v>
      </c>
    </row>
    <row r="20">
      <c r="A20" s="1" t="str">
        <f t="shared" si="5"/>
        <v>Dog Behaviour Training</v>
      </c>
      <c r="B20" s="1" t="str">
        <f t="shared" si="2"/>
        <v>https://m566.info/maebf00</v>
      </c>
      <c r="C20" s="1" t="str">
        <f>HYPERLINK("https://m566.info/maebf00","German Shepherd")</f>
        <v>German Shepherd</v>
      </c>
    </row>
    <row r="21">
      <c r="A21" s="1" t="str">
        <f t="shared" si="5"/>
        <v>Dog Behaviour Training</v>
      </c>
      <c r="B21" s="1" t="str">
        <f t="shared" si="2"/>
        <v>https://m566.info/maebf00</v>
      </c>
      <c r="C21" s="1" t="str">
        <f>HYPERLINK("https://m566.info/maebf00","Border Clollie")</f>
        <v>Border Clollie</v>
      </c>
    </row>
    <row r="22">
      <c r="A22" s="1" t="str">
        <f t="shared" si="5"/>
        <v>Dog Behaviour Training</v>
      </c>
      <c r="B22" s="1" t="str">
        <f t="shared" si="2"/>
        <v>https://m566.info/maebf00</v>
      </c>
      <c r="C22" s="1" t="str">
        <f>HYPERLINK("https://m566.info/maebf00","Rotwieller")</f>
        <v>Rotwieller</v>
      </c>
    </row>
    <row r="23">
      <c r="A23" s="1" t="str">
        <f t="shared" si="5"/>
        <v>Dog Behaviour Training</v>
      </c>
      <c r="B23" s="1" t="str">
        <f t="shared" si="2"/>
        <v>https://m566.info/maebf00</v>
      </c>
      <c r="C23" s="1" t="str">
        <f>HYPERLINK("https://m566.info/maebf00","Cross Bred")</f>
        <v>Cross Bred</v>
      </c>
    </row>
    <row r="24">
      <c r="A24" s="1" t="str">
        <f t="shared" si="5"/>
        <v>Dog Behaviour Training</v>
      </c>
      <c r="B24" s="1" t="str">
        <f t="shared" si="2"/>
        <v>https://m566.info/maebf00</v>
      </c>
      <c r="C24" s="1" t="str">
        <f>HYPERLINK("https://m566.info/maebf00","Rotweiller")</f>
        <v>Rotweiller</v>
      </c>
    </row>
    <row r="25">
      <c r="A25" s="1" t="str">
        <f t="shared" ref="A25:A30" si="6">HYPERLINK("https://m566.info/maebf00","Dog : Elite Training")</f>
        <v>Dog : Elite Training</v>
      </c>
      <c r="B25" s="1" t="str">
        <f t="shared" si="2"/>
        <v>https://m566.info/maebf00</v>
      </c>
      <c r="C25" s="1" t="str">
        <f>HYPERLINK("https://m566.info/maebf00","Doberman")</f>
        <v>Doberman</v>
      </c>
    </row>
    <row r="26">
      <c r="A26" s="1" t="str">
        <f t="shared" si="6"/>
        <v>Dog : Elite Training</v>
      </c>
      <c r="B26" s="1" t="str">
        <f t="shared" si="2"/>
        <v>https://m566.info/maebf00</v>
      </c>
      <c r="C26" s="1" t="str">
        <f>HYPERLINK("https://m566.info/maebf00","German Shepherd")</f>
        <v>German Shepherd</v>
      </c>
    </row>
    <row r="27">
      <c r="A27" s="1" t="str">
        <f t="shared" si="6"/>
        <v>Dog : Elite Training</v>
      </c>
      <c r="B27" s="1" t="str">
        <f t="shared" si="2"/>
        <v>https://m566.info/maebf00</v>
      </c>
      <c r="C27" s="1" t="str">
        <f>HYPERLINK("https://m566.info/maebf00","Border Clollie")</f>
        <v>Border Clollie</v>
      </c>
    </row>
    <row r="28">
      <c r="A28" s="1" t="str">
        <f t="shared" si="6"/>
        <v>Dog : Elite Training</v>
      </c>
      <c r="B28" s="1" t="str">
        <f t="shared" si="2"/>
        <v>https://m566.info/maebf00</v>
      </c>
      <c r="C28" s="1" t="str">
        <f>HYPERLINK("https://m566.info/maebf00","Rotwieller")</f>
        <v>Rotwieller</v>
      </c>
    </row>
    <row r="29">
      <c r="A29" s="1" t="str">
        <f t="shared" si="6"/>
        <v>Dog : Elite Training</v>
      </c>
      <c r="B29" s="1" t="str">
        <f t="shared" si="2"/>
        <v>https://m566.info/maebf00</v>
      </c>
      <c r="C29" s="1" t="str">
        <f>HYPERLINK("https://m566.info/maebf00","Cross Bred")</f>
        <v>Cross Bred</v>
      </c>
    </row>
    <row r="30">
      <c r="A30" s="1" t="str">
        <f t="shared" si="6"/>
        <v>Dog : Elite Training</v>
      </c>
      <c r="B30" s="1" t="str">
        <f t="shared" si="2"/>
        <v>https://m566.info/maebf00</v>
      </c>
      <c r="C30" s="1" t="str">
        <f>HYPERLINK("https://m566.info/maebf00","Rotweiller")</f>
        <v>Rotweiller</v>
      </c>
    </row>
    <row r="31">
      <c r="A31" s="1" t="str">
        <f t="shared" ref="A31:A36" si="7">HYPERLINK("https://m566.info/uur595i","Dog Aggression Training")</f>
        <v>Dog Aggression Training</v>
      </c>
      <c r="B31" s="1" t="str">
        <f t="shared" ref="B31:B60" si="8">HYPERLINK("https://m566.info/uur595i","https://m566.info/uur595i")</f>
        <v>https://m566.info/uur595i</v>
      </c>
      <c r="C31" s="1" t="str">
        <f>HYPERLINK("https://m566.info/uur595i","Doberman")</f>
        <v>Doberman</v>
      </c>
    </row>
    <row r="32">
      <c r="A32" s="1" t="str">
        <f t="shared" si="7"/>
        <v>Dog Aggression Training</v>
      </c>
      <c r="B32" s="1" t="str">
        <f t="shared" si="8"/>
        <v>https://m566.info/uur595i</v>
      </c>
      <c r="C32" s="1" t="str">
        <f>HYPERLINK("https://m566.info/uur595i","German Shepherd")</f>
        <v>German Shepherd</v>
      </c>
    </row>
    <row r="33">
      <c r="A33" s="1" t="str">
        <f t="shared" si="7"/>
        <v>Dog Aggression Training</v>
      </c>
      <c r="B33" s="1" t="str">
        <f t="shared" si="8"/>
        <v>https://m566.info/uur595i</v>
      </c>
      <c r="C33" s="1" t="str">
        <f>HYPERLINK("https://m566.info/uur595i","Border Clollie")</f>
        <v>Border Clollie</v>
      </c>
    </row>
    <row r="34">
      <c r="A34" s="1" t="str">
        <f t="shared" si="7"/>
        <v>Dog Aggression Training</v>
      </c>
      <c r="B34" s="1" t="str">
        <f t="shared" si="8"/>
        <v>https://m566.info/uur595i</v>
      </c>
      <c r="C34" s="1" t="str">
        <f>HYPERLINK("https://m566.info/uur595i","Rotwieller")</f>
        <v>Rotwieller</v>
      </c>
    </row>
    <row r="35">
      <c r="A35" s="1" t="str">
        <f t="shared" si="7"/>
        <v>Dog Aggression Training</v>
      </c>
      <c r="B35" s="1" t="str">
        <f t="shared" si="8"/>
        <v>https://m566.info/uur595i</v>
      </c>
      <c r="C35" s="1" t="str">
        <f>HYPERLINK("https://m566.info/uur595i","Cross Bred")</f>
        <v>Cross Bred</v>
      </c>
    </row>
    <row r="36">
      <c r="A36" s="1" t="str">
        <f t="shared" si="7"/>
        <v>Dog Aggression Training</v>
      </c>
      <c r="B36" s="1" t="str">
        <f t="shared" si="8"/>
        <v>https://m566.info/uur595i</v>
      </c>
      <c r="C36" s="1" t="str">
        <f>HYPERLINK("https://m566.info/uur595i","Rotweiller")</f>
        <v>Rotweiller</v>
      </c>
    </row>
    <row r="37">
      <c r="A37" s="1" t="str">
        <f t="shared" ref="A37:A42" si="9">HYPERLINK("https://m566.info/uur595i","Dog Obedience Training")</f>
        <v>Dog Obedience Training</v>
      </c>
      <c r="B37" s="1" t="str">
        <f t="shared" si="8"/>
        <v>https://m566.info/uur595i</v>
      </c>
      <c r="C37" s="1" t="str">
        <f>HYPERLINK("https://m566.info/uur595i","Doberman")</f>
        <v>Doberman</v>
      </c>
    </row>
    <row r="38">
      <c r="A38" s="1" t="str">
        <f t="shared" si="9"/>
        <v>Dog Obedience Training</v>
      </c>
      <c r="B38" s="1" t="str">
        <f t="shared" si="8"/>
        <v>https://m566.info/uur595i</v>
      </c>
      <c r="C38" s="1" t="str">
        <f>HYPERLINK("https://m566.info/uur595i","German Shepherd")</f>
        <v>German Shepherd</v>
      </c>
    </row>
    <row r="39">
      <c r="A39" s="1" t="str">
        <f t="shared" si="9"/>
        <v>Dog Obedience Training</v>
      </c>
      <c r="B39" s="1" t="str">
        <f t="shared" si="8"/>
        <v>https://m566.info/uur595i</v>
      </c>
      <c r="C39" s="1" t="str">
        <f>HYPERLINK("https://m566.info/uur595i","Border Clollie")</f>
        <v>Border Clollie</v>
      </c>
    </row>
    <row r="40">
      <c r="A40" s="1" t="str">
        <f t="shared" si="9"/>
        <v>Dog Obedience Training</v>
      </c>
      <c r="B40" s="1" t="str">
        <f t="shared" si="8"/>
        <v>https://m566.info/uur595i</v>
      </c>
      <c r="C40" s="1" t="str">
        <f>HYPERLINK("https://m566.info/uur595i","Rotwieller")</f>
        <v>Rotwieller</v>
      </c>
    </row>
    <row r="41">
      <c r="A41" s="1" t="str">
        <f t="shared" si="9"/>
        <v>Dog Obedience Training</v>
      </c>
      <c r="B41" s="1" t="str">
        <f t="shared" si="8"/>
        <v>https://m566.info/uur595i</v>
      </c>
      <c r="C41" s="1" t="str">
        <f>HYPERLINK("https://m566.info/uur595i","Cross Bred")</f>
        <v>Cross Bred</v>
      </c>
    </row>
    <row r="42">
      <c r="A42" s="1" t="str">
        <f t="shared" si="9"/>
        <v>Dog Obedience Training</v>
      </c>
      <c r="B42" s="1" t="str">
        <f t="shared" si="8"/>
        <v>https://m566.info/uur595i</v>
      </c>
      <c r="C42" s="1" t="str">
        <f>HYPERLINK("https://m566.info/uur595i","Rotweiller")</f>
        <v>Rotweiller</v>
      </c>
    </row>
    <row r="43">
      <c r="A43" s="1" t="str">
        <f t="shared" ref="A43:A48" si="10">HYPERLINK("https://m566.info/uur595i","Dog House Training")</f>
        <v>Dog House Training</v>
      </c>
      <c r="B43" s="1" t="str">
        <f t="shared" si="8"/>
        <v>https://m566.info/uur595i</v>
      </c>
      <c r="C43" s="1" t="str">
        <f>HYPERLINK("https://m566.info/uur595i","Doberman")</f>
        <v>Doberman</v>
      </c>
    </row>
    <row r="44">
      <c r="A44" s="1" t="str">
        <f t="shared" si="10"/>
        <v>Dog House Training</v>
      </c>
      <c r="B44" s="1" t="str">
        <f t="shared" si="8"/>
        <v>https://m566.info/uur595i</v>
      </c>
      <c r="C44" s="1" t="str">
        <f>HYPERLINK("https://m566.info/uur595i","German Shepherd")</f>
        <v>German Shepherd</v>
      </c>
    </row>
    <row r="45">
      <c r="A45" s="1" t="str">
        <f t="shared" si="10"/>
        <v>Dog House Training</v>
      </c>
      <c r="B45" s="1" t="str">
        <f t="shared" si="8"/>
        <v>https://m566.info/uur595i</v>
      </c>
      <c r="C45" s="1" t="str">
        <f>HYPERLINK("https://m566.info/uur595i","Border Clollie")</f>
        <v>Border Clollie</v>
      </c>
    </row>
    <row r="46">
      <c r="A46" s="1" t="str">
        <f t="shared" si="10"/>
        <v>Dog House Training</v>
      </c>
      <c r="B46" s="1" t="str">
        <f t="shared" si="8"/>
        <v>https://m566.info/uur595i</v>
      </c>
      <c r="C46" s="1" t="str">
        <f>HYPERLINK("https://m566.info/uur595i","Rotwieller")</f>
        <v>Rotwieller</v>
      </c>
    </row>
    <row r="47">
      <c r="A47" s="1" t="str">
        <f t="shared" si="10"/>
        <v>Dog House Training</v>
      </c>
      <c r="B47" s="1" t="str">
        <f t="shared" si="8"/>
        <v>https://m566.info/uur595i</v>
      </c>
      <c r="C47" s="1" t="str">
        <f>HYPERLINK("https://m566.info/uur595i","Cross Bred")</f>
        <v>Cross Bred</v>
      </c>
    </row>
    <row r="48">
      <c r="A48" s="1" t="str">
        <f t="shared" si="10"/>
        <v>Dog House Training</v>
      </c>
      <c r="B48" s="1" t="str">
        <f t="shared" si="8"/>
        <v>https://m566.info/uur595i</v>
      </c>
      <c r="C48" s="1" t="str">
        <f>HYPERLINK("https://m566.info/uur595i","Rotweiller")</f>
        <v>Rotweiller</v>
      </c>
    </row>
    <row r="49">
      <c r="A49" s="1" t="str">
        <f t="shared" ref="A49:A54" si="11">HYPERLINK("https://m566.info/uur595i","Dog Behaviour Training")</f>
        <v>Dog Behaviour Training</v>
      </c>
      <c r="B49" s="1" t="str">
        <f t="shared" si="8"/>
        <v>https://m566.info/uur595i</v>
      </c>
      <c r="C49" s="1" t="str">
        <f>HYPERLINK("https://m566.info/uur595i","Doberman")</f>
        <v>Doberman</v>
      </c>
    </row>
    <row r="50">
      <c r="A50" s="1" t="str">
        <f t="shared" si="11"/>
        <v>Dog Behaviour Training</v>
      </c>
      <c r="B50" s="1" t="str">
        <f t="shared" si="8"/>
        <v>https://m566.info/uur595i</v>
      </c>
      <c r="C50" s="1" t="str">
        <f>HYPERLINK("https://m566.info/uur595i","German Shepherd")</f>
        <v>German Shepherd</v>
      </c>
    </row>
    <row r="51">
      <c r="A51" s="1" t="str">
        <f t="shared" si="11"/>
        <v>Dog Behaviour Training</v>
      </c>
      <c r="B51" s="1" t="str">
        <f t="shared" si="8"/>
        <v>https://m566.info/uur595i</v>
      </c>
      <c r="C51" s="1" t="str">
        <f>HYPERLINK("https://m566.info/uur595i","Border Clollie")</f>
        <v>Border Clollie</v>
      </c>
    </row>
    <row r="52">
      <c r="A52" s="1" t="str">
        <f t="shared" si="11"/>
        <v>Dog Behaviour Training</v>
      </c>
      <c r="B52" s="1" t="str">
        <f t="shared" si="8"/>
        <v>https://m566.info/uur595i</v>
      </c>
      <c r="C52" s="1" t="str">
        <f>HYPERLINK("https://m566.info/uur595i","Rotwieller")</f>
        <v>Rotwieller</v>
      </c>
    </row>
    <row r="53">
      <c r="A53" s="1" t="str">
        <f t="shared" si="11"/>
        <v>Dog Behaviour Training</v>
      </c>
      <c r="B53" s="1" t="str">
        <f t="shared" si="8"/>
        <v>https://m566.info/uur595i</v>
      </c>
      <c r="C53" s="1" t="str">
        <f>HYPERLINK("https://m566.info/uur595i","Cross Bred")</f>
        <v>Cross Bred</v>
      </c>
    </row>
    <row r="54">
      <c r="A54" s="1" t="str">
        <f t="shared" si="11"/>
        <v>Dog Behaviour Training</v>
      </c>
      <c r="B54" s="1" t="str">
        <f t="shared" si="8"/>
        <v>https://m566.info/uur595i</v>
      </c>
      <c r="C54" s="1" t="str">
        <f>HYPERLINK("https://m566.info/uur595i","Rotweiller")</f>
        <v>Rotweiller</v>
      </c>
    </row>
    <row r="55">
      <c r="A55" s="1" t="str">
        <f t="shared" ref="A55:A60" si="12">HYPERLINK("https://m566.info/uur595i","Dog : Elite Training")</f>
        <v>Dog : Elite Training</v>
      </c>
      <c r="B55" s="1" t="str">
        <f t="shared" si="8"/>
        <v>https://m566.info/uur595i</v>
      </c>
      <c r="C55" s="1" t="str">
        <f>HYPERLINK("https://m566.info/uur595i","Doberman")</f>
        <v>Doberman</v>
      </c>
    </row>
    <row r="56">
      <c r="A56" s="1" t="str">
        <f t="shared" si="12"/>
        <v>Dog : Elite Training</v>
      </c>
      <c r="B56" s="1" t="str">
        <f t="shared" si="8"/>
        <v>https://m566.info/uur595i</v>
      </c>
      <c r="C56" s="1" t="str">
        <f>HYPERLINK("https://m566.info/uur595i","German Shepherd")</f>
        <v>German Shepherd</v>
      </c>
    </row>
    <row r="57">
      <c r="A57" s="1" t="str">
        <f t="shared" si="12"/>
        <v>Dog : Elite Training</v>
      </c>
      <c r="B57" s="1" t="str">
        <f t="shared" si="8"/>
        <v>https://m566.info/uur595i</v>
      </c>
      <c r="C57" s="1" t="str">
        <f>HYPERLINK("https://m566.info/uur595i","Border Clollie")</f>
        <v>Border Clollie</v>
      </c>
    </row>
    <row r="58">
      <c r="A58" s="1" t="str">
        <f t="shared" si="12"/>
        <v>Dog : Elite Training</v>
      </c>
      <c r="B58" s="1" t="str">
        <f t="shared" si="8"/>
        <v>https://m566.info/uur595i</v>
      </c>
      <c r="C58" s="1" t="str">
        <f>HYPERLINK("https://m566.info/uur595i","Rotwieller")</f>
        <v>Rotwieller</v>
      </c>
    </row>
    <row r="59">
      <c r="A59" s="1" t="str">
        <f t="shared" si="12"/>
        <v>Dog : Elite Training</v>
      </c>
      <c r="B59" s="1" t="str">
        <f t="shared" si="8"/>
        <v>https://m566.info/uur595i</v>
      </c>
      <c r="C59" s="1" t="str">
        <f>HYPERLINK("https://m566.info/uur595i","Cross Bred")</f>
        <v>Cross Bred</v>
      </c>
    </row>
    <row r="60">
      <c r="A60" s="1" t="str">
        <f t="shared" si="12"/>
        <v>Dog : Elite Training</v>
      </c>
      <c r="B60" s="1" t="str">
        <f t="shared" si="8"/>
        <v>https://m566.info/uur595i</v>
      </c>
      <c r="C60" s="1" t="str">
        <f>HYPERLINK("https://m566.info/uur595i","Rotweiller")</f>
        <v>Rotweiller</v>
      </c>
    </row>
    <row r="61">
      <c r="A61" s="1" t="str">
        <f t="shared" ref="A61:A66" si="13">HYPERLINK("https://m566.info/mswqva2","Dog Aggression Training")</f>
        <v>Dog Aggression Training</v>
      </c>
      <c r="B61" s="1" t="str">
        <f t="shared" ref="B61:B90" si="14">HYPERLINK("https://m566.info/mswqva2","https://m566.info/mswqva2")</f>
        <v>https://m566.info/mswqva2</v>
      </c>
      <c r="C61" s="1" t="str">
        <f>HYPERLINK("https://m566.info/mswqva2","Doberman")</f>
        <v>Doberman</v>
      </c>
    </row>
    <row r="62">
      <c r="A62" s="1" t="str">
        <f t="shared" si="13"/>
        <v>Dog Aggression Training</v>
      </c>
      <c r="B62" s="1" t="str">
        <f t="shared" si="14"/>
        <v>https://m566.info/mswqva2</v>
      </c>
      <c r="C62" s="1" t="str">
        <f>HYPERLINK("https://m566.info/mswqva2","German Shepherd")</f>
        <v>German Shepherd</v>
      </c>
    </row>
    <row r="63">
      <c r="A63" s="1" t="str">
        <f t="shared" si="13"/>
        <v>Dog Aggression Training</v>
      </c>
      <c r="B63" s="1" t="str">
        <f t="shared" si="14"/>
        <v>https://m566.info/mswqva2</v>
      </c>
      <c r="C63" s="1" t="str">
        <f>HYPERLINK("https://m566.info/mswqva2","Border Clollie")</f>
        <v>Border Clollie</v>
      </c>
    </row>
    <row r="64">
      <c r="A64" s="1" t="str">
        <f t="shared" si="13"/>
        <v>Dog Aggression Training</v>
      </c>
      <c r="B64" s="1" t="str">
        <f t="shared" si="14"/>
        <v>https://m566.info/mswqva2</v>
      </c>
      <c r="C64" s="1" t="str">
        <f>HYPERLINK("https://m566.info/mswqva2","Rotwieller")</f>
        <v>Rotwieller</v>
      </c>
    </row>
    <row r="65">
      <c r="A65" s="1" t="str">
        <f t="shared" si="13"/>
        <v>Dog Aggression Training</v>
      </c>
      <c r="B65" s="1" t="str">
        <f t="shared" si="14"/>
        <v>https://m566.info/mswqva2</v>
      </c>
      <c r="C65" s="1" t="str">
        <f>HYPERLINK("https://m566.info/mswqva2","Cross Bred")</f>
        <v>Cross Bred</v>
      </c>
    </row>
    <row r="66">
      <c r="A66" s="1" t="str">
        <f t="shared" si="13"/>
        <v>Dog Aggression Training</v>
      </c>
      <c r="B66" s="1" t="str">
        <f t="shared" si="14"/>
        <v>https://m566.info/mswqva2</v>
      </c>
      <c r="C66" s="1" t="str">
        <f>HYPERLINK("https://m566.info/mswqva2","Rotweiller")</f>
        <v>Rotweiller</v>
      </c>
    </row>
    <row r="67">
      <c r="A67" s="1" t="str">
        <f t="shared" ref="A67:A72" si="15">HYPERLINK("https://m566.info/mswqva2","Dog Obedience Training")</f>
        <v>Dog Obedience Training</v>
      </c>
      <c r="B67" s="1" t="str">
        <f t="shared" si="14"/>
        <v>https://m566.info/mswqva2</v>
      </c>
      <c r="C67" s="1" t="str">
        <f>HYPERLINK("https://m566.info/mswqva2","Doberman")</f>
        <v>Doberman</v>
      </c>
    </row>
    <row r="68">
      <c r="A68" s="1" t="str">
        <f t="shared" si="15"/>
        <v>Dog Obedience Training</v>
      </c>
      <c r="B68" s="1" t="str">
        <f t="shared" si="14"/>
        <v>https://m566.info/mswqva2</v>
      </c>
      <c r="C68" s="1" t="str">
        <f>HYPERLINK("https://m566.info/mswqva2","German Shepherd")</f>
        <v>German Shepherd</v>
      </c>
    </row>
    <row r="69">
      <c r="A69" s="1" t="str">
        <f t="shared" si="15"/>
        <v>Dog Obedience Training</v>
      </c>
      <c r="B69" s="1" t="str">
        <f t="shared" si="14"/>
        <v>https://m566.info/mswqva2</v>
      </c>
      <c r="C69" s="1" t="str">
        <f>HYPERLINK("https://m566.info/mswqva2","Border Clollie")</f>
        <v>Border Clollie</v>
      </c>
    </row>
    <row r="70">
      <c r="A70" s="1" t="str">
        <f t="shared" si="15"/>
        <v>Dog Obedience Training</v>
      </c>
      <c r="B70" s="1" t="str">
        <f t="shared" si="14"/>
        <v>https://m566.info/mswqva2</v>
      </c>
      <c r="C70" s="1" t="str">
        <f>HYPERLINK("https://m566.info/mswqva2","Rotwieller")</f>
        <v>Rotwieller</v>
      </c>
    </row>
    <row r="71">
      <c r="A71" s="1" t="str">
        <f t="shared" si="15"/>
        <v>Dog Obedience Training</v>
      </c>
      <c r="B71" s="1" t="str">
        <f t="shared" si="14"/>
        <v>https://m566.info/mswqva2</v>
      </c>
      <c r="C71" s="1" t="str">
        <f>HYPERLINK("https://m566.info/mswqva2","Cross Bred")</f>
        <v>Cross Bred</v>
      </c>
    </row>
    <row r="72">
      <c r="A72" s="1" t="str">
        <f t="shared" si="15"/>
        <v>Dog Obedience Training</v>
      </c>
      <c r="B72" s="1" t="str">
        <f t="shared" si="14"/>
        <v>https://m566.info/mswqva2</v>
      </c>
      <c r="C72" s="1" t="str">
        <f>HYPERLINK("https://m566.info/mswqva2","Rotweiller")</f>
        <v>Rotweiller</v>
      </c>
    </row>
    <row r="73">
      <c r="A73" s="1" t="str">
        <f t="shared" ref="A73:A78" si="16">HYPERLINK("https://m566.info/mswqva2","Dog House Training")</f>
        <v>Dog House Training</v>
      </c>
      <c r="B73" s="1" t="str">
        <f t="shared" si="14"/>
        <v>https://m566.info/mswqva2</v>
      </c>
      <c r="C73" s="1" t="str">
        <f>HYPERLINK("https://m566.info/mswqva2","Doberman")</f>
        <v>Doberman</v>
      </c>
    </row>
    <row r="74">
      <c r="A74" s="1" t="str">
        <f t="shared" si="16"/>
        <v>Dog House Training</v>
      </c>
      <c r="B74" s="1" t="str">
        <f t="shared" si="14"/>
        <v>https://m566.info/mswqva2</v>
      </c>
      <c r="C74" s="1" t="str">
        <f>HYPERLINK("https://m566.info/mswqva2","German Shepherd")</f>
        <v>German Shepherd</v>
      </c>
    </row>
    <row r="75">
      <c r="A75" s="1" t="str">
        <f t="shared" si="16"/>
        <v>Dog House Training</v>
      </c>
      <c r="B75" s="1" t="str">
        <f t="shared" si="14"/>
        <v>https://m566.info/mswqva2</v>
      </c>
      <c r="C75" s="1" t="str">
        <f>HYPERLINK("https://m566.info/mswqva2","Border Clollie")</f>
        <v>Border Clollie</v>
      </c>
    </row>
    <row r="76">
      <c r="A76" s="1" t="str">
        <f t="shared" si="16"/>
        <v>Dog House Training</v>
      </c>
      <c r="B76" s="1" t="str">
        <f t="shared" si="14"/>
        <v>https://m566.info/mswqva2</v>
      </c>
      <c r="C76" s="1" t="str">
        <f>HYPERLINK("https://m566.info/mswqva2","Rotwieller")</f>
        <v>Rotwieller</v>
      </c>
    </row>
    <row r="77">
      <c r="A77" s="1" t="str">
        <f t="shared" si="16"/>
        <v>Dog House Training</v>
      </c>
      <c r="B77" s="1" t="str">
        <f t="shared" si="14"/>
        <v>https://m566.info/mswqva2</v>
      </c>
      <c r="C77" s="1" t="str">
        <f>HYPERLINK("https://m566.info/mswqva2","Cross Bred")</f>
        <v>Cross Bred</v>
      </c>
    </row>
    <row r="78">
      <c r="A78" s="1" t="str">
        <f t="shared" si="16"/>
        <v>Dog House Training</v>
      </c>
      <c r="B78" s="1" t="str">
        <f t="shared" si="14"/>
        <v>https://m566.info/mswqva2</v>
      </c>
      <c r="C78" s="1" t="str">
        <f>HYPERLINK("https://m566.info/mswqva2","Rotweiller")</f>
        <v>Rotweiller</v>
      </c>
    </row>
    <row r="79">
      <c r="A79" s="1" t="str">
        <f t="shared" ref="A79:A84" si="17">HYPERLINK("https://m566.info/mswqva2","Dog Behaviour Training")</f>
        <v>Dog Behaviour Training</v>
      </c>
      <c r="B79" s="1" t="str">
        <f t="shared" si="14"/>
        <v>https://m566.info/mswqva2</v>
      </c>
      <c r="C79" s="1" t="str">
        <f>HYPERLINK("https://m566.info/mswqva2","Doberman")</f>
        <v>Doberman</v>
      </c>
    </row>
    <row r="80">
      <c r="A80" s="1" t="str">
        <f t="shared" si="17"/>
        <v>Dog Behaviour Training</v>
      </c>
      <c r="B80" s="1" t="str">
        <f t="shared" si="14"/>
        <v>https://m566.info/mswqva2</v>
      </c>
      <c r="C80" s="1" t="str">
        <f>HYPERLINK("https://m566.info/mswqva2","German Shepherd")</f>
        <v>German Shepherd</v>
      </c>
    </row>
    <row r="81">
      <c r="A81" s="1" t="str">
        <f t="shared" si="17"/>
        <v>Dog Behaviour Training</v>
      </c>
      <c r="B81" s="1" t="str">
        <f t="shared" si="14"/>
        <v>https://m566.info/mswqva2</v>
      </c>
      <c r="C81" s="1" t="str">
        <f>HYPERLINK("https://m566.info/mswqva2","Border Clollie")</f>
        <v>Border Clollie</v>
      </c>
    </row>
    <row r="82">
      <c r="A82" s="1" t="str">
        <f t="shared" si="17"/>
        <v>Dog Behaviour Training</v>
      </c>
      <c r="B82" s="1" t="str">
        <f t="shared" si="14"/>
        <v>https://m566.info/mswqva2</v>
      </c>
      <c r="C82" s="1" t="str">
        <f>HYPERLINK("https://m566.info/mswqva2","Rotwieller")</f>
        <v>Rotwieller</v>
      </c>
    </row>
    <row r="83">
      <c r="A83" s="1" t="str">
        <f t="shared" si="17"/>
        <v>Dog Behaviour Training</v>
      </c>
      <c r="B83" s="1" t="str">
        <f t="shared" si="14"/>
        <v>https://m566.info/mswqva2</v>
      </c>
      <c r="C83" s="1" t="str">
        <f>HYPERLINK("https://m566.info/mswqva2","Cross Bred")</f>
        <v>Cross Bred</v>
      </c>
    </row>
    <row r="84">
      <c r="A84" s="1" t="str">
        <f t="shared" si="17"/>
        <v>Dog Behaviour Training</v>
      </c>
      <c r="B84" s="1" t="str">
        <f t="shared" si="14"/>
        <v>https://m566.info/mswqva2</v>
      </c>
      <c r="C84" s="1" t="str">
        <f>HYPERLINK("https://m566.info/mswqva2","Rotweiller")</f>
        <v>Rotweiller</v>
      </c>
    </row>
    <row r="85">
      <c r="A85" s="1" t="str">
        <f t="shared" ref="A85:A90" si="18">HYPERLINK("https://m566.info/mswqva2","Dog : Elite Training")</f>
        <v>Dog : Elite Training</v>
      </c>
      <c r="B85" s="1" t="str">
        <f t="shared" si="14"/>
        <v>https://m566.info/mswqva2</v>
      </c>
      <c r="C85" s="1" t="str">
        <f>HYPERLINK("https://m566.info/mswqva2","Doberman")</f>
        <v>Doberman</v>
      </c>
    </row>
    <row r="86">
      <c r="A86" s="1" t="str">
        <f t="shared" si="18"/>
        <v>Dog : Elite Training</v>
      </c>
      <c r="B86" s="1" t="str">
        <f t="shared" si="14"/>
        <v>https://m566.info/mswqva2</v>
      </c>
      <c r="C86" s="1" t="str">
        <f>HYPERLINK("https://m566.info/mswqva2","German Shepherd")</f>
        <v>German Shepherd</v>
      </c>
    </row>
    <row r="87">
      <c r="A87" s="1" t="str">
        <f t="shared" si="18"/>
        <v>Dog : Elite Training</v>
      </c>
      <c r="B87" s="1" t="str">
        <f t="shared" si="14"/>
        <v>https://m566.info/mswqva2</v>
      </c>
      <c r="C87" s="1" t="str">
        <f>HYPERLINK("https://m566.info/mswqva2","Border Clollie")</f>
        <v>Border Clollie</v>
      </c>
    </row>
    <row r="88">
      <c r="A88" s="1" t="str">
        <f t="shared" si="18"/>
        <v>Dog : Elite Training</v>
      </c>
      <c r="B88" s="1" t="str">
        <f t="shared" si="14"/>
        <v>https://m566.info/mswqva2</v>
      </c>
      <c r="C88" s="1" t="str">
        <f>HYPERLINK("https://m566.info/mswqva2","Rotwieller")</f>
        <v>Rotwieller</v>
      </c>
    </row>
    <row r="89">
      <c r="A89" s="1" t="str">
        <f t="shared" si="18"/>
        <v>Dog : Elite Training</v>
      </c>
      <c r="B89" s="1" t="str">
        <f t="shared" si="14"/>
        <v>https://m566.info/mswqva2</v>
      </c>
      <c r="C89" s="1" t="str">
        <f>HYPERLINK("https://m566.info/mswqva2","Cross Bred")</f>
        <v>Cross Bred</v>
      </c>
    </row>
    <row r="90">
      <c r="A90" s="1" t="str">
        <f t="shared" si="18"/>
        <v>Dog : Elite Training</v>
      </c>
      <c r="B90" s="1" t="str">
        <f t="shared" si="14"/>
        <v>https://m566.info/mswqva2</v>
      </c>
      <c r="C90" s="1" t="str">
        <f>HYPERLINK("https://m566.info/mswqva2","Rotweiller")</f>
        <v>Rotweiller</v>
      </c>
    </row>
    <row r="91">
      <c r="A91" s="1" t="str">
        <f t="shared" ref="A91:A96" si="19">HYPERLINK("https://m566.info/cw0f30e","Dog Aggression Training")</f>
        <v>Dog Aggression Training</v>
      </c>
      <c r="B91" s="1" t="str">
        <f t="shared" ref="B91:B120" si="20">HYPERLINK("https://m566.info/cw0f30e","https://m566.info/cw0f30e")</f>
        <v>https://m566.info/cw0f30e</v>
      </c>
      <c r="C91" s="1" t="str">
        <f>HYPERLINK("https://m566.info/cw0f30e","Doberman")</f>
        <v>Doberman</v>
      </c>
    </row>
    <row r="92">
      <c r="A92" s="1" t="str">
        <f t="shared" si="19"/>
        <v>Dog Aggression Training</v>
      </c>
      <c r="B92" s="1" t="str">
        <f t="shared" si="20"/>
        <v>https://m566.info/cw0f30e</v>
      </c>
      <c r="C92" s="1" t="str">
        <f>HYPERLINK("https://m566.info/cw0f30e","German Shepherd")</f>
        <v>German Shepherd</v>
      </c>
    </row>
    <row r="93">
      <c r="A93" s="1" t="str">
        <f t="shared" si="19"/>
        <v>Dog Aggression Training</v>
      </c>
      <c r="B93" s="1" t="str">
        <f t="shared" si="20"/>
        <v>https://m566.info/cw0f30e</v>
      </c>
      <c r="C93" s="1" t="str">
        <f>HYPERLINK("https://m566.info/cw0f30e","Border Clollie")</f>
        <v>Border Clollie</v>
      </c>
    </row>
    <row r="94">
      <c r="A94" s="1" t="str">
        <f t="shared" si="19"/>
        <v>Dog Aggression Training</v>
      </c>
      <c r="B94" s="1" t="str">
        <f t="shared" si="20"/>
        <v>https://m566.info/cw0f30e</v>
      </c>
      <c r="C94" s="1" t="str">
        <f>HYPERLINK("https://m566.info/cw0f30e","Rotwieller")</f>
        <v>Rotwieller</v>
      </c>
    </row>
    <row r="95">
      <c r="A95" s="1" t="str">
        <f t="shared" si="19"/>
        <v>Dog Aggression Training</v>
      </c>
      <c r="B95" s="1" t="str">
        <f t="shared" si="20"/>
        <v>https://m566.info/cw0f30e</v>
      </c>
      <c r="C95" s="1" t="str">
        <f>HYPERLINK("https://m566.info/cw0f30e","Cross Bred")</f>
        <v>Cross Bred</v>
      </c>
    </row>
    <row r="96">
      <c r="A96" s="1" t="str">
        <f t="shared" si="19"/>
        <v>Dog Aggression Training</v>
      </c>
      <c r="B96" s="1" t="str">
        <f t="shared" si="20"/>
        <v>https://m566.info/cw0f30e</v>
      </c>
      <c r="C96" s="1" t="str">
        <f>HYPERLINK("https://m566.info/cw0f30e","Rotweiller")</f>
        <v>Rotweiller</v>
      </c>
    </row>
    <row r="97">
      <c r="A97" s="1" t="str">
        <f t="shared" ref="A97:A102" si="21">HYPERLINK("https://m566.info/cw0f30e","Dog Obedience Training")</f>
        <v>Dog Obedience Training</v>
      </c>
      <c r="B97" s="1" t="str">
        <f t="shared" si="20"/>
        <v>https://m566.info/cw0f30e</v>
      </c>
      <c r="C97" s="1" t="str">
        <f>HYPERLINK("https://m566.info/cw0f30e","Doberman")</f>
        <v>Doberman</v>
      </c>
    </row>
    <row r="98">
      <c r="A98" s="1" t="str">
        <f t="shared" si="21"/>
        <v>Dog Obedience Training</v>
      </c>
      <c r="B98" s="1" t="str">
        <f t="shared" si="20"/>
        <v>https://m566.info/cw0f30e</v>
      </c>
      <c r="C98" s="1" t="str">
        <f>HYPERLINK("https://m566.info/cw0f30e","German Shepherd")</f>
        <v>German Shepherd</v>
      </c>
    </row>
    <row r="99">
      <c r="A99" s="1" t="str">
        <f t="shared" si="21"/>
        <v>Dog Obedience Training</v>
      </c>
      <c r="B99" s="1" t="str">
        <f t="shared" si="20"/>
        <v>https://m566.info/cw0f30e</v>
      </c>
      <c r="C99" s="1" t="str">
        <f>HYPERLINK("https://m566.info/cw0f30e","Border Clollie")</f>
        <v>Border Clollie</v>
      </c>
    </row>
    <row r="100">
      <c r="A100" s="1" t="str">
        <f t="shared" si="21"/>
        <v>Dog Obedience Training</v>
      </c>
      <c r="B100" s="1" t="str">
        <f t="shared" si="20"/>
        <v>https://m566.info/cw0f30e</v>
      </c>
      <c r="C100" s="1" t="str">
        <f>HYPERLINK("https://m566.info/cw0f30e","Rotwieller")</f>
        <v>Rotwieller</v>
      </c>
    </row>
    <row r="101">
      <c r="A101" s="1" t="str">
        <f t="shared" si="21"/>
        <v>Dog Obedience Training</v>
      </c>
      <c r="B101" s="1" t="str">
        <f t="shared" si="20"/>
        <v>https://m566.info/cw0f30e</v>
      </c>
      <c r="C101" s="1" t="str">
        <f>HYPERLINK("https://m566.info/cw0f30e","Cross Bred")</f>
        <v>Cross Bred</v>
      </c>
    </row>
    <row r="102">
      <c r="A102" s="1" t="str">
        <f t="shared" si="21"/>
        <v>Dog Obedience Training</v>
      </c>
      <c r="B102" s="1" t="str">
        <f t="shared" si="20"/>
        <v>https://m566.info/cw0f30e</v>
      </c>
      <c r="C102" s="1" t="str">
        <f>HYPERLINK("https://m566.info/cw0f30e","Rotweiller")</f>
        <v>Rotweiller</v>
      </c>
    </row>
    <row r="103">
      <c r="A103" s="1" t="str">
        <f t="shared" ref="A103:A108" si="22">HYPERLINK("https://m566.info/cw0f30e","Dog House Training")</f>
        <v>Dog House Training</v>
      </c>
      <c r="B103" s="1" t="str">
        <f t="shared" si="20"/>
        <v>https://m566.info/cw0f30e</v>
      </c>
      <c r="C103" s="1" t="str">
        <f>HYPERLINK("https://m566.info/cw0f30e","Doberman")</f>
        <v>Doberman</v>
      </c>
    </row>
    <row r="104">
      <c r="A104" s="1" t="str">
        <f t="shared" si="22"/>
        <v>Dog House Training</v>
      </c>
      <c r="B104" s="1" t="str">
        <f t="shared" si="20"/>
        <v>https://m566.info/cw0f30e</v>
      </c>
      <c r="C104" s="1" t="str">
        <f>HYPERLINK("https://m566.info/cw0f30e","German Shepherd")</f>
        <v>German Shepherd</v>
      </c>
    </row>
    <row r="105">
      <c r="A105" s="1" t="str">
        <f t="shared" si="22"/>
        <v>Dog House Training</v>
      </c>
      <c r="B105" s="1" t="str">
        <f t="shared" si="20"/>
        <v>https://m566.info/cw0f30e</v>
      </c>
      <c r="C105" s="1" t="str">
        <f>HYPERLINK("https://m566.info/cw0f30e","Border Clollie")</f>
        <v>Border Clollie</v>
      </c>
    </row>
    <row r="106">
      <c r="A106" s="1" t="str">
        <f t="shared" si="22"/>
        <v>Dog House Training</v>
      </c>
      <c r="B106" s="1" t="str">
        <f t="shared" si="20"/>
        <v>https://m566.info/cw0f30e</v>
      </c>
      <c r="C106" s="1" t="str">
        <f>HYPERLINK("https://m566.info/cw0f30e","Rotwieller")</f>
        <v>Rotwieller</v>
      </c>
    </row>
    <row r="107">
      <c r="A107" s="1" t="str">
        <f t="shared" si="22"/>
        <v>Dog House Training</v>
      </c>
      <c r="B107" s="1" t="str">
        <f t="shared" si="20"/>
        <v>https://m566.info/cw0f30e</v>
      </c>
      <c r="C107" s="1" t="str">
        <f>HYPERLINK("https://m566.info/cw0f30e","Cross Bred")</f>
        <v>Cross Bred</v>
      </c>
    </row>
    <row r="108">
      <c r="A108" s="1" t="str">
        <f t="shared" si="22"/>
        <v>Dog House Training</v>
      </c>
      <c r="B108" s="1" t="str">
        <f t="shared" si="20"/>
        <v>https://m566.info/cw0f30e</v>
      </c>
      <c r="C108" s="1" t="str">
        <f>HYPERLINK("https://m566.info/cw0f30e","Rotweiller")</f>
        <v>Rotweiller</v>
      </c>
    </row>
    <row r="109">
      <c r="A109" s="1" t="str">
        <f t="shared" ref="A109:A114" si="23">HYPERLINK("https://m566.info/cw0f30e","Dog Behaviour Training")</f>
        <v>Dog Behaviour Training</v>
      </c>
      <c r="B109" s="1" t="str">
        <f t="shared" si="20"/>
        <v>https://m566.info/cw0f30e</v>
      </c>
      <c r="C109" s="1" t="str">
        <f>HYPERLINK("https://m566.info/cw0f30e","Doberman")</f>
        <v>Doberman</v>
      </c>
    </row>
    <row r="110">
      <c r="A110" s="1" t="str">
        <f t="shared" si="23"/>
        <v>Dog Behaviour Training</v>
      </c>
      <c r="B110" s="1" t="str">
        <f t="shared" si="20"/>
        <v>https://m566.info/cw0f30e</v>
      </c>
      <c r="C110" s="1" t="str">
        <f>HYPERLINK("https://m566.info/cw0f30e","German Shepherd")</f>
        <v>German Shepherd</v>
      </c>
    </row>
    <row r="111">
      <c r="A111" s="1" t="str">
        <f t="shared" si="23"/>
        <v>Dog Behaviour Training</v>
      </c>
      <c r="B111" s="1" t="str">
        <f t="shared" si="20"/>
        <v>https://m566.info/cw0f30e</v>
      </c>
      <c r="C111" s="1" t="str">
        <f>HYPERLINK("https://m566.info/cw0f30e","Border Clollie")</f>
        <v>Border Clollie</v>
      </c>
    </row>
    <row r="112">
      <c r="A112" s="1" t="str">
        <f t="shared" si="23"/>
        <v>Dog Behaviour Training</v>
      </c>
      <c r="B112" s="1" t="str">
        <f t="shared" si="20"/>
        <v>https://m566.info/cw0f30e</v>
      </c>
      <c r="C112" s="1" t="str">
        <f>HYPERLINK("https://m566.info/cw0f30e","Rotwieller")</f>
        <v>Rotwieller</v>
      </c>
    </row>
    <row r="113">
      <c r="A113" s="1" t="str">
        <f t="shared" si="23"/>
        <v>Dog Behaviour Training</v>
      </c>
      <c r="B113" s="1" t="str">
        <f t="shared" si="20"/>
        <v>https://m566.info/cw0f30e</v>
      </c>
      <c r="C113" s="1" t="str">
        <f>HYPERLINK("https://m566.info/cw0f30e","Cross Bred")</f>
        <v>Cross Bred</v>
      </c>
    </row>
    <row r="114">
      <c r="A114" s="1" t="str">
        <f t="shared" si="23"/>
        <v>Dog Behaviour Training</v>
      </c>
      <c r="B114" s="1" t="str">
        <f t="shared" si="20"/>
        <v>https://m566.info/cw0f30e</v>
      </c>
      <c r="C114" s="1" t="str">
        <f>HYPERLINK("https://m566.info/cw0f30e","Rotweiller")</f>
        <v>Rotweiller</v>
      </c>
    </row>
    <row r="115">
      <c r="A115" s="1" t="str">
        <f t="shared" ref="A115:A120" si="24">HYPERLINK("https://m566.info/cw0f30e","Dog : Elite Training")</f>
        <v>Dog : Elite Training</v>
      </c>
      <c r="B115" s="1" t="str">
        <f t="shared" si="20"/>
        <v>https://m566.info/cw0f30e</v>
      </c>
      <c r="C115" s="1" t="str">
        <f>HYPERLINK("https://m566.info/cw0f30e","Doberman")</f>
        <v>Doberman</v>
      </c>
    </row>
    <row r="116">
      <c r="A116" s="1" t="str">
        <f t="shared" si="24"/>
        <v>Dog : Elite Training</v>
      </c>
      <c r="B116" s="1" t="str">
        <f t="shared" si="20"/>
        <v>https://m566.info/cw0f30e</v>
      </c>
      <c r="C116" s="1" t="str">
        <f>HYPERLINK("https://m566.info/cw0f30e","German Shepherd")</f>
        <v>German Shepherd</v>
      </c>
    </row>
    <row r="117">
      <c r="A117" s="1" t="str">
        <f t="shared" si="24"/>
        <v>Dog : Elite Training</v>
      </c>
      <c r="B117" s="1" t="str">
        <f t="shared" si="20"/>
        <v>https://m566.info/cw0f30e</v>
      </c>
      <c r="C117" s="1" t="str">
        <f>HYPERLINK("https://m566.info/cw0f30e","Border Clollie")</f>
        <v>Border Clollie</v>
      </c>
    </row>
    <row r="118">
      <c r="A118" s="1" t="str">
        <f t="shared" si="24"/>
        <v>Dog : Elite Training</v>
      </c>
      <c r="B118" s="1" t="str">
        <f t="shared" si="20"/>
        <v>https://m566.info/cw0f30e</v>
      </c>
      <c r="C118" s="1" t="str">
        <f>HYPERLINK("https://m566.info/cw0f30e","Rotwieller")</f>
        <v>Rotwieller</v>
      </c>
    </row>
    <row r="119">
      <c r="A119" s="1" t="str">
        <f t="shared" si="24"/>
        <v>Dog : Elite Training</v>
      </c>
      <c r="B119" s="1" t="str">
        <f t="shared" si="20"/>
        <v>https://m566.info/cw0f30e</v>
      </c>
      <c r="C119" s="1" t="str">
        <f>HYPERLINK("https://m566.info/cw0f30e","Cross Bred")</f>
        <v>Cross Bred</v>
      </c>
    </row>
    <row r="120">
      <c r="A120" s="1" t="str">
        <f t="shared" si="24"/>
        <v>Dog : Elite Training</v>
      </c>
      <c r="B120" s="1" t="str">
        <f t="shared" si="20"/>
        <v>https://m566.info/cw0f30e</v>
      </c>
      <c r="C120" s="1" t="str">
        <f>HYPERLINK("https://m566.info/cw0f30e","Rotweiller")</f>
        <v>Rotweiller</v>
      </c>
    </row>
    <row r="121">
      <c r="A121" s="1" t="str">
        <f t="shared" ref="A121:A126" si="25">HYPERLINK("https://m566.info/sqsvrzv","Dog Aggression Training")</f>
        <v>Dog Aggression Training</v>
      </c>
      <c r="B121" s="1" t="str">
        <f t="shared" ref="B121:B150" si="26">HYPERLINK("https://m566.info/sqsvrzv","https://m566.info/sqsvrzv")</f>
        <v>https://m566.info/sqsvrzv</v>
      </c>
      <c r="C121" s="1" t="str">
        <f>HYPERLINK("https://m566.info/sqsvrzv","Doberman")</f>
        <v>Doberman</v>
      </c>
    </row>
    <row r="122">
      <c r="A122" s="1" t="str">
        <f t="shared" si="25"/>
        <v>Dog Aggression Training</v>
      </c>
      <c r="B122" s="1" t="str">
        <f t="shared" si="26"/>
        <v>https://m566.info/sqsvrzv</v>
      </c>
      <c r="C122" s="1" t="str">
        <f>HYPERLINK("https://m566.info/sqsvrzv","German Shepherd")</f>
        <v>German Shepherd</v>
      </c>
    </row>
    <row r="123">
      <c r="A123" s="1" t="str">
        <f t="shared" si="25"/>
        <v>Dog Aggression Training</v>
      </c>
      <c r="B123" s="1" t="str">
        <f t="shared" si="26"/>
        <v>https://m566.info/sqsvrzv</v>
      </c>
      <c r="C123" s="1" t="str">
        <f>HYPERLINK("https://m566.info/sqsvrzv","Border Clollie")</f>
        <v>Border Clollie</v>
      </c>
    </row>
    <row r="124">
      <c r="A124" s="1" t="str">
        <f t="shared" si="25"/>
        <v>Dog Aggression Training</v>
      </c>
      <c r="B124" s="1" t="str">
        <f t="shared" si="26"/>
        <v>https://m566.info/sqsvrzv</v>
      </c>
      <c r="C124" s="1" t="str">
        <f>HYPERLINK("https://m566.info/sqsvrzv","Rotwieller")</f>
        <v>Rotwieller</v>
      </c>
    </row>
    <row r="125">
      <c r="A125" s="1" t="str">
        <f t="shared" si="25"/>
        <v>Dog Aggression Training</v>
      </c>
      <c r="B125" s="1" t="str">
        <f t="shared" si="26"/>
        <v>https://m566.info/sqsvrzv</v>
      </c>
      <c r="C125" s="1" t="str">
        <f>HYPERLINK("https://m566.info/sqsvrzv","Cross Bred")</f>
        <v>Cross Bred</v>
      </c>
    </row>
    <row r="126">
      <c r="A126" s="1" t="str">
        <f t="shared" si="25"/>
        <v>Dog Aggression Training</v>
      </c>
      <c r="B126" s="1" t="str">
        <f t="shared" si="26"/>
        <v>https://m566.info/sqsvrzv</v>
      </c>
      <c r="C126" s="1" t="str">
        <f>HYPERLINK("https://m566.info/sqsvrzv","Rotweiller")</f>
        <v>Rotweiller</v>
      </c>
    </row>
    <row r="127">
      <c r="A127" s="1" t="str">
        <f t="shared" ref="A127:A132" si="27">HYPERLINK("https://m566.info/sqsvrzv","Dog Obedience Training")</f>
        <v>Dog Obedience Training</v>
      </c>
      <c r="B127" s="1" t="str">
        <f t="shared" si="26"/>
        <v>https://m566.info/sqsvrzv</v>
      </c>
      <c r="C127" s="1" t="str">
        <f>HYPERLINK("https://m566.info/sqsvrzv","Doberman")</f>
        <v>Doberman</v>
      </c>
    </row>
    <row r="128">
      <c r="A128" s="1" t="str">
        <f t="shared" si="27"/>
        <v>Dog Obedience Training</v>
      </c>
      <c r="B128" s="1" t="str">
        <f t="shared" si="26"/>
        <v>https://m566.info/sqsvrzv</v>
      </c>
      <c r="C128" s="1" t="str">
        <f>HYPERLINK("https://m566.info/sqsvrzv","German Shepherd")</f>
        <v>German Shepherd</v>
      </c>
    </row>
    <row r="129">
      <c r="A129" s="1" t="str">
        <f t="shared" si="27"/>
        <v>Dog Obedience Training</v>
      </c>
      <c r="B129" s="1" t="str">
        <f t="shared" si="26"/>
        <v>https://m566.info/sqsvrzv</v>
      </c>
      <c r="C129" s="1" t="str">
        <f>HYPERLINK("https://m566.info/sqsvrzv","Border Clollie")</f>
        <v>Border Clollie</v>
      </c>
    </row>
    <row r="130">
      <c r="A130" s="1" t="str">
        <f t="shared" si="27"/>
        <v>Dog Obedience Training</v>
      </c>
      <c r="B130" s="1" t="str">
        <f t="shared" si="26"/>
        <v>https://m566.info/sqsvrzv</v>
      </c>
      <c r="C130" s="1" t="str">
        <f>HYPERLINK("https://m566.info/sqsvrzv","Rotwieller")</f>
        <v>Rotwieller</v>
      </c>
    </row>
    <row r="131">
      <c r="A131" s="1" t="str">
        <f t="shared" si="27"/>
        <v>Dog Obedience Training</v>
      </c>
      <c r="B131" s="1" t="str">
        <f t="shared" si="26"/>
        <v>https://m566.info/sqsvrzv</v>
      </c>
      <c r="C131" s="1" t="str">
        <f>HYPERLINK("https://m566.info/sqsvrzv","Cross Bred")</f>
        <v>Cross Bred</v>
      </c>
    </row>
    <row r="132">
      <c r="A132" s="1" t="str">
        <f t="shared" si="27"/>
        <v>Dog Obedience Training</v>
      </c>
      <c r="B132" s="1" t="str">
        <f t="shared" si="26"/>
        <v>https://m566.info/sqsvrzv</v>
      </c>
      <c r="C132" s="1" t="str">
        <f>HYPERLINK("https://m566.info/sqsvrzv","Rotweiller")</f>
        <v>Rotweiller</v>
      </c>
    </row>
    <row r="133">
      <c r="A133" s="1" t="str">
        <f t="shared" ref="A133:A138" si="28">HYPERLINK("https://m566.info/sqsvrzv","Dog House Training")</f>
        <v>Dog House Training</v>
      </c>
      <c r="B133" s="1" t="str">
        <f t="shared" si="26"/>
        <v>https://m566.info/sqsvrzv</v>
      </c>
      <c r="C133" s="1" t="str">
        <f>HYPERLINK("https://m566.info/sqsvrzv","Doberman")</f>
        <v>Doberman</v>
      </c>
    </row>
    <row r="134">
      <c r="A134" s="1" t="str">
        <f t="shared" si="28"/>
        <v>Dog House Training</v>
      </c>
      <c r="B134" s="1" t="str">
        <f t="shared" si="26"/>
        <v>https://m566.info/sqsvrzv</v>
      </c>
      <c r="C134" s="1" t="str">
        <f>HYPERLINK("https://m566.info/sqsvrzv","German Shepherd")</f>
        <v>German Shepherd</v>
      </c>
    </row>
    <row r="135">
      <c r="A135" s="1" t="str">
        <f t="shared" si="28"/>
        <v>Dog House Training</v>
      </c>
      <c r="B135" s="1" t="str">
        <f t="shared" si="26"/>
        <v>https://m566.info/sqsvrzv</v>
      </c>
      <c r="C135" s="1" t="str">
        <f>HYPERLINK("https://m566.info/sqsvrzv","Border Clollie")</f>
        <v>Border Clollie</v>
      </c>
    </row>
    <row r="136">
      <c r="A136" s="1" t="str">
        <f t="shared" si="28"/>
        <v>Dog House Training</v>
      </c>
      <c r="B136" s="1" t="str">
        <f t="shared" si="26"/>
        <v>https://m566.info/sqsvrzv</v>
      </c>
      <c r="C136" s="1" t="str">
        <f>HYPERLINK("https://m566.info/sqsvrzv","Rotwieller")</f>
        <v>Rotwieller</v>
      </c>
    </row>
    <row r="137">
      <c r="A137" s="1" t="str">
        <f t="shared" si="28"/>
        <v>Dog House Training</v>
      </c>
      <c r="B137" s="1" t="str">
        <f t="shared" si="26"/>
        <v>https://m566.info/sqsvrzv</v>
      </c>
      <c r="C137" s="1" t="str">
        <f>HYPERLINK("https://m566.info/sqsvrzv","Cross Bred")</f>
        <v>Cross Bred</v>
      </c>
    </row>
    <row r="138">
      <c r="A138" s="1" t="str">
        <f t="shared" si="28"/>
        <v>Dog House Training</v>
      </c>
      <c r="B138" s="1" t="str">
        <f t="shared" si="26"/>
        <v>https://m566.info/sqsvrzv</v>
      </c>
      <c r="C138" s="1" t="str">
        <f>HYPERLINK("https://m566.info/sqsvrzv","Rotweiller")</f>
        <v>Rotweiller</v>
      </c>
    </row>
    <row r="139">
      <c r="A139" s="1" t="str">
        <f t="shared" ref="A139:A144" si="29">HYPERLINK("https://m566.info/sqsvrzv","Dog Behaviour Training")</f>
        <v>Dog Behaviour Training</v>
      </c>
      <c r="B139" s="1" t="str">
        <f t="shared" si="26"/>
        <v>https://m566.info/sqsvrzv</v>
      </c>
      <c r="C139" s="1" t="str">
        <f>HYPERLINK("https://m566.info/sqsvrzv","Doberman")</f>
        <v>Doberman</v>
      </c>
    </row>
    <row r="140">
      <c r="A140" s="1" t="str">
        <f t="shared" si="29"/>
        <v>Dog Behaviour Training</v>
      </c>
      <c r="B140" s="1" t="str">
        <f t="shared" si="26"/>
        <v>https://m566.info/sqsvrzv</v>
      </c>
      <c r="C140" s="1" t="str">
        <f>HYPERLINK("https://m566.info/sqsvrzv","German Shepherd")</f>
        <v>German Shepherd</v>
      </c>
    </row>
    <row r="141">
      <c r="A141" s="1" t="str">
        <f t="shared" si="29"/>
        <v>Dog Behaviour Training</v>
      </c>
      <c r="B141" s="1" t="str">
        <f t="shared" si="26"/>
        <v>https://m566.info/sqsvrzv</v>
      </c>
      <c r="C141" s="1" t="str">
        <f>HYPERLINK("https://m566.info/sqsvrzv","Border Clollie")</f>
        <v>Border Clollie</v>
      </c>
    </row>
    <row r="142">
      <c r="A142" s="1" t="str">
        <f t="shared" si="29"/>
        <v>Dog Behaviour Training</v>
      </c>
      <c r="B142" s="1" t="str">
        <f t="shared" si="26"/>
        <v>https://m566.info/sqsvrzv</v>
      </c>
      <c r="C142" s="1" t="str">
        <f>HYPERLINK("https://m566.info/sqsvrzv","Rotwieller")</f>
        <v>Rotwieller</v>
      </c>
    </row>
    <row r="143">
      <c r="A143" s="1" t="str">
        <f t="shared" si="29"/>
        <v>Dog Behaviour Training</v>
      </c>
      <c r="B143" s="1" t="str">
        <f t="shared" si="26"/>
        <v>https://m566.info/sqsvrzv</v>
      </c>
      <c r="C143" s="1" t="str">
        <f>HYPERLINK("https://m566.info/sqsvrzv","Cross Bred")</f>
        <v>Cross Bred</v>
      </c>
    </row>
    <row r="144">
      <c r="A144" s="1" t="str">
        <f t="shared" si="29"/>
        <v>Dog Behaviour Training</v>
      </c>
      <c r="B144" s="1" t="str">
        <f t="shared" si="26"/>
        <v>https://m566.info/sqsvrzv</v>
      </c>
      <c r="C144" s="1" t="str">
        <f>HYPERLINK("https://m566.info/sqsvrzv","Rotweiller")</f>
        <v>Rotweiller</v>
      </c>
    </row>
    <row r="145">
      <c r="A145" s="1" t="str">
        <f t="shared" ref="A145:A150" si="30">HYPERLINK("https://m566.info/sqsvrzv","Dog : Elite Training")</f>
        <v>Dog : Elite Training</v>
      </c>
      <c r="B145" s="1" t="str">
        <f t="shared" si="26"/>
        <v>https://m566.info/sqsvrzv</v>
      </c>
      <c r="C145" s="1" t="str">
        <f>HYPERLINK("https://m566.info/sqsvrzv","Doberman")</f>
        <v>Doberman</v>
      </c>
    </row>
    <row r="146">
      <c r="A146" s="1" t="str">
        <f t="shared" si="30"/>
        <v>Dog : Elite Training</v>
      </c>
      <c r="B146" s="1" t="str">
        <f t="shared" si="26"/>
        <v>https://m566.info/sqsvrzv</v>
      </c>
      <c r="C146" s="1" t="str">
        <f>HYPERLINK("https://m566.info/sqsvrzv","German Shepherd")</f>
        <v>German Shepherd</v>
      </c>
    </row>
    <row r="147">
      <c r="A147" s="1" t="str">
        <f t="shared" si="30"/>
        <v>Dog : Elite Training</v>
      </c>
      <c r="B147" s="1" t="str">
        <f t="shared" si="26"/>
        <v>https://m566.info/sqsvrzv</v>
      </c>
      <c r="C147" s="1" t="str">
        <f>HYPERLINK("https://m566.info/sqsvrzv","Border Clollie")</f>
        <v>Border Clollie</v>
      </c>
    </row>
    <row r="148">
      <c r="A148" s="1" t="str">
        <f t="shared" si="30"/>
        <v>Dog : Elite Training</v>
      </c>
      <c r="B148" s="1" t="str">
        <f t="shared" si="26"/>
        <v>https://m566.info/sqsvrzv</v>
      </c>
      <c r="C148" s="1" t="str">
        <f>HYPERLINK("https://m566.info/sqsvrzv","Rotwieller")</f>
        <v>Rotwieller</v>
      </c>
    </row>
    <row r="149">
      <c r="A149" s="1" t="str">
        <f t="shared" si="30"/>
        <v>Dog : Elite Training</v>
      </c>
      <c r="B149" s="1" t="str">
        <f t="shared" si="26"/>
        <v>https://m566.info/sqsvrzv</v>
      </c>
      <c r="C149" s="1" t="str">
        <f>HYPERLINK("https://m566.info/sqsvrzv","Cross Bred")</f>
        <v>Cross Bred</v>
      </c>
    </row>
    <row r="150">
      <c r="A150" s="1" t="str">
        <f t="shared" si="30"/>
        <v>Dog : Elite Training</v>
      </c>
      <c r="B150" s="1" t="str">
        <f t="shared" si="26"/>
        <v>https://m566.info/sqsvrzv</v>
      </c>
      <c r="C150" s="1" t="str">
        <f>HYPERLINK("https://m566.info/sqsvrzv","Rotweiller")</f>
        <v>Rotweiller</v>
      </c>
    </row>
    <row r="151">
      <c r="A151" s="1" t="str">
        <f t="shared" ref="A151:A156" si="31">HYPERLINK("https://m566.info/0fgyomn","Dog Aggression Training")</f>
        <v>Dog Aggression Training</v>
      </c>
      <c r="B151" s="1" t="str">
        <f t="shared" ref="B151:B180" si="32">HYPERLINK("https://m566.info/0fgyomn","https://m566.info/0fgyomn")</f>
        <v>https://m566.info/0fgyomn</v>
      </c>
      <c r="C151" s="1" t="str">
        <f>HYPERLINK("https://m566.info/0fgyomn","Doberman")</f>
        <v>Doberman</v>
      </c>
    </row>
    <row r="152">
      <c r="A152" s="1" t="str">
        <f t="shared" si="31"/>
        <v>Dog Aggression Training</v>
      </c>
      <c r="B152" s="1" t="str">
        <f t="shared" si="32"/>
        <v>https://m566.info/0fgyomn</v>
      </c>
      <c r="C152" s="1" t="str">
        <f>HYPERLINK("https://m566.info/0fgyomn","German Shepherd")</f>
        <v>German Shepherd</v>
      </c>
    </row>
    <row r="153">
      <c r="A153" s="1" t="str">
        <f t="shared" si="31"/>
        <v>Dog Aggression Training</v>
      </c>
      <c r="B153" s="1" t="str">
        <f t="shared" si="32"/>
        <v>https://m566.info/0fgyomn</v>
      </c>
      <c r="C153" s="1" t="str">
        <f>HYPERLINK("https://m566.info/0fgyomn","Border Clollie")</f>
        <v>Border Clollie</v>
      </c>
    </row>
    <row r="154">
      <c r="A154" s="1" t="str">
        <f t="shared" si="31"/>
        <v>Dog Aggression Training</v>
      </c>
      <c r="B154" s="1" t="str">
        <f t="shared" si="32"/>
        <v>https://m566.info/0fgyomn</v>
      </c>
      <c r="C154" s="1" t="str">
        <f>HYPERLINK("https://m566.info/0fgyomn","Rotwieller")</f>
        <v>Rotwieller</v>
      </c>
    </row>
    <row r="155">
      <c r="A155" s="1" t="str">
        <f t="shared" si="31"/>
        <v>Dog Aggression Training</v>
      </c>
      <c r="B155" s="1" t="str">
        <f t="shared" si="32"/>
        <v>https://m566.info/0fgyomn</v>
      </c>
      <c r="C155" s="1" t="str">
        <f>HYPERLINK("https://m566.info/0fgyomn","Cross Bred")</f>
        <v>Cross Bred</v>
      </c>
    </row>
    <row r="156">
      <c r="A156" s="1" t="str">
        <f t="shared" si="31"/>
        <v>Dog Aggression Training</v>
      </c>
      <c r="B156" s="1" t="str">
        <f t="shared" si="32"/>
        <v>https://m566.info/0fgyomn</v>
      </c>
      <c r="C156" s="1" t="str">
        <f>HYPERLINK("https://m566.info/0fgyomn","Rotweiller")</f>
        <v>Rotweiller</v>
      </c>
    </row>
    <row r="157">
      <c r="A157" s="1" t="str">
        <f t="shared" ref="A157:A162" si="33">HYPERLINK("https://m566.info/0fgyomn","Dog Obedience Training")</f>
        <v>Dog Obedience Training</v>
      </c>
      <c r="B157" s="1" t="str">
        <f t="shared" si="32"/>
        <v>https://m566.info/0fgyomn</v>
      </c>
      <c r="C157" s="1" t="str">
        <f>HYPERLINK("https://m566.info/0fgyomn","Doberman")</f>
        <v>Doberman</v>
      </c>
    </row>
    <row r="158">
      <c r="A158" s="1" t="str">
        <f t="shared" si="33"/>
        <v>Dog Obedience Training</v>
      </c>
      <c r="B158" s="1" t="str">
        <f t="shared" si="32"/>
        <v>https://m566.info/0fgyomn</v>
      </c>
      <c r="C158" s="1" t="str">
        <f>HYPERLINK("https://m566.info/0fgyomn","German Shepherd")</f>
        <v>German Shepherd</v>
      </c>
    </row>
    <row r="159">
      <c r="A159" s="1" t="str">
        <f t="shared" si="33"/>
        <v>Dog Obedience Training</v>
      </c>
      <c r="B159" s="1" t="str">
        <f t="shared" si="32"/>
        <v>https://m566.info/0fgyomn</v>
      </c>
      <c r="C159" s="1" t="str">
        <f>HYPERLINK("https://m566.info/0fgyomn","Border Clollie")</f>
        <v>Border Clollie</v>
      </c>
    </row>
    <row r="160">
      <c r="A160" s="1" t="str">
        <f t="shared" si="33"/>
        <v>Dog Obedience Training</v>
      </c>
      <c r="B160" s="1" t="str">
        <f t="shared" si="32"/>
        <v>https://m566.info/0fgyomn</v>
      </c>
      <c r="C160" s="1" t="str">
        <f>HYPERLINK("https://m566.info/0fgyomn","Rotwieller")</f>
        <v>Rotwieller</v>
      </c>
    </row>
    <row r="161">
      <c r="A161" s="1" t="str">
        <f t="shared" si="33"/>
        <v>Dog Obedience Training</v>
      </c>
      <c r="B161" s="1" t="str">
        <f t="shared" si="32"/>
        <v>https://m566.info/0fgyomn</v>
      </c>
      <c r="C161" s="1" t="str">
        <f>HYPERLINK("https://m566.info/0fgyomn","Cross Bred")</f>
        <v>Cross Bred</v>
      </c>
    </row>
    <row r="162">
      <c r="A162" s="1" t="str">
        <f t="shared" si="33"/>
        <v>Dog Obedience Training</v>
      </c>
      <c r="B162" s="1" t="str">
        <f t="shared" si="32"/>
        <v>https://m566.info/0fgyomn</v>
      </c>
      <c r="C162" s="1" t="str">
        <f>HYPERLINK("https://m566.info/0fgyomn","Rotweiller")</f>
        <v>Rotweiller</v>
      </c>
    </row>
    <row r="163">
      <c r="A163" s="1" t="str">
        <f t="shared" ref="A163:A168" si="34">HYPERLINK("https://m566.info/0fgyomn","Dog House Training")</f>
        <v>Dog House Training</v>
      </c>
      <c r="B163" s="1" t="str">
        <f t="shared" si="32"/>
        <v>https://m566.info/0fgyomn</v>
      </c>
      <c r="C163" s="1" t="str">
        <f>HYPERLINK("https://m566.info/0fgyomn","Doberman")</f>
        <v>Doberman</v>
      </c>
    </row>
    <row r="164">
      <c r="A164" s="1" t="str">
        <f t="shared" si="34"/>
        <v>Dog House Training</v>
      </c>
      <c r="B164" s="1" t="str">
        <f t="shared" si="32"/>
        <v>https://m566.info/0fgyomn</v>
      </c>
      <c r="C164" s="1" t="str">
        <f>HYPERLINK("https://m566.info/0fgyomn","German Shepherd")</f>
        <v>German Shepherd</v>
      </c>
    </row>
    <row r="165">
      <c r="A165" s="1" t="str">
        <f t="shared" si="34"/>
        <v>Dog House Training</v>
      </c>
      <c r="B165" s="1" t="str">
        <f t="shared" si="32"/>
        <v>https://m566.info/0fgyomn</v>
      </c>
      <c r="C165" s="1" t="str">
        <f>HYPERLINK("https://m566.info/0fgyomn","Border Clollie")</f>
        <v>Border Clollie</v>
      </c>
    </row>
    <row r="166">
      <c r="A166" s="1" t="str">
        <f t="shared" si="34"/>
        <v>Dog House Training</v>
      </c>
      <c r="B166" s="1" t="str">
        <f t="shared" si="32"/>
        <v>https://m566.info/0fgyomn</v>
      </c>
      <c r="C166" s="1" t="str">
        <f>HYPERLINK("https://m566.info/0fgyomn","Rotwieller")</f>
        <v>Rotwieller</v>
      </c>
    </row>
    <row r="167">
      <c r="A167" s="1" t="str">
        <f t="shared" si="34"/>
        <v>Dog House Training</v>
      </c>
      <c r="B167" s="1" t="str">
        <f t="shared" si="32"/>
        <v>https://m566.info/0fgyomn</v>
      </c>
      <c r="C167" s="1" t="str">
        <f>HYPERLINK("https://m566.info/0fgyomn","Cross Bred")</f>
        <v>Cross Bred</v>
      </c>
    </row>
    <row r="168">
      <c r="A168" s="1" t="str">
        <f t="shared" si="34"/>
        <v>Dog House Training</v>
      </c>
      <c r="B168" s="1" t="str">
        <f t="shared" si="32"/>
        <v>https://m566.info/0fgyomn</v>
      </c>
      <c r="C168" s="1" t="str">
        <f>HYPERLINK("https://m566.info/0fgyomn","Rotweiller")</f>
        <v>Rotweiller</v>
      </c>
    </row>
    <row r="169">
      <c r="A169" s="1" t="str">
        <f t="shared" ref="A169:A174" si="35">HYPERLINK("https://m566.info/0fgyomn","Dog Behaviour Training")</f>
        <v>Dog Behaviour Training</v>
      </c>
      <c r="B169" s="1" t="str">
        <f t="shared" si="32"/>
        <v>https://m566.info/0fgyomn</v>
      </c>
      <c r="C169" s="1" t="str">
        <f>HYPERLINK("https://m566.info/0fgyomn","Doberman")</f>
        <v>Doberman</v>
      </c>
    </row>
    <row r="170">
      <c r="A170" s="1" t="str">
        <f t="shared" si="35"/>
        <v>Dog Behaviour Training</v>
      </c>
      <c r="B170" s="1" t="str">
        <f t="shared" si="32"/>
        <v>https://m566.info/0fgyomn</v>
      </c>
      <c r="C170" s="1" t="str">
        <f>HYPERLINK("https://m566.info/0fgyomn","German Shepherd")</f>
        <v>German Shepherd</v>
      </c>
    </row>
    <row r="171">
      <c r="A171" s="1" t="str">
        <f t="shared" si="35"/>
        <v>Dog Behaviour Training</v>
      </c>
      <c r="B171" s="1" t="str">
        <f t="shared" si="32"/>
        <v>https://m566.info/0fgyomn</v>
      </c>
      <c r="C171" s="1" t="str">
        <f>HYPERLINK("https://m566.info/0fgyomn","Border Clollie")</f>
        <v>Border Clollie</v>
      </c>
    </row>
    <row r="172">
      <c r="A172" s="1" t="str">
        <f t="shared" si="35"/>
        <v>Dog Behaviour Training</v>
      </c>
      <c r="B172" s="1" t="str">
        <f t="shared" si="32"/>
        <v>https://m566.info/0fgyomn</v>
      </c>
      <c r="C172" s="1" t="str">
        <f>HYPERLINK("https://m566.info/0fgyomn","Rotwieller")</f>
        <v>Rotwieller</v>
      </c>
    </row>
    <row r="173">
      <c r="A173" s="1" t="str">
        <f t="shared" si="35"/>
        <v>Dog Behaviour Training</v>
      </c>
      <c r="B173" s="1" t="str">
        <f t="shared" si="32"/>
        <v>https://m566.info/0fgyomn</v>
      </c>
      <c r="C173" s="1" t="str">
        <f>HYPERLINK("https://m566.info/0fgyomn","Cross Bred")</f>
        <v>Cross Bred</v>
      </c>
    </row>
    <row r="174">
      <c r="A174" s="1" t="str">
        <f t="shared" si="35"/>
        <v>Dog Behaviour Training</v>
      </c>
      <c r="B174" s="1" t="str">
        <f t="shared" si="32"/>
        <v>https://m566.info/0fgyomn</v>
      </c>
      <c r="C174" s="1" t="str">
        <f>HYPERLINK("https://m566.info/0fgyomn","Rotweiller")</f>
        <v>Rotweiller</v>
      </c>
    </row>
    <row r="175">
      <c r="A175" s="1" t="str">
        <f t="shared" ref="A175:A180" si="36">HYPERLINK("https://m566.info/0fgyomn","Dog : Elite Training")</f>
        <v>Dog : Elite Training</v>
      </c>
      <c r="B175" s="1" t="str">
        <f t="shared" si="32"/>
        <v>https://m566.info/0fgyomn</v>
      </c>
      <c r="C175" s="1" t="str">
        <f>HYPERLINK("https://m566.info/0fgyomn","Doberman")</f>
        <v>Doberman</v>
      </c>
    </row>
    <row r="176">
      <c r="A176" s="1" t="str">
        <f t="shared" si="36"/>
        <v>Dog : Elite Training</v>
      </c>
      <c r="B176" s="1" t="str">
        <f t="shared" si="32"/>
        <v>https://m566.info/0fgyomn</v>
      </c>
      <c r="C176" s="1" t="str">
        <f>HYPERLINK("https://m566.info/0fgyomn","German Shepherd")</f>
        <v>German Shepherd</v>
      </c>
    </row>
    <row r="177">
      <c r="A177" s="1" t="str">
        <f t="shared" si="36"/>
        <v>Dog : Elite Training</v>
      </c>
      <c r="B177" s="1" t="str">
        <f t="shared" si="32"/>
        <v>https://m566.info/0fgyomn</v>
      </c>
      <c r="C177" s="1" t="str">
        <f>HYPERLINK("https://m566.info/0fgyomn","Border Clollie")</f>
        <v>Border Clollie</v>
      </c>
    </row>
    <row r="178">
      <c r="A178" s="1" t="str">
        <f t="shared" si="36"/>
        <v>Dog : Elite Training</v>
      </c>
      <c r="B178" s="1" t="str">
        <f t="shared" si="32"/>
        <v>https://m566.info/0fgyomn</v>
      </c>
      <c r="C178" s="1" t="str">
        <f>HYPERLINK("https://m566.info/0fgyomn","Rotwieller")</f>
        <v>Rotwieller</v>
      </c>
    </row>
    <row r="179">
      <c r="A179" s="1" t="str">
        <f t="shared" si="36"/>
        <v>Dog : Elite Training</v>
      </c>
      <c r="B179" s="1" t="str">
        <f t="shared" si="32"/>
        <v>https://m566.info/0fgyomn</v>
      </c>
      <c r="C179" s="1" t="str">
        <f>HYPERLINK("https://m566.info/0fgyomn","Cross Bred")</f>
        <v>Cross Bred</v>
      </c>
    </row>
    <row r="180">
      <c r="A180" s="1" t="str">
        <f t="shared" si="36"/>
        <v>Dog : Elite Training</v>
      </c>
      <c r="B180" s="1" t="str">
        <f t="shared" si="32"/>
        <v>https://m566.info/0fgyomn</v>
      </c>
      <c r="C180" s="1" t="str">
        <f>HYPERLINK("https://m566.info/0fgyomn","Rotweiller")</f>
        <v>Rotweiller</v>
      </c>
    </row>
    <row r="181">
      <c r="A181" s="1" t="str">
        <f t="shared" ref="A181:A186" si="37">HYPERLINK("https://m566.info/av7xhn5","Dog Aggression Training")</f>
        <v>Dog Aggression Training</v>
      </c>
      <c r="B181" s="1" t="str">
        <f t="shared" ref="B181:B210" si="38">HYPERLINK("https://m566.info/av7xhn5","https://m566.info/av7xhn5")</f>
        <v>https://m566.info/av7xhn5</v>
      </c>
      <c r="C181" s="1" t="str">
        <f>HYPERLINK("https://m566.info/av7xhn5","Doberman")</f>
        <v>Doberman</v>
      </c>
    </row>
    <row r="182">
      <c r="A182" s="1" t="str">
        <f t="shared" si="37"/>
        <v>Dog Aggression Training</v>
      </c>
      <c r="B182" s="1" t="str">
        <f t="shared" si="38"/>
        <v>https://m566.info/av7xhn5</v>
      </c>
      <c r="C182" s="1" t="str">
        <f>HYPERLINK("https://m566.info/av7xhn5","German Shepherd")</f>
        <v>German Shepherd</v>
      </c>
    </row>
    <row r="183">
      <c r="A183" s="1" t="str">
        <f t="shared" si="37"/>
        <v>Dog Aggression Training</v>
      </c>
      <c r="B183" s="1" t="str">
        <f t="shared" si="38"/>
        <v>https://m566.info/av7xhn5</v>
      </c>
      <c r="C183" s="1" t="str">
        <f>HYPERLINK("https://m566.info/av7xhn5","Border Clollie")</f>
        <v>Border Clollie</v>
      </c>
    </row>
    <row r="184">
      <c r="A184" s="1" t="str">
        <f t="shared" si="37"/>
        <v>Dog Aggression Training</v>
      </c>
      <c r="B184" s="1" t="str">
        <f t="shared" si="38"/>
        <v>https://m566.info/av7xhn5</v>
      </c>
      <c r="C184" s="1" t="str">
        <f>HYPERLINK("https://m566.info/av7xhn5","Rotwieller")</f>
        <v>Rotwieller</v>
      </c>
    </row>
    <row r="185">
      <c r="A185" s="1" t="str">
        <f t="shared" si="37"/>
        <v>Dog Aggression Training</v>
      </c>
      <c r="B185" s="1" t="str">
        <f t="shared" si="38"/>
        <v>https://m566.info/av7xhn5</v>
      </c>
      <c r="C185" s="1" t="str">
        <f>HYPERLINK("https://m566.info/av7xhn5","Cross Bred")</f>
        <v>Cross Bred</v>
      </c>
    </row>
    <row r="186">
      <c r="A186" s="1" t="str">
        <f t="shared" si="37"/>
        <v>Dog Aggression Training</v>
      </c>
      <c r="B186" s="1" t="str">
        <f t="shared" si="38"/>
        <v>https://m566.info/av7xhn5</v>
      </c>
      <c r="C186" s="1" t="str">
        <f>HYPERLINK("https://m566.info/av7xhn5","Rotweiller")</f>
        <v>Rotweiller</v>
      </c>
    </row>
    <row r="187">
      <c r="A187" s="1" t="str">
        <f t="shared" ref="A187:A192" si="39">HYPERLINK("https://m566.info/av7xhn5","Dog Obedience Training")</f>
        <v>Dog Obedience Training</v>
      </c>
      <c r="B187" s="1" t="str">
        <f t="shared" si="38"/>
        <v>https://m566.info/av7xhn5</v>
      </c>
      <c r="C187" s="1" t="str">
        <f>HYPERLINK("https://m566.info/av7xhn5","Doberman")</f>
        <v>Doberman</v>
      </c>
    </row>
    <row r="188">
      <c r="A188" s="1" t="str">
        <f t="shared" si="39"/>
        <v>Dog Obedience Training</v>
      </c>
      <c r="B188" s="1" t="str">
        <f t="shared" si="38"/>
        <v>https://m566.info/av7xhn5</v>
      </c>
      <c r="C188" s="1" t="str">
        <f>HYPERLINK("https://m566.info/av7xhn5","German Shepherd")</f>
        <v>German Shepherd</v>
      </c>
    </row>
    <row r="189">
      <c r="A189" s="1" t="str">
        <f t="shared" si="39"/>
        <v>Dog Obedience Training</v>
      </c>
      <c r="B189" s="1" t="str">
        <f t="shared" si="38"/>
        <v>https://m566.info/av7xhn5</v>
      </c>
      <c r="C189" s="1" t="str">
        <f>HYPERLINK("https://m566.info/av7xhn5","Border Clollie")</f>
        <v>Border Clollie</v>
      </c>
    </row>
    <row r="190">
      <c r="A190" s="1" t="str">
        <f t="shared" si="39"/>
        <v>Dog Obedience Training</v>
      </c>
      <c r="B190" s="1" t="str">
        <f t="shared" si="38"/>
        <v>https://m566.info/av7xhn5</v>
      </c>
      <c r="C190" s="1" t="str">
        <f>HYPERLINK("https://m566.info/av7xhn5","Rotwieller")</f>
        <v>Rotwieller</v>
      </c>
    </row>
    <row r="191">
      <c r="A191" s="1" t="str">
        <f t="shared" si="39"/>
        <v>Dog Obedience Training</v>
      </c>
      <c r="B191" s="1" t="str">
        <f t="shared" si="38"/>
        <v>https://m566.info/av7xhn5</v>
      </c>
      <c r="C191" s="1" t="str">
        <f>HYPERLINK("https://m566.info/av7xhn5","Cross Bred")</f>
        <v>Cross Bred</v>
      </c>
    </row>
    <row r="192">
      <c r="A192" s="1" t="str">
        <f t="shared" si="39"/>
        <v>Dog Obedience Training</v>
      </c>
      <c r="B192" s="1" t="str">
        <f t="shared" si="38"/>
        <v>https://m566.info/av7xhn5</v>
      </c>
      <c r="C192" s="1" t="str">
        <f>HYPERLINK("https://m566.info/av7xhn5","Rotweiller")</f>
        <v>Rotweiller</v>
      </c>
    </row>
    <row r="193">
      <c r="A193" s="1" t="str">
        <f t="shared" ref="A193:A198" si="40">HYPERLINK("https://m566.info/av7xhn5","Dog House Training")</f>
        <v>Dog House Training</v>
      </c>
      <c r="B193" s="1" t="str">
        <f t="shared" si="38"/>
        <v>https://m566.info/av7xhn5</v>
      </c>
      <c r="C193" s="1" t="str">
        <f>HYPERLINK("https://m566.info/av7xhn5","Doberman")</f>
        <v>Doberman</v>
      </c>
    </row>
    <row r="194">
      <c r="A194" s="1" t="str">
        <f t="shared" si="40"/>
        <v>Dog House Training</v>
      </c>
      <c r="B194" s="1" t="str">
        <f t="shared" si="38"/>
        <v>https://m566.info/av7xhn5</v>
      </c>
      <c r="C194" s="1" t="str">
        <f>HYPERLINK("https://m566.info/av7xhn5","German Shepherd")</f>
        <v>German Shepherd</v>
      </c>
    </row>
    <row r="195">
      <c r="A195" s="1" t="str">
        <f t="shared" si="40"/>
        <v>Dog House Training</v>
      </c>
      <c r="B195" s="1" t="str">
        <f t="shared" si="38"/>
        <v>https://m566.info/av7xhn5</v>
      </c>
      <c r="C195" s="1" t="str">
        <f>HYPERLINK("https://m566.info/av7xhn5","Border Clollie")</f>
        <v>Border Clollie</v>
      </c>
    </row>
    <row r="196">
      <c r="A196" s="1" t="str">
        <f t="shared" si="40"/>
        <v>Dog House Training</v>
      </c>
      <c r="B196" s="1" t="str">
        <f t="shared" si="38"/>
        <v>https://m566.info/av7xhn5</v>
      </c>
      <c r="C196" s="1" t="str">
        <f>HYPERLINK("https://m566.info/av7xhn5","Rotwieller")</f>
        <v>Rotwieller</v>
      </c>
    </row>
    <row r="197">
      <c r="A197" s="1" t="str">
        <f t="shared" si="40"/>
        <v>Dog House Training</v>
      </c>
      <c r="B197" s="1" t="str">
        <f t="shared" si="38"/>
        <v>https://m566.info/av7xhn5</v>
      </c>
      <c r="C197" s="1" t="str">
        <f>HYPERLINK("https://m566.info/av7xhn5","Cross Bred")</f>
        <v>Cross Bred</v>
      </c>
    </row>
    <row r="198">
      <c r="A198" s="1" t="str">
        <f t="shared" si="40"/>
        <v>Dog House Training</v>
      </c>
      <c r="B198" s="1" t="str">
        <f t="shared" si="38"/>
        <v>https://m566.info/av7xhn5</v>
      </c>
      <c r="C198" s="1" t="str">
        <f>HYPERLINK("https://m566.info/av7xhn5","Rotweiller")</f>
        <v>Rotweiller</v>
      </c>
    </row>
    <row r="199">
      <c r="A199" s="1" t="str">
        <f t="shared" ref="A199:A204" si="41">HYPERLINK("https://m566.info/av7xhn5","Dog Behaviour Training")</f>
        <v>Dog Behaviour Training</v>
      </c>
      <c r="B199" s="1" t="str">
        <f t="shared" si="38"/>
        <v>https://m566.info/av7xhn5</v>
      </c>
      <c r="C199" s="1" t="str">
        <f>HYPERLINK("https://m566.info/av7xhn5","Doberman")</f>
        <v>Doberman</v>
      </c>
    </row>
    <row r="200">
      <c r="A200" s="1" t="str">
        <f t="shared" si="41"/>
        <v>Dog Behaviour Training</v>
      </c>
      <c r="B200" s="1" t="str">
        <f t="shared" si="38"/>
        <v>https://m566.info/av7xhn5</v>
      </c>
      <c r="C200" s="1" t="str">
        <f>HYPERLINK("https://m566.info/av7xhn5","German Shepherd")</f>
        <v>German Shepherd</v>
      </c>
    </row>
    <row r="201">
      <c r="A201" s="1" t="str">
        <f t="shared" si="41"/>
        <v>Dog Behaviour Training</v>
      </c>
      <c r="B201" s="1" t="str">
        <f t="shared" si="38"/>
        <v>https://m566.info/av7xhn5</v>
      </c>
      <c r="C201" s="1" t="str">
        <f>HYPERLINK("https://m566.info/av7xhn5","Border Clollie")</f>
        <v>Border Clollie</v>
      </c>
    </row>
    <row r="202">
      <c r="A202" s="1" t="str">
        <f t="shared" si="41"/>
        <v>Dog Behaviour Training</v>
      </c>
      <c r="B202" s="1" t="str">
        <f t="shared" si="38"/>
        <v>https://m566.info/av7xhn5</v>
      </c>
      <c r="C202" s="1" t="str">
        <f>HYPERLINK("https://m566.info/av7xhn5","Rotwieller")</f>
        <v>Rotwieller</v>
      </c>
    </row>
    <row r="203">
      <c r="A203" s="1" t="str">
        <f t="shared" si="41"/>
        <v>Dog Behaviour Training</v>
      </c>
      <c r="B203" s="1" t="str">
        <f t="shared" si="38"/>
        <v>https://m566.info/av7xhn5</v>
      </c>
      <c r="C203" s="1" t="str">
        <f>HYPERLINK("https://m566.info/av7xhn5","Cross Bred")</f>
        <v>Cross Bred</v>
      </c>
    </row>
    <row r="204">
      <c r="A204" s="1" t="str">
        <f t="shared" si="41"/>
        <v>Dog Behaviour Training</v>
      </c>
      <c r="B204" s="1" t="str">
        <f t="shared" si="38"/>
        <v>https://m566.info/av7xhn5</v>
      </c>
      <c r="C204" s="1" t="str">
        <f>HYPERLINK("https://m566.info/av7xhn5","Rotweiller")</f>
        <v>Rotweiller</v>
      </c>
    </row>
    <row r="205">
      <c r="A205" s="1" t="str">
        <f t="shared" ref="A205:A210" si="42">HYPERLINK("https://m566.info/av7xhn5","Dog : Elite Training")</f>
        <v>Dog : Elite Training</v>
      </c>
      <c r="B205" s="1" t="str">
        <f t="shared" si="38"/>
        <v>https://m566.info/av7xhn5</v>
      </c>
      <c r="C205" s="1" t="str">
        <f>HYPERLINK("https://m566.info/av7xhn5","Doberman")</f>
        <v>Doberman</v>
      </c>
    </row>
    <row r="206">
      <c r="A206" s="1" t="str">
        <f t="shared" si="42"/>
        <v>Dog : Elite Training</v>
      </c>
      <c r="B206" s="1" t="str">
        <f t="shared" si="38"/>
        <v>https://m566.info/av7xhn5</v>
      </c>
      <c r="C206" s="1" t="str">
        <f>HYPERLINK("https://m566.info/av7xhn5","German Shepherd")</f>
        <v>German Shepherd</v>
      </c>
    </row>
    <row r="207">
      <c r="A207" s="1" t="str">
        <f t="shared" si="42"/>
        <v>Dog : Elite Training</v>
      </c>
      <c r="B207" s="1" t="str">
        <f t="shared" si="38"/>
        <v>https://m566.info/av7xhn5</v>
      </c>
      <c r="C207" s="1" t="str">
        <f>HYPERLINK("https://m566.info/av7xhn5","Border Clollie")</f>
        <v>Border Clollie</v>
      </c>
    </row>
    <row r="208">
      <c r="A208" s="1" t="str">
        <f t="shared" si="42"/>
        <v>Dog : Elite Training</v>
      </c>
      <c r="B208" s="1" t="str">
        <f t="shared" si="38"/>
        <v>https://m566.info/av7xhn5</v>
      </c>
      <c r="C208" s="1" t="str">
        <f>HYPERLINK("https://m566.info/av7xhn5","Rotwieller")</f>
        <v>Rotwieller</v>
      </c>
    </row>
    <row r="209">
      <c r="A209" s="1" t="str">
        <f t="shared" si="42"/>
        <v>Dog : Elite Training</v>
      </c>
      <c r="B209" s="1" t="str">
        <f t="shared" si="38"/>
        <v>https://m566.info/av7xhn5</v>
      </c>
      <c r="C209" s="1" t="str">
        <f>HYPERLINK("https://m566.info/av7xhn5","Cross Bred")</f>
        <v>Cross Bred</v>
      </c>
    </row>
    <row r="210">
      <c r="A210" s="1" t="str">
        <f t="shared" si="42"/>
        <v>Dog : Elite Training</v>
      </c>
      <c r="B210" s="1" t="str">
        <f t="shared" si="38"/>
        <v>https://m566.info/av7xhn5</v>
      </c>
      <c r="C210" s="1" t="str">
        <f>HYPERLINK("https://m566.info/av7xhn5","Rotweiller")</f>
        <v>Rotweiller</v>
      </c>
    </row>
    <row r="211">
      <c r="A211" s="1" t="str">
        <f t="shared" ref="A211:A216" si="43">HYPERLINK("https://m566.info/4fkv54f","Dog Aggression Training")</f>
        <v>Dog Aggression Training</v>
      </c>
      <c r="B211" s="1" t="str">
        <f t="shared" ref="B211:B240" si="44">HYPERLINK("https://m566.info/4fkv54f","https://m566.info/4fkv54f")</f>
        <v>https://m566.info/4fkv54f</v>
      </c>
      <c r="C211" s="1" t="str">
        <f>HYPERLINK("https://m566.info/4fkv54f","Doberman")</f>
        <v>Doberman</v>
      </c>
    </row>
    <row r="212">
      <c r="A212" s="1" t="str">
        <f t="shared" si="43"/>
        <v>Dog Aggression Training</v>
      </c>
      <c r="B212" s="1" t="str">
        <f t="shared" si="44"/>
        <v>https://m566.info/4fkv54f</v>
      </c>
      <c r="C212" s="1" t="str">
        <f>HYPERLINK("https://m566.info/4fkv54f","German Shepherd")</f>
        <v>German Shepherd</v>
      </c>
    </row>
    <row r="213">
      <c r="A213" s="1" t="str">
        <f t="shared" si="43"/>
        <v>Dog Aggression Training</v>
      </c>
      <c r="B213" s="1" t="str">
        <f t="shared" si="44"/>
        <v>https://m566.info/4fkv54f</v>
      </c>
      <c r="C213" s="1" t="str">
        <f>HYPERLINK("https://m566.info/4fkv54f","Border Clollie")</f>
        <v>Border Clollie</v>
      </c>
    </row>
    <row r="214">
      <c r="A214" s="1" t="str">
        <f t="shared" si="43"/>
        <v>Dog Aggression Training</v>
      </c>
      <c r="B214" s="1" t="str">
        <f t="shared" si="44"/>
        <v>https://m566.info/4fkv54f</v>
      </c>
      <c r="C214" s="1" t="str">
        <f>HYPERLINK("https://m566.info/4fkv54f","Rotwieller")</f>
        <v>Rotwieller</v>
      </c>
    </row>
    <row r="215">
      <c r="A215" s="1" t="str">
        <f t="shared" si="43"/>
        <v>Dog Aggression Training</v>
      </c>
      <c r="B215" s="1" t="str">
        <f t="shared" si="44"/>
        <v>https://m566.info/4fkv54f</v>
      </c>
      <c r="C215" s="1" t="str">
        <f>HYPERLINK("https://m566.info/4fkv54f","Cross Bred")</f>
        <v>Cross Bred</v>
      </c>
    </row>
    <row r="216">
      <c r="A216" s="1" t="str">
        <f t="shared" si="43"/>
        <v>Dog Aggression Training</v>
      </c>
      <c r="B216" s="1" t="str">
        <f t="shared" si="44"/>
        <v>https://m566.info/4fkv54f</v>
      </c>
      <c r="C216" s="1" t="str">
        <f>HYPERLINK("https://m566.info/4fkv54f","Rotweiller")</f>
        <v>Rotweiller</v>
      </c>
    </row>
    <row r="217">
      <c r="A217" s="1" t="str">
        <f t="shared" ref="A217:A222" si="45">HYPERLINK("https://m566.info/4fkv54f","Dog Obedience Training")</f>
        <v>Dog Obedience Training</v>
      </c>
      <c r="B217" s="1" t="str">
        <f t="shared" si="44"/>
        <v>https://m566.info/4fkv54f</v>
      </c>
      <c r="C217" s="1" t="str">
        <f>HYPERLINK("https://m566.info/4fkv54f","Doberman")</f>
        <v>Doberman</v>
      </c>
    </row>
    <row r="218">
      <c r="A218" s="1" t="str">
        <f t="shared" si="45"/>
        <v>Dog Obedience Training</v>
      </c>
      <c r="B218" s="1" t="str">
        <f t="shared" si="44"/>
        <v>https://m566.info/4fkv54f</v>
      </c>
      <c r="C218" s="1" t="str">
        <f>HYPERLINK("https://m566.info/4fkv54f","German Shepherd")</f>
        <v>German Shepherd</v>
      </c>
    </row>
    <row r="219">
      <c r="A219" s="1" t="str">
        <f t="shared" si="45"/>
        <v>Dog Obedience Training</v>
      </c>
      <c r="B219" s="1" t="str">
        <f t="shared" si="44"/>
        <v>https://m566.info/4fkv54f</v>
      </c>
      <c r="C219" s="1" t="str">
        <f>HYPERLINK("https://m566.info/4fkv54f","Border Clollie")</f>
        <v>Border Clollie</v>
      </c>
    </row>
    <row r="220">
      <c r="A220" s="1" t="str">
        <f t="shared" si="45"/>
        <v>Dog Obedience Training</v>
      </c>
      <c r="B220" s="1" t="str">
        <f t="shared" si="44"/>
        <v>https://m566.info/4fkv54f</v>
      </c>
      <c r="C220" s="1" t="str">
        <f>HYPERLINK("https://m566.info/4fkv54f","Rotwieller")</f>
        <v>Rotwieller</v>
      </c>
    </row>
    <row r="221">
      <c r="A221" s="1" t="str">
        <f t="shared" si="45"/>
        <v>Dog Obedience Training</v>
      </c>
      <c r="B221" s="1" t="str">
        <f t="shared" si="44"/>
        <v>https://m566.info/4fkv54f</v>
      </c>
      <c r="C221" s="1" t="str">
        <f>HYPERLINK("https://m566.info/4fkv54f","Cross Bred")</f>
        <v>Cross Bred</v>
      </c>
    </row>
    <row r="222">
      <c r="A222" s="1" t="str">
        <f t="shared" si="45"/>
        <v>Dog Obedience Training</v>
      </c>
      <c r="B222" s="1" t="str">
        <f t="shared" si="44"/>
        <v>https://m566.info/4fkv54f</v>
      </c>
      <c r="C222" s="1" t="str">
        <f>HYPERLINK("https://m566.info/4fkv54f","Rotweiller")</f>
        <v>Rotweiller</v>
      </c>
    </row>
    <row r="223">
      <c r="A223" s="1" t="str">
        <f t="shared" ref="A223:A228" si="46">HYPERLINK("https://m566.info/4fkv54f","Dog House Training")</f>
        <v>Dog House Training</v>
      </c>
      <c r="B223" s="1" t="str">
        <f t="shared" si="44"/>
        <v>https://m566.info/4fkv54f</v>
      </c>
      <c r="C223" s="1" t="str">
        <f>HYPERLINK("https://m566.info/4fkv54f","Doberman")</f>
        <v>Doberman</v>
      </c>
    </row>
    <row r="224">
      <c r="A224" s="1" t="str">
        <f t="shared" si="46"/>
        <v>Dog House Training</v>
      </c>
      <c r="B224" s="1" t="str">
        <f t="shared" si="44"/>
        <v>https://m566.info/4fkv54f</v>
      </c>
      <c r="C224" s="1" t="str">
        <f>HYPERLINK("https://m566.info/4fkv54f","German Shepherd")</f>
        <v>German Shepherd</v>
      </c>
    </row>
    <row r="225">
      <c r="A225" s="1" t="str">
        <f t="shared" si="46"/>
        <v>Dog House Training</v>
      </c>
      <c r="B225" s="1" t="str">
        <f t="shared" si="44"/>
        <v>https://m566.info/4fkv54f</v>
      </c>
      <c r="C225" s="1" t="str">
        <f>HYPERLINK("https://m566.info/4fkv54f","Border Clollie")</f>
        <v>Border Clollie</v>
      </c>
    </row>
    <row r="226">
      <c r="A226" s="1" t="str">
        <f t="shared" si="46"/>
        <v>Dog House Training</v>
      </c>
      <c r="B226" s="1" t="str">
        <f t="shared" si="44"/>
        <v>https://m566.info/4fkv54f</v>
      </c>
      <c r="C226" s="1" t="str">
        <f>HYPERLINK("https://m566.info/4fkv54f","Rotwieller")</f>
        <v>Rotwieller</v>
      </c>
    </row>
    <row r="227">
      <c r="A227" s="1" t="str">
        <f t="shared" si="46"/>
        <v>Dog House Training</v>
      </c>
      <c r="B227" s="1" t="str">
        <f t="shared" si="44"/>
        <v>https://m566.info/4fkv54f</v>
      </c>
      <c r="C227" s="1" t="str">
        <f>HYPERLINK("https://m566.info/4fkv54f","Cross Bred")</f>
        <v>Cross Bred</v>
      </c>
    </row>
    <row r="228">
      <c r="A228" s="1" t="str">
        <f t="shared" si="46"/>
        <v>Dog House Training</v>
      </c>
      <c r="B228" s="1" t="str">
        <f t="shared" si="44"/>
        <v>https://m566.info/4fkv54f</v>
      </c>
      <c r="C228" s="1" t="str">
        <f>HYPERLINK("https://m566.info/4fkv54f","Rotweiller")</f>
        <v>Rotweiller</v>
      </c>
    </row>
    <row r="229">
      <c r="A229" s="1" t="str">
        <f t="shared" ref="A229:A234" si="47">HYPERLINK("https://m566.info/4fkv54f","Dog Behaviour Training")</f>
        <v>Dog Behaviour Training</v>
      </c>
      <c r="B229" s="1" t="str">
        <f t="shared" si="44"/>
        <v>https://m566.info/4fkv54f</v>
      </c>
      <c r="C229" s="1" t="str">
        <f>HYPERLINK("https://m566.info/4fkv54f","Doberman")</f>
        <v>Doberman</v>
      </c>
    </row>
    <row r="230">
      <c r="A230" s="1" t="str">
        <f t="shared" si="47"/>
        <v>Dog Behaviour Training</v>
      </c>
      <c r="B230" s="1" t="str">
        <f t="shared" si="44"/>
        <v>https://m566.info/4fkv54f</v>
      </c>
      <c r="C230" s="1" t="str">
        <f>HYPERLINK("https://m566.info/4fkv54f","German Shepherd")</f>
        <v>German Shepherd</v>
      </c>
    </row>
    <row r="231">
      <c r="A231" s="1" t="str">
        <f t="shared" si="47"/>
        <v>Dog Behaviour Training</v>
      </c>
      <c r="B231" s="1" t="str">
        <f t="shared" si="44"/>
        <v>https://m566.info/4fkv54f</v>
      </c>
      <c r="C231" s="1" t="str">
        <f>HYPERLINK("https://m566.info/4fkv54f","Border Clollie")</f>
        <v>Border Clollie</v>
      </c>
    </row>
    <row r="232">
      <c r="A232" s="1" t="str">
        <f t="shared" si="47"/>
        <v>Dog Behaviour Training</v>
      </c>
      <c r="B232" s="1" t="str">
        <f t="shared" si="44"/>
        <v>https://m566.info/4fkv54f</v>
      </c>
      <c r="C232" s="1" t="str">
        <f>HYPERLINK("https://m566.info/4fkv54f","Rotwieller")</f>
        <v>Rotwieller</v>
      </c>
    </row>
    <row r="233">
      <c r="A233" s="1" t="str">
        <f t="shared" si="47"/>
        <v>Dog Behaviour Training</v>
      </c>
      <c r="B233" s="1" t="str">
        <f t="shared" si="44"/>
        <v>https://m566.info/4fkv54f</v>
      </c>
      <c r="C233" s="1" t="str">
        <f>HYPERLINK("https://m566.info/4fkv54f","Cross Bred")</f>
        <v>Cross Bred</v>
      </c>
    </row>
    <row r="234">
      <c r="A234" s="1" t="str">
        <f t="shared" si="47"/>
        <v>Dog Behaviour Training</v>
      </c>
      <c r="B234" s="1" t="str">
        <f t="shared" si="44"/>
        <v>https://m566.info/4fkv54f</v>
      </c>
      <c r="C234" s="1" t="str">
        <f>HYPERLINK("https://m566.info/4fkv54f","Rotweiller")</f>
        <v>Rotweiller</v>
      </c>
    </row>
    <row r="235">
      <c r="A235" s="1" t="str">
        <f t="shared" ref="A235:A240" si="48">HYPERLINK("https://m566.info/4fkv54f","Dog : Elite Training")</f>
        <v>Dog : Elite Training</v>
      </c>
      <c r="B235" s="1" t="str">
        <f t="shared" si="44"/>
        <v>https://m566.info/4fkv54f</v>
      </c>
      <c r="C235" s="1" t="str">
        <f>HYPERLINK("https://m566.info/4fkv54f","Doberman")</f>
        <v>Doberman</v>
      </c>
    </row>
    <row r="236">
      <c r="A236" s="1" t="str">
        <f t="shared" si="48"/>
        <v>Dog : Elite Training</v>
      </c>
      <c r="B236" s="1" t="str">
        <f t="shared" si="44"/>
        <v>https://m566.info/4fkv54f</v>
      </c>
      <c r="C236" s="1" t="str">
        <f>HYPERLINK("https://m566.info/4fkv54f","German Shepherd")</f>
        <v>German Shepherd</v>
      </c>
    </row>
    <row r="237">
      <c r="A237" s="1" t="str">
        <f t="shared" si="48"/>
        <v>Dog : Elite Training</v>
      </c>
      <c r="B237" s="1" t="str">
        <f t="shared" si="44"/>
        <v>https://m566.info/4fkv54f</v>
      </c>
      <c r="C237" s="1" t="str">
        <f>HYPERLINK("https://m566.info/4fkv54f","Border Clollie")</f>
        <v>Border Clollie</v>
      </c>
    </row>
    <row r="238">
      <c r="A238" s="1" t="str">
        <f t="shared" si="48"/>
        <v>Dog : Elite Training</v>
      </c>
      <c r="B238" s="1" t="str">
        <f t="shared" si="44"/>
        <v>https://m566.info/4fkv54f</v>
      </c>
      <c r="C238" s="1" t="str">
        <f>HYPERLINK("https://m566.info/4fkv54f","Rotwieller")</f>
        <v>Rotwieller</v>
      </c>
    </row>
    <row r="239">
      <c r="A239" s="1" t="str">
        <f t="shared" si="48"/>
        <v>Dog : Elite Training</v>
      </c>
      <c r="B239" s="1" t="str">
        <f t="shared" si="44"/>
        <v>https://m566.info/4fkv54f</v>
      </c>
      <c r="C239" s="1" t="str">
        <f>HYPERLINK("https://m566.info/4fkv54f","Cross Bred")</f>
        <v>Cross Bred</v>
      </c>
    </row>
    <row r="240">
      <c r="A240" s="1" t="str">
        <f t="shared" si="48"/>
        <v>Dog : Elite Training</v>
      </c>
      <c r="B240" s="1" t="str">
        <f t="shared" si="44"/>
        <v>https://m566.info/4fkv54f</v>
      </c>
      <c r="C240" s="1" t="str">
        <f>HYPERLINK("https://m566.info/4fkv54f","Rotweiller")</f>
        <v>Rotweiller</v>
      </c>
    </row>
    <row r="241">
      <c r="A241" s="1" t="str">
        <f t="shared" ref="A241:A246" si="49">HYPERLINK("https://m566.info/wjvuqhj","Dog Aggression Training")</f>
        <v>Dog Aggression Training</v>
      </c>
      <c r="B241" s="1" t="str">
        <f t="shared" ref="B241:B270" si="50">HYPERLINK("https://m566.info/wjvuqhj","https://m566.info/wjvuqhj")</f>
        <v>https://m566.info/wjvuqhj</v>
      </c>
      <c r="C241" s="1" t="str">
        <f>HYPERLINK("https://m566.info/wjvuqhj","Doberman")</f>
        <v>Doberman</v>
      </c>
    </row>
    <row r="242">
      <c r="A242" s="1" t="str">
        <f t="shared" si="49"/>
        <v>Dog Aggression Training</v>
      </c>
      <c r="B242" s="1" t="str">
        <f t="shared" si="50"/>
        <v>https://m566.info/wjvuqhj</v>
      </c>
      <c r="C242" s="1" t="str">
        <f>HYPERLINK("https://m566.info/wjvuqhj","German Shepherd")</f>
        <v>German Shepherd</v>
      </c>
    </row>
    <row r="243">
      <c r="A243" s="1" t="str">
        <f t="shared" si="49"/>
        <v>Dog Aggression Training</v>
      </c>
      <c r="B243" s="1" t="str">
        <f t="shared" si="50"/>
        <v>https://m566.info/wjvuqhj</v>
      </c>
      <c r="C243" s="1" t="str">
        <f>HYPERLINK("https://m566.info/wjvuqhj","Border Clollie")</f>
        <v>Border Clollie</v>
      </c>
    </row>
    <row r="244">
      <c r="A244" s="1" t="str">
        <f t="shared" si="49"/>
        <v>Dog Aggression Training</v>
      </c>
      <c r="B244" s="1" t="str">
        <f t="shared" si="50"/>
        <v>https://m566.info/wjvuqhj</v>
      </c>
      <c r="C244" s="1" t="str">
        <f>HYPERLINK("https://m566.info/wjvuqhj","Rotwieller")</f>
        <v>Rotwieller</v>
      </c>
    </row>
    <row r="245">
      <c r="A245" s="1" t="str">
        <f t="shared" si="49"/>
        <v>Dog Aggression Training</v>
      </c>
      <c r="B245" s="1" t="str">
        <f t="shared" si="50"/>
        <v>https://m566.info/wjvuqhj</v>
      </c>
      <c r="C245" s="1" t="str">
        <f>HYPERLINK("https://m566.info/wjvuqhj","Cross Bred")</f>
        <v>Cross Bred</v>
      </c>
    </row>
    <row r="246">
      <c r="A246" s="1" t="str">
        <f t="shared" si="49"/>
        <v>Dog Aggression Training</v>
      </c>
      <c r="B246" s="1" t="str">
        <f t="shared" si="50"/>
        <v>https://m566.info/wjvuqhj</v>
      </c>
      <c r="C246" s="1" t="str">
        <f>HYPERLINK("https://m566.info/wjvuqhj","Rotweiller")</f>
        <v>Rotweiller</v>
      </c>
    </row>
    <row r="247">
      <c r="A247" s="1" t="str">
        <f t="shared" ref="A247:A252" si="51">HYPERLINK("https://m566.info/wjvuqhj","Dog Obedience Training")</f>
        <v>Dog Obedience Training</v>
      </c>
      <c r="B247" s="1" t="str">
        <f t="shared" si="50"/>
        <v>https://m566.info/wjvuqhj</v>
      </c>
      <c r="C247" s="1" t="str">
        <f>HYPERLINK("https://m566.info/wjvuqhj","Doberman")</f>
        <v>Doberman</v>
      </c>
    </row>
    <row r="248">
      <c r="A248" s="1" t="str">
        <f t="shared" si="51"/>
        <v>Dog Obedience Training</v>
      </c>
      <c r="B248" s="1" t="str">
        <f t="shared" si="50"/>
        <v>https://m566.info/wjvuqhj</v>
      </c>
      <c r="C248" s="1" t="str">
        <f>HYPERLINK("https://m566.info/wjvuqhj","German Shepherd")</f>
        <v>German Shepherd</v>
      </c>
    </row>
    <row r="249">
      <c r="A249" s="1" t="str">
        <f t="shared" si="51"/>
        <v>Dog Obedience Training</v>
      </c>
      <c r="B249" s="1" t="str">
        <f t="shared" si="50"/>
        <v>https://m566.info/wjvuqhj</v>
      </c>
      <c r="C249" s="1" t="str">
        <f>HYPERLINK("https://m566.info/wjvuqhj","Border Clollie")</f>
        <v>Border Clollie</v>
      </c>
    </row>
    <row r="250">
      <c r="A250" s="1" t="str">
        <f t="shared" si="51"/>
        <v>Dog Obedience Training</v>
      </c>
      <c r="B250" s="1" t="str">
        <f t="shared" si="50"/>
        <v>https://m566.info/wjvuqhj</v>
      </c>
      <c r="C250" s="1" t="str">
        <f>HYPERLINK("https://m566.info/wjvuqhj","Rotwieller")</f>
        <v>Rotwieller</v>
      </c>
    </row>
    <row r="251">
      <c r="A251" s="1" t="str">
        <f t="shared" si="51"/>
        <v>Dog Obedience Training</v>
      </c>
      <c r="B251" s="1" t="str">
        <f t="shared" si="50"/>
        <v>https://m566.info/wjvuqhj</v>
      </c>
      <c r="C251" s="1" t="str">
        <f>HYPERLINK("https://m566.info/wjvuqhj","Cross Bred")</f>
        <v>Cross Bred</v>
      </c>
    </row>
    <row r="252">
      <c r="A252" s="1" t="str">
        <f t="shared" si="51"/>
        <v>Dog Obedience Training</v>
      </c>
      <c r="B252" s="1" t="str">
        <f t="shared" si="50"/>
        <v>https://m566.info/wjvuqhj</v>
      </c>
      <c r="C252" s="1" t="str">
        <f>HYPERLINK("https://m566.info/wjvuqhj","Rotweiller")</f>
        <v>Rotweiller</v>
      </c>
    </row>
    <row r="253">
      <c r="A253" s="1" t="str">
        <f t="shared" ref="A253:A258" si="52">HYPERLINK("https://m566.info/wjvuqhj","Dog House Training")</f>
        <v>Dog House Training</v>
      </c>
      <c r="B253" s="1" t="str">
        <f t="shared" si="50"/>
        <v>https://m566.info/wjvuqhj</v>
      </c>
      <c r="C253" s="1" t="str">
        <f>HYPERLINK("https://m566.info/wjvuqhj","Doberman")</f>
        <v>Doberman</v>
      </c>
    </row>
    <row r="254">
      <c r="A254" s="1" t="str">
        <f t="shared" si="52"/>
        <v>Dog House Training</v>
      </c>
      <c r="B254" s="1" t="str">
        <f t="shared" si="50"/>
        <v>https://m566.info/wjvuqhj</v>
      </c>
      <c r="C254" s="1" t="str">
        <f>HYPERLINK("https://m566.info/wjvuqhj","German Shepherd")</f>
        <v>German Shepherd</v>
      </c>
    </row>
    <row r="255">
      <c r="A255" s="1" t="str">
        <f t="shared" si="52"/>
        <v>Dog House Training</v>
      </c>
      <c r="B255" s="1" t="str">
        <f t="shared" si="50"/>
        <v>https://m566.info/wjvuqhj</v>
      </c>
      <c r="C255" s="1" t="str">
        <f>HYPERLINK("https://m566.info/wjvuqhj","Border Clollie")</f>
        <v>Border Clollie</v>
      </c>
    </row>
    <row r="256">
      <c r="A256" s="1" t="str">
        <f t="shared" si="52"/>
        <v>Dog House Training</v>
      </c>
      <c r="B256" s="1" t="str">
        <f t="shared" si="50"/>
        <v>https://m566.info/wjvuqhj</v>
      </c>
      <c r="C256" s="1" t="str">
        <f>HYPERLINK("https://m566.info/wjvuqhj","Rotwieller")</f>
        <v>Rotwieller</v>
      </c>
    </row>
    <row r="257">
      <c r="A257" s="1" t="str">
        <f t="shared" si="52"/>
        <v>Dog House Training</v>
      </c>
      <c r="B257" s="1" t="str">
        <f t="shared" si="50"/>
        <v>https://m566.info/wjvuqhj</v>
      </c>
      <c r="C257" s="1" t="str">
        <f>HYPERLINK("https://m566.info/wjvuqhj","Cross Bred")</f>
        <v>Cross Bred</v>
      </c>
    </row>
    <row r="258">
      <c r="A258" s="1" t="str">
        <f t="shared" si="52"/>
        <v>Dog House Training</v>
      </c>
      <c r="B258" s="1" t="str">
        <f t="shared" si="50"/>
        <v>https://m566.info/wjvuqhj</v>
      </c>
      <c r="C258" s="1" t="str">
        <f>HYPERLINK("https://m566.info/wjvuqhj","Rotweiller")</f>
        <v>Rotweiller</v>
      </c>
    </row>
    <row r="259">
      <c r="A259" s="1" t="str">
        <f t="shared" ref="A259:A264" si="53">HYPERLINK("https://m566.info/wjvuqhj","Dog Behaviour Training")</f>
        <v>Dog Behaviour Training</v>
      </c>
      <c r="B259" s="1" t="str">
        <f t="shared" si="50"/>
        <v>https://m566.info/wjvuqhj</v>
      </c>
      <c r="C259" s="1" t="str">
        <f>HYPERLINK("https://m566.info/wjvuqhj","Doberman")</f>
        <v>Doberman</v>
      </c>
    </row>
    <row r="260">
      <c r="A260" s="1" t="str">
        <f t="shared" si="53"/>
        <v>Dog Behaviour Training</v>
      </c>
      <c r="B260" s="1" t="str">
        <f t="shared" si="50"/>
        <v>https://m566.info/wjvuqhj</v>
      </c>
      <c r="C260" s="1" t="str">
        <f>HYPERLINK("https://m566.info/wjvuqhj","German Shepherd")</f>
        <v>German Shepherd</v>
      </c>
    </row>
    <row r="261">
      <c r="A261" s="1" t="str">
        <f t="shared" si="53"/>
        <v>Dog Behaviour Training</v>
      </c>
      <c r="B261" s="1" t="str">
        <f t="shared" si="50"/>
        <v>https://m566.info/wjvuqhj</v>
      </c>
      <c r="C261" s="1" t="str">
        <f>HYPERLINK("https://m566.info/wjvuqhj","Border Clollie")</f>
        <v>Border Clollie</v>
      </c>
    </row>
    <row r="262">
      <c r="A262" s="1" t="str">
        <f t="shared" si="53"/>
        <v>Dog Behaviour Training</v>
      </c>
      <c r="B262" s="1" t="str">
        <f t="shared" si="50"/>
        <v>https://m566.info/wjvuqhj</v>
      </c>
      <c r="C262" s="1" t="str">
        <f>HYPERLINK("https://m566.info/wjvuqhj","Rotwieller")</f>
        <v>Rotwieller</v>
      </c>
    </row>
    <row r="263">
      <c r="A263" s="1" t="str">
        <f t="shared" si="53"/>
        <v>Dog Behaviour Training</v>
      </c>
      <c r="B263" s="1" t="str">
        <f t="shared" si="50"/>
        <v>https://m566.info/wjvuqhj</v>
      </c>
      <c r="C263" s="1" t="str">
        <f>HYPERLINK("https://m566.info/wjvuqhj","Cross Bred")</f>
        <v>Cross Bred</v>
      </c>
    </row>
    <row r="264">
      <c r="A264" s="1" t="str">
        <f t="shared" si="53"/>
        <v>Dog Behaviour Training</v>
      </c>
      <c r="B264" s="1" t="str">
        <f t="shared" si="50"/>
        <v>https://m566.info/wjvuqhj</v>
      </c>
      <c r="C264" s="1" t="str">
        <f>HYPERLINK("https://m566.info/wjvuqhj","Rotweiller")</f>
        <v>Rotweiller</v>
      </c>
    </row>
    <row r="265">
      <c r="A265" s="1" t="str">
        <f t="shared" ref="A265:A270" si="54">HYPERLINK("https://m566.info/wjvuqhj","Dog : Elite Training")</f>
        <v>Dog : Elite Training</v>
      </c>
      <c r="B265" s="1" t="str">
        <f t="shared" si="50"/>
        <v>https://m566.info/wjvuqhj</v>
      </c>
      <c r="C265" s="1" t="str">
        <f>HYPERLINK("https://m566.info/wjvuqhj","Doberman")</f>
        <v>Doberman</v>
      </c>
    </row>
    <row r="266">
      <c r="A266" s="1" t="str">
        <f t="shared" si="54"/>
        <v>Dog : Elite Training</v>
      </c>
      <c r="B266" s="1" t="str">
        <f t="shared" si="50"/>
        <v>https://m566.info/wjvuqhj</v>
      </c>
      <c r="C266" s="1" t="str">
        <f>HYPERLINK("https://m566.info/wjvuqhj","German Shepherd")</f>
        <v>German Shepherd</v>
      </c>
    </row>
    <row r="267">
      <c r="A267" s="1" t="str">
        <f t="shared" si="54"/>
        <v>Dog : Elite Training</v>
      </c>
      <c r="B267" s="1" t="str">
        <f t="shared" si="50"/>
        <v>https://m566.info/wjvuqhj</v>
      </c>
      <c r="C267" s="1" t="str">
        <f>HYPERLINK("https://m566.info/wjvuqhj","Border Clollie")</f>
        <v>Border Clollie</v>
      </c>
    </row>
    <row r="268">
      <c r="A268" s="1" t="str">
        <f t="shared" si="54"/>
        <v>Dog : Elite Training</v>
      </c>
      <c r="B268" s="1" t="str">
        <f t="shared" si="50"/>
        <v>https://m566.info/wjvuqhj</v>
      </c>
      <c r="C268" s="1" t="str">
        <f>HYPERLINK("https://m566.info/wjvuqhj","Rotwieller")</f>
        <v>Rotwieller</v>
      </c>
    </row>
    <row r="269">
      <c r="A269" s="1" t="str">
        <f t="shared" si="54"/>
        <v>Dog : Elite Training</v>
      </c>
      <c r="B269" s="1" t="str">
        <f t="shared" si="50"/>
        <v>https://m566.info/wjvuqhj</v>
      </c>
      <c r="C269" s="1" t="str">
        <f>HYPERLINK("https://m566.info/wjvuqhj","Cross Bred")</f>
        <v>Cross Bred</v>
      </c>
    </row>
    <row r="270">
      <c r="A270" s="1" t="str">
        <f t="shared" si="54"/>
        <v>Dog : Elite Training</v>
      </c>
      <c r="B270" s="1" t="str">
        <f t="shared" si="50"/>
        <v>https://m566.info/wjvuqhj</v>
      </c>
      <c r="C270" s="1" t="str">
        <f>HYPERLINK("https://m566.info/wjvuqhj","Rotweiller")</f>
        <v>Rotweiller</v>
      </c>
    </row>
    <row r="271">
      <c r="A271" s="1" t="str">
        <f t="shared" ref="A271:A276" si="55">HYPERLINK("https://m566.info/vflgac5","Dog Aggression Training")</f>
        <v>Dog Aggression Training</v>
      </c>
      <c r="B271" s="1" t="str">
        <f t="shared" ref="B271:B300" si="56">HYPERLINK("https://m566.info/vflgac5","https://m566.info/vflgac5")</f>
        <v>https://m566.info/vflgac5</v>
      </c>
      <c r="C271" s="1" t="str">
        <f>HYPERLINK("https://m566.info/vflgac5","Doberman")</f>
        <v>Doberman</v>
      </c>
    </row>
    <row r="272">
      <c r="A272" s="1" t="str">
        <f t="shared" si="55"/>
        <v>Dog Aggression Training</v>
      </c>
      <c r="B272" s="1" t="str">
        <f t="shared" si="56"/>
        <v>https://m566.info/vflgac5</v>
      </c>
      <c r="C272" s="1" t="str">
        <f>HYPERLINK("https://m566.info/vflgac5","German Shepherd")</f>
        <v>German Shepherd</v>
      </c>
    </row>
    <row r="273">
      <c r="A273" s="1" t="str">
        <f t="shared" si="55"/>
        <v>Dog Aggression Training</v>
      </c>
      <c r="B273" s="1" t="str">
        <f t="shared" si="56"/>
        <v>https://m566.info/vflgac5</v>
      </c>
      <c r="C273" s="1" t="str">
        <f>HYPERLINK("https://m566.info/vflgac5","Border Clollie")</f>
        <v>Border Clollie</v>
      </c>
    </row>
    <row r="274">
      <c r="A274" s="1" t="str">
        <f t="shared" si="55"/>
        <v>Dog Aggression Training</v>
      </c>
      <c r="B274" s="1" t="str">
        <f t="shared" si="56"/>
        <v>https://m566.info/vflgac5</v>
      </c>
      <c r="C274" s="1" t="str">
        <f>HYPERLINK("https://m566.info/vflgac5","Rotwieller")</f>
        <v>Rotwieller</v>
      </c>
    </row>
    <row r="275">
      <c r="A275" s="1" t="str">
        <f t="shared" si="55"/>
        <v>Dog Aggression Training</v>
      </c>
      <c r="B275" s="1" t="str">
        <f t="shared" si="56"/>
        <v>https://m566.info/vflgac5</v>
      </c>
      <c r="C275" s="1" t="str">
        <f>HYPERLINK("https://m566.info/vflgac5","Cross Bred")</f>
        <v>Cross Bred</v>
      </c>
    </row>
    <row r="276">
      <c r="A276" s="1" t="str">
        <f t="shared" si="55"/>
        <v>Dog Aggression Training</v>
      </c>
      <c r="B276" s="1" t="str">
        <f t="shared" si="56"/>
        <v>https://m566.info/vflgac5</v>
      </c>
      <c r="C276" s="1" t="str">
        <f>HYPERLINK("https://m566.info/vflgac5","Rotweiller")</f>
        <v>Rotweiller</v>
      </c>
    </row>
    <row r="277">
      <c r="A277" s="1" t="str">
        <f t="shared" ref="A277:A282" si="57">HYPERLINK("https://m566.info/vflgac5","Dog Obedience Training")</f>
        <v>Dog Obedience Training</v>
      </c>
      <c r="B277" s="1" t="str">
        <f t="shared" si="56"/>
        <v>https://m566.info/vflgac5</v>
      </c>
      <c r="C277" s="1" t="str">
        <f>HYPERLINK("https://m566.info/vflgac5","Doberman")</f>
        <v>Doberman</v>
      </c>
    </row>
    <row r="278">
      <c r="A278" s="1" t="str">
        <f t="shared" si="57"/>
        <v>Dog Obedience Training</v>
      </c>
      <c r="B278" s="1" t="str">
        <f t="shared" si="56"/>
        <v>https://m566.info/vflgac5</v>
      </c>
      <c r="C278" s="1" t="str">
        <f>HYPERLINK("https://m566.info/vflgac5","German Shepherd")</f>
        <v>German Shepherd</v>
      </c>
    </row>
    <row r="279">
      <c r="A279" s="1" t="str">
        <f t="shared" si="57"/>
        <v>Dog Obedience Training</v>
      </c>
      <c r="B279" s="1" t="str">
        <f t="shared" si="56"/>
        <v>https://m566.info/vflgac5</v>
      </c>
      <c r="C279" s="1" t="str">
        <f>HYPERLINK("https://m566.info/vflgac5","Border Clollie")</f>
        <v>Border Clollie</v>
      </c>
    </row>
    <row r="280">
      <c r="A280" s="1" t="str">
        <f t="shared" si="57"/>
        <v>Dog Obedience Training</v>
      </c>
      <c r="B280" s="1" t="str">
        <f t="shared" si="56"/>
        <v>https://m566.info/vflgac5</v>
      </c>
      <c r="C280" s="1" t="str">
        <f>HYPERLINK("https://m566.info/vflgac5","Rotwieller")</f>
        <v>Rotwieller</v>
      </c>
    </row>
    <row r="281">
      <c r="A281" s="1" t="str">
        <f t="shared" si="57"/>
        <v>Dog Obedience Training</v>
      </c>
      <c r="B281" s="1" t="str">
        <f t="shared" si="56"/>
        <v>https://m566.info/vflgac5</v>
      </c>
      <c r="C281" s="1" t="str">
        <f>HYPERLINK("https://m566.info/vflgac5","Cross Bred")</f>
        <v>Cross Bred</v>
      </c>
    </row>
    <row r="282">
      <c r="A282" s="1" t="str">
        <f t="shared" si="57"/>
        <v>Dog Obedience Training</v>
      </c>
      <c r="B282" s="1" t="str">
        <f t="shared" si="56"/>
        <v>https://m566.info/vflgac5</v>
      </c>
      <c r="C282" s="1" t="str">
        <f>HYPERLINK("https://m566.info/vflgac5","Rotweiller")</f>
        <v>Rotweiller</v>
      </c>
    </row>
    <row r="283">
      <c r="A283" s="1" t="str">
        <f t="shared" ref="A283:A288" si="58">HYPERLINK("https://m566.info/vflgac5","Dog House Training")</f>
        <v>Dog House Training</v>
      </c>
      <c r="B283" s="1" t="str">
        <f t="shared" si="56"/>
        <v>https://m566.info/vflgac5</v>
      </c>
      <c r="C283" s="1" t="str">
        <f>HYPERLINK("https://m566.info/vflgac5","Doberman")</f>
        <v>Doberman</v>
      </c>
    </row>
    <row r="284">
      <c r="A284" s="1" t="str">
        <f t="shared" si="58"/>
        <v>Dog House Training</v>
      </c>
      <c r="B284" s="1" t="str">
        <f t="shared" si="56"/>
        <v>https://m566.info/vflgac5</v>
      </c>
      <c r="C284" s="1" t="str">
        <f>HYPERLINK("https://m566.info/vflgac5","German Shepherd")</f>
        <v>German Shepherd</v>
      </c>
    </row>
    <row r="285">
      <c r="A285" s="1" t="str">
        <f t="shared" si="58"/>
        <v>Dog House Training</v>
      </c>
      <c r="B285" s="1" t="str">
        <f t="shared" si="56"/>
        <v>https://m566.info/vflgac5</v>
      </c>
      <c r="C285" s="1" t="str">
        <f>HYPERLINK("https://m566.info/vflgac5","Border Clollie")</f>
        <v>Border Clollie</v>
      </c>
    </row>
    <row r="286">
      <c r="A286" s="1" t="str">
        <f t="shared" si="58"/>
        <v>Dog House Training</v>
      </c>
      <c r="B286" s="1" t="str">
        <f t="shared" si="56"/>
        <v>https://m566.info/vflgac5</v>
      </c>
      <c r="C286" s="1" t="str">
        <f>HYPERLINK("https://m566.info/vflgac5","Rotwieller")</f>
        <v>Rotwieller</v>
      </c>
    </row>
    <row r="287">
      <c r="A287" s="1" t="str">
        <f t="shared" si="58"/>
        <v>Dog House Training</v>
      </c>
      <c r="B287" s="1" t="str">
        <f t="shared" si="56"/>
        <v>https://m566.info/vflgac5</v>
      </c>
      <c r="C287" s="1" t="str">
        <f>HYPERLINK("https://m566.info/vflgac5","Cross Bred")</f>
        <v>Cross Bred</v>
      </c>
    </row>
    <row r="288">
      <c r="A288" s="1" t="str">
        <f t="shared" si="58"/>
        <v>Dog House Training</v>
      </c>
      <c r="B288" s="1" t="str">
        <f t="shared" si="56"/>
        <v>https://m566.info/vflgac5</v>
      </c>
      <c r="C288" s="1" t="str">
        <f>HYPERLINK("https://m566.info/vflgac5","Rotweiller")</f>
        <v>Rotweiller</v>
      </c>
    </row>
    <row r="289">
      <c r="A289" s="1" t="str">
        <f t="shared" ref="A289:A294" si="59">HYPERLINK("https://m566.info/vflgac5","Dog Behaviour Training")</f>
        <v>Dog Behaviour Training</v>
      </c>
      <c r="B289" s="1" t="str">
        <f t="shared" si="56"/>
        <v>https://m566.info/vflgac5</v>
      </c>
      <c r="C289" s="1" t="str">
        <f>HYPERLINK("https://m566.info/vflgac5","Doberman")</f>
        <v>Doberman</v>
      </c>
    </row>
    <row r="290">
      <c r="A290" s="1" t="str">
        <f t="shared" si="59"/>
        <v>Dog Behaviour Training</v>
      </c>
      <c r="B290" s="1" t="str">
        <f t="shared" si="56"/>
        <v>https://m566.info/vflgac5</v>
      </c>
      <c r="C290" s="1" t="str">
        <f>HYPERLINK("https://m566.info/vflgac5","German Shepherd")</f>
        <v>German Shepherd</v>
      </c>
    </row>
    <row r="291">
      <c r="A291" s="1" t="str">
        <f t="shared" si="59"/>
        <v>Dog Behaviour Training</v>
      </c>
      <c r="B291" s="1" t="str">
        <f t="shared" si="56"/>
        <v>https://m566.info/vflgac5</v>
      </c>
      <c r="C291" s="1" t="str">
        <f>HYPERLINK("https://m566.info/vflgac5","Border Clollie")</f>
        <v>Border Clollie</v>
      </c>
    </row>
    <row r="292">
      <c r="A292" s="1" t="str">
        <f t="shared" si="59"/>
        <v>Dog Behaviour Training</v>
      </c>
      <c r="B292" s="1" t="str">
        <f t="shared" si="56"/>
        <v>https://m566.info/vflgac5</v>
      </c>
      <c r="C292" s="1" t="str">
        <f>HYPERLINK("https://m566.info/vflgac5","Rotwieller")</f>
        <v>Rotwieller</v>
      </c>
    </row>
    <row r="293">
      <c r="A293" s="1" t="str">
        <f t="shared" si="59"/>
        <v>Dog Behaviour Training</v>
      </c>
      <c r="B293" s="1" t="str">
        <f t="shared" si="56"/>
        <v>https://m566.info/vflgac5</v>
      </c>
      <c r="C293" s="1" t="str">
        <f>HYPERLINK("https://m566.info/vflgac5","Cross Bred")</f>
        <v>Cross Bred</v>
      </c>
    </row>
    <row r="294">
      <c r="A294" s="1" t="str">
        <f t="shared" si="59"/>
        <v>Dog Behaviour Training</v>
      </c>
      <c r="B294" s="1" t="str">
        <f t="shared" si="56"/>
        <v>https://m566.info/vflgac5</v>
      </c>
      <c r="C294" s="1" t="str">
        <f>HYPERLINK("https://m566.info/vflgac5","Rotweiller")</f>
        <v>Rotweiller</v>
      </c>
    </row>
    <row r="295">
      <c r="A295" s="1" t="str">
        <f t="shared" ref="A295:A300" si="60">HYPERLINK("https://m566.info/vflgac5","Dog : Elite Training")</f>
        <v>Dog : Elite Training</v>
      </c>
      <c r="B295" s="1" t="str">
        <f t="shared" si="56"/>
        <v>https://m566.info/vflgac5</v>
      </c>
      <c r="C295" s="1" t="str">
        <f>HYPERLINK("https://m566.info/vflgac5","Doberman")</f>
        <v>Doberman</v>
      </c>
    </row>
    <row r="296">
      <c r="A296" s="1" t="str">
        <f t="shared" si="60"/>
        <v>Dog : Elite Training</v>
      </c>
      <c r="B296" s="1" t="str">
        <f t="shared" si="56"/>
        <v>https://m566.info/vflgac5</v>
      </c>
      <c r="C296" s="1" t="str">
        <f>HYPERLINK("https://m566.info/vflgac5","German Shepherd")</f>
        <v>German Shepherd</v>
      </c>
    </row>
    <row r="297">
      <c r="A297" s="1" t="str">
        <f t="shared" si="60"/>
        <v>Dog : Elite Training</v>
      </c>
      <c r="B297" s="1" t="str">
        <f t="shared" si="56"/>
        <v>https://m566.info/vflgac5</v>
      </c>
      <c r="C297" s="1" t="str">
        <f>HYPERLINK("https://m566.info/vflgac5","Border Clollie")</f>
        <v>Border Clollie</v>
      </c>
    </row>
    <row r="298">
      <c r="A298" s="1" t="str">
        <f t="shared" si="60"/>
        <v>Dog : Elite Training</v>
      </c>
      <c r="B298" s="1" t="str">
        <f t="shared" si="56"/>
        <v>https://m566.info/vflgac5</v>
      </c>
      <c r="C298" s="1" t="str">
        <f>HYPERLINK("https://m566.info/vflgac5","Rotwieller")</f>
        <v>Rotwieller</v>
      </c>
    </row>
    <row r="299">
      <c r="A299" s="1" t="str">
        <f t="shared" si="60"/>
        <v>Dog : Elite Training</v>
      </c>
      <c r="B299" s="1" t="str">
        <f t="shared" si="56"/>
        <v>https://m566.info/vflgac5</v>
      </c>
      <c r="C299" s="1" t="str">
        <f>HYPERLINK("https://m566.info/vflgac5","Cross Bred")</f>
        <v>Cross Bred</v>
      </c>
    </row>
    <row r="300">
      <c r="A300" s="1" t="str">
        <f t="shared" si="60"/>
        <v>Dog : Elite Training</v>
      </c>
      <c r="B300" s="1" t="str">
        <f t="shared" si="56"/>
        <v>https://m566.info/vflgac5</v>
      </c>
      <c r="C300" s="1" t="str">
        <f>HYPERLINK("https://m566.info/vflgac5","Rotweiller")</f>
        <v>Rotweiller</v>
      </c>
    </row>
    <row r="301">
      <c r="A301" s="1" t="str">
        <f t="shared" ref="A301:A306" si="61">HYPERLINK("https://m566.info/gc4wqk9","Dog Aggression Training")</f>
        <v>Dog Aggression Training</v>
      </c>
      <c r="B301" s="1" t="str">
        <f t="shared" ref="B301:B330" si="62">HYPERLINK("https://m566.info/gc4wqk9","https://m566.info/gc4wqk9")</f>
        <v>https://m566.info/gc4wqk9</v>
      </c>
      <c r="C301" s="1" t="str">
        <f>HYPERLINK("https://m566.info/gc4wqk9","Doberman")</f>
        <v>Doberman</v>
      </c>
    </row>
    <row r="302">
      <c r="A302" s="1" t="str">
        <f t="shared" si="61"/>
        <v>Dog Aggression Training</v>
      </c>
      <c r="B302" s="1" t="str">
        <f t="shared" si="62"/>
        <v>https://m566.info/gc4wqk9</v>
      </c>
      <c r="C302" s="1" t="str">
        <f>HYPERLINK("https://m566.info/gc4wqk9","German Shepherd")</f>
        <v>German Shepherd</v>
      </c>
    </row>
    <row r="303">
      <c r="A303" s="1" t="str">
        <f t="shared" si="61"/>
        <v>Dog Aggression Training</v>
      </c>
      <c r="B303" s="1" t="str">
        <f t="shared" si="62"/>
        <v>https://m566.info/gc4wqk9</v>
      </c>
      <c r="C303" s="1" t="str">
        <f>HYPERLINK("https://m566.info/gc4wqk9","Border Clollie")</f>
        <v>Border Clollie</v>
      </c>
    </row>
    <row r="304">
      <c r="A304" s="1" t="str">
        <f t="shared" si="61"/>
        <v>Dog Aggression Training</v>
      </c>
      <c r="B304" s="1" t="str">
        <f t="shared" si="62"/>
        <v>https://m566.info/gc4wqk9</v>
      </c>
      <c r="C304" s="1" t="str">
        <f>HYPERLINK("https://m566.info/gc4wqk9","Rotwieller")</f>
        <v>Rotwieller</v>
      </c>
    </row>
    <row r="305">
      <c r="A305" s="1" t="str">
        <f t="shared" si="61"/>
        <v>Dog Aggression Training</v>
      </c>
      <c r="B305" s="1" t="str">
        <f t="shared" si="62"/>
        <v>https://m566.info/gc4wqk9</v>
      </c>
      <c r="C305" s="1" t="str">
        <f>HYPERLINK("https://m566.info/gc4wqk9","Cross Bred")</f>
        <v>Cross Bred</v>
      </c>
    </row>
    <row r="306">
      <c r="A306" s="1" t="str">
        <f t="shared" si="61"/>
        <v>Dog Aggression Training</v>
      </c>
      <c r="B306" s="1" t="str">
        <f t="shared" si="62"/>
        <v>https://m566.info/gc4wqk9</v>
      </c>
      <c r="C306" s="1" t="str">
        <f>HYPERLINK("https://m566.info/gc4wqk9","Rotweiller")</f>
        <v>Rotweiller</v>
      </c>
    </row>
    <row r="307">
      <c r="A307" s="1" t="str">
        <f t="shared" ref="A307:A312" si="63">HYPERLINK("https://m566.info/gc4wqk9","Dog Obedience Training")</f>
        <v>Dog Obedience Training</v>
      </c>
      <c r="B307" s="1" t="str">
        <f t="shared" si="62"/>
        <v>https://m566.info/gc4wqk9</v>
      </c>
      <c r="C307" s="1" t="str">
        <f>HYPERLINK("https://m566.info/gc4wqk9","Doberman")</f>
        <v>Doberman</v>
      </c>
    </row>
    <row r="308">
      <c r="A308" s="1" t="str">
        <f t="shared" si="63"/>
        <v>Dog Obedience Training</v>
      </c>
      <c r="B308" s="1" t="str">
        <f t="shared" si="62"/>
        <v>https://m566.info/gc4wqk9</v>
      </c>
      <c r="C308" s="1" t="str">
        <f>HYPERLINK("https://m566.info/gc4wqk9","German Shepherd")</f>
        <v>German Shepherd</v>
      </c>
    </row>
    <row r="309">
      <c r="A309" s="1" t="str">
        <f t="shared" si="63"/>
        <v>Dog Obedience Training</v>
      </c>
      <c r="B309" s="1" t="str">
        <f t="shared" si="62"/>
        <v>https://m566.info/gc4wqk9</v>
      </c>
      <c r="C309" s="1" t="str">
        <f>HYPERLINK("https://m566.info/gc4wqk9","Border Clollie")</f>
        <v>Border Clollie</v>
      </c>
    </row>
    <row r="310">
      <c r="A310" s="1" t="str">
        <f t="shared" si="63"/>
        <v>Dog Obedience Training</v>
      </c>
      <c r="B310" s="1" t="str">
        <f t="shared" si="62"/>
        <v>https://m566.info/gc4wqk9</v>
      </c>
      <c r="C310" s="1" t="str">
        <f>HYPERLINK("https://m566.info/gc4wqk9","Rotwieller")</f>
        <v>Rotwieller</v>
      </c>
    </row>
    <row r="311">
      <c r="A311" s="1" t="str">
        <f t="shared" si="63"/>
        <v>Dog Obedience Training</v>
      </c>
      <c r="B311" s="1" t="str">
        <f t="shared" si="62"/>
        <v>https://m566.info/gc4wqk9</v>
      </c>
      <c r="C311" s="1" t="str">
        <f>HYPERLINK("https://m566.info/gc4wqk9","Cross Bred")</f>
        <v>Cross Bred</v>
      </c>
    </row>
    <row r="312">
      <c r="A312" s="1" t="str">
        <f t="shared" si="63"/>
        <v>Dog Obedience Training</v>
      </c>
      <c r="B312" s="1" t="str">
        <f t="shared" si="62"/>
        <v>https://m566.info/gc4wqk9</v>
      </c>
      <c r="C312" s="1" t="str">
        <f>HYPERLINK("https://m566.info/gc4wqk9","Rotweiller")</f>
        <v>Rotweiller</v>
      </c>
    </row>
    <row r="313">
      <c r="A313" s="1" t="str">
        <f t="shared" ref="A313:A318" si="64">HYPERLINK("https://m566.info/gc4wqk9","Dog House Training")</f>
        <v>Dog House Training</v>
      </c>
      <c r="B313" s="1" t="str">
        <f t="shared" si="62"/>
        <v>https://m566.info/gc4wqk9</v>
      </c>
      <c r="C313" s="1" t="str">
        <f>HYPERLINK("https://m566.info/gc4wqk9","Doberman")</f>
        <v>Doberman</v>
      </c>
    </row>
    <row r="314">
      <c r="A314" s="1" t="str">
        <f t="shared" si="64"/>
        <v>Dog House Training</v>
      </c>
      <c r="B314" s="1" t="str">
        <f t="shared" si="62"/>
        <v>https://m566.info/gc4wqk9</v>
      </c>
      <c r="C314" s="1" t="str">
        <f>HYPERLINK("https://m566.info/gc4wqk9","German Shepherd")</f>
        <v>German Shepherd</v>
      </c>
    </row>
    <row r="315">
      <c r="A315" s="1" t="str">
        <f t="shared" si="64"/>
        <v>Dog House Training</v>
      </c>
      <c r="B315" s="1" t="str">
        <f t="shared" si="62"/>
        <v>https://m566.info/gc4wqk9</v>
      </c>
      <c r="C315" s="1" t="str">
        <f>HYPERLINK("https://m566.info/gc4wqk9","Border Clollie")</f>
        <v>Border Clollie</v>
      </c>
    </row>
    <row r="316">
      <c r="A316" s="1" t="str">
        <f t="shared" si="64"/>
        <v>Dog House Training</v>
      </c>
      <c r="B316" s="1" t="str">
        <f t="shared" si="62"/>
        <v>https://m566.info/gc4wqk9</v>
      </c>
      <c r="C316" s="1" t="str">
        <f>HYPERLINK("https://m566.info/gc4wqk9","Rotwieller")</f>
        <v>Rotwieller</v>
      </c>
    </row>
    <row r="317">
      <c r="A317" s="1" t="str">
        <f t="shared" si="64"/>
        <v>Dog House Training</v>
      </c>
      <c r="B317" s="1" t="str">
        <f t="shared" si="62"/>
        <v>https://m566.info/gc4wqk9</v>
      </c>
      <c r="C317" s="1" t="str">
        <f>HYPERLINK("https://m566.info/gc4wqk9","Cross Bred")</f>
        <v>Cross Bred</v>
      </c>
    </row>
    <row r="318">
      <c r="A318" s="1" t="str">
        <f t="shared" si="64"/>
        <v>Dog House Training</v>
      </c>
      <c r="B318" s="1" t="str">
        <f t="shared" si="62"/>
        <v>https://m566.info/gc4wqk9</v>
      </c>
      <c r="C318" s="1" t="str">
        <f>HYPERLINK("https://m566.info/gc4wqk9","Rotweiller")</f>
        <v>Rotweiller</v>
      </c>
    </row>
    <row r="319">
      <c r="A319" s="1" t="str">
        <f t="shared" ref="A319:A324" si="65">HYPERLINK("https://m566.info/gc4wqk9","Dog Behaviour Training")</f>
        <v>Dog Behaviour Training</v>
      </c>
      <c r="B319" s="1" t="str">
        <f t="shared" si="62"/>
        <v>https://m566.info/gc4wqk9</v>
      </c>
      <c r="C319" s="1" t="str">
        <f>HYPERLINK("https://m566.info/gc4wqk9","Doberman")</f>
        <v>Doberman</v>
      </c>
    </row>
    <row r="320">
      <c r="A320" s="1" t="str">
        <f t="shared" si="65"/>
        <v>Dog Behaviour Training</v>
      </c>
      <c r="B320" s="1" t="str">
        <f t="shared" si="62"/>
        <v>https://m566.info/gc4wqk9</v>
      </c>
      <c r="C320" s="1" t="str">
        <f>HYPERLINK("https://m566.info/gc4wqk9","German Shepherd")</f>
        <v>German Shepherd</v>
      </c>
    </row>
    <row r="321">
      <c r="A321" s="1" t="str">
        <f t="shared" si="65"/>
        <v>Dog Behaviour Training</v>
      </c>
      <c r="B321" s="1" t="str">
        <f t="shared" si="62"/>
        <v>https://m566.info/gc4wqk9</v>
      </c>
      <c r="C321" s="1" t="str">
        <f>HYPERLINK("https://m566.info/gc4wqk9","Border Clollie")</f>
        <v>Border Clollie</v>
      </c>
    </row>
    <row r="322">
      <c r="A322" s="1" t="str">
        <f t="shared" si="65"/>
        <v>Dog Behaviour Training</v>
      </c>
      <c r="B322" s="1" t="str">
        <f t="shared" si="62"/>
        <v>https://m566.info/gc4wqk9</v>
      </c>
      <c r="C322" s="1" t="str">
        <f>HYPERLINK("https://m566.info/gc4wqk9","Rotwieller")</f>
        <v>Rotwieller</v>
      </c>
    </row>
    <row r="323">
      <c r="A323" s="1" t="str">
        <f t="shared" si="65"/>
        <v>Dog Behaviour Training</v>
      </c>
      <c r="B323" s="1" t="str">
        <f t="shared" si="62"/>
        <v>https://m566.info/gc4wqk9</v>
      </c>
      <c r="C323" s="1" t="str">
        <f>HYPERLINK("https://m566.info/gc4wqk9","Cross Bred")</f>
        <v>Cross Bred</v>
      </c>
    </row>
    <row r="324">
      <c r="A324" s="1" t="str">
        <f t="shared" si="65"/>
        <v>Dog Behaviour Training</v>
      </c>
      <c r="B324" s="1" t="str">
        <f t="shared" si="62"/>
        <v>https://m566.info/gc4wqk9</v>
      </c>
      <c r="C324" s="1" t="str">
        <f>HYPERLINK("https://m566.info/gc4wqk9","Rotweiller")</f>
        <v>Rotweiller</v>
      </c>
    </row>
    <row r="325">
      <c r="A325" s="1" t="str">
        <f t="shared" ref="A325:A330" si="66">HYPERLINK("https://m566.info/gc4wqk9","Dog : Elite Training")</f>
        <v>Dog : Elite Training</v>
      </c>
      <c r="B325" s="1" t="str">
        <f t="shared" si="62"/>
        <v>https://m566.info/gc4wqk9</v>
      </c>
      <c r="C325" s="1" t="str">
        <f>HYPERLINK("https://m566.info/gc4wqk9","Doberman")</f>
        <v>Doberman</v>
      </c>
    </row>
    <row r="326">
      <c r="A326" s="1" t="str">
        <f t="shared" si="66"/>
        <v>Dog : Elite Training</v>
      </c>
      <c r="B326" s="1" t="str">
        <f t="shared" si="62"/>
        <v>https://m566.info/gc4wqk9</v>
      </c>
      <c r="C326" s="1" t="str">
        <f>HYPERLINK("https://m566.info/gc4wqk9","German Shepherd")</f>
        <v>German Shepherd</v>
      </c>
    </row>
    <row r="327">
      <c r="A327" s="1" t="str">
        <f t="shared" si="66"/>
        <v>Dog : Elite Training</v>
      </c>
      <c r="B327" s="1" t="str">
        <f t="shared" si="62"/>
        <v>https://m566.info/gc4wqk9</v>
      </c>
      <c r="C327" s="1" t="str">
        <f>HYPERLINK("https://m566.info/gc4wqk9","Border Clollie")</f>
        <v>Border Clollie</v>
      </c>
    </row>
    <row r="328">
      <c r="A328" s="1" t="str">
        <f t="shared" si="66"/>
        <v>Dog : Elite Training</v>
      </c>
      <c r="B328" s="1" t="str">
        <f t="shared" si="62"/>
        <v>https://m566.info/gc4wqk9</v>
      </c>
      <c r="C328" s="1" t="str">
        <f>HYPERLINK("https://m566.info/gc4wqk9","Rotwieller")</f>
        <v>Rotwieller</v>
      </c>
    </row>
    <row r="329">
      <c r="A329" s="1" t="str">
        <f t="shared" si="66"/>
        <v>Dog : Elite Training</v>
      </c>
      <c r="B329" s="1" t="str">
        <f t="shared" si="62"/>
        <v>https://m566.info/gc4wqk9</v>
      </c>
      <c r="C329" s="1" t="str">
        <f>HYPERLINK("https://m566.info/gc4wqk9","Cross Bred")</f>
        <v>Cross Bred</v>
      </c>
    </row>
    <row r="330">
      <c r="A330" s="1" t="str">
        <f t="shared" si="66"/>
        <v>Dog : Elite Training</v>
      </c>
      <c r="B330" s="1" t="str">
        <f t="shared" si="62"/>
        <v>https://m566.info/gc4wqk9</v>
      </c>
      <c r="C330" s="1" t="str">
        <f>HYPERLINK("https://m566.info/gc4wqk9","Rotweiller")</f>
        <v>Rotweiller</v>
      </c>
    </row>
    <row r="331">
      <c r="A331" s="1" t="str">
        <f t="shared" ref="A331:A336" si="67">HYPERLINK("https://m566.info/k50s60a","Dog Aggression Training")</f>
        <v>Dog Aggression Training</v>
      </c>
      <c r="B331" s="1" t="str">
        <f t="shared" ref="B331:B360" si="68">HYPERLINK("https://m566.info/k50s60a","https://m566.info/k50s60a")</f>
        <v>https://m566.info/k50s60a</v>
      </c>
      <c r="C331" s="1" t="str">
        <f>HYPERLINK("https://m566.info/k50s60a","Doberman")</f>
        <v>Doberman</v>
      </c>
    </row>
    <row r="332">
      <c r="A332" s="1" t="str">
        <f t="shared" si="67"/>
        <v>Dog Aggression Training</v>
      </c>
      <c r="B332" s="1" t="str">
        <f t="shared" si="68"/>
        <v>https://m566.info/k50s60a</v>
      </c>
      <c r="C332" s="1" t="str">
        <f>HYPERLINK("https://m566.info/k50s60a","German Shepherd")</f>
        <v>German Shepherd</v>
      </c>
    </row>
    <row r="333">
      <c r="A333" s="1" t="str">
        <f t="shared" si="67"/>
        <v>Dog Aggression Training</v>
      </c>
      <c r="B333" s="1" t="str">
        <f t="shared" si="68"/>
        <v>https://m566.info/k50s60a</v>
      </c>
      <c r="C333" s="1" t="str">
        <f>HYPERLINK("https://m566.info/k50s60a","Border Clollie")</f>
        <v>Border Clollie</v>
      </c>
    </row>
    <row r="334">
      <c r="A334" s="1" t="str">
        <f t="shared" si="67"/>
        <v>Dog Aggression Training</v>
      </c>
      <c r="B334" s="1" t="str">
        <f t="shared" si="68"/>
        <v>https://m566.info/k50s60a</v>
      </c>
      <c r="C334" s="1" t="str">
        <f>HYPERLINK("https://m566.info/k50s60a","Rotwieller")</f>
        <v>Rotwieller</v>
      </c>
    </row>
    <row r="335">
      <c r="A335" s="1" t="str">
        <f t="shared" si="67"/>
        <v>Dog Aggression Training</v>
      </c>
      <c r="B335" s="1" t="str">
        <f t="shared" si="68"/>
        <v>https://m566.info/k50s60a</v>
      </c>
      <c r="C335" s="1" t="str">
        <f>HYPERLINK("https://m566.info/k50s60a","Cross Bred")</f>
        <v>Cross Bred</v>
      </c>
    </row>
    <row r="336">
      <c r="A336" s="1" t="str">
        <f t="shared" si="67"/>
        <v>Dog Aggression Training</v>
      </c>
      <c r="B336" s="1" t="str">
        <f t="shared" si="68"/>
        <v>https://m566.info/k50s60a</v>
      </c>
      <c r="C336" s="1" t="str">
        <f>HYPERLINK("https://m566.info/k50s60a","Rotweiller")</f>
        <v>Rotweiller</v>
      </c>
    </row>
    <row r="337">
      <c r="A337" s="1" t="str">
        <f t="shared" ref="A337:A342" si="69">HYPERLINK("https://m566.info/k50s60a","Dog Obedience Training")</f>
        <v>Dog Obedience Training</v>
      </c>
      <c r="B337" s="1" t="str">
        <f t="shared" si="68"/>
        <v>https://m566.info/k50s60a</v>
      </c>
      <c r="C337" s="1" t="str">
        <f>HYPERLINK("https://m566.info/k50s60a","Doberman")</f>
        <v>Doberman</v>
      </c>
    </row>
    <row r="338">
      <c r="A338" s="1" t="str">
        <f t="shared" si="69"/>
        <v>Dog Obedience Training</v>
      </c>
      <c r="B338" s="1" t="str">
        <f t="shared" si="68"/>
        <v>https://m566.info/k50s60a</v>
      </c>
      <c r="C338" s="1" t="str">
        <f>HYPERLINK("https://m566.info/k50s60a","German Shepherd")</f>
        <v>German Shepherd</v>
      </c>
    </row>
    <row r="339">
      <c r="A339" s="1" t="str">
        <f t="shared" si="69"/>
        <v>Dog Obedience Training</v>
      </c>
      <c r="B339" s="1" t="str">
        <f t="shared" si="68"/>
        <v>https://m566.info/k50s60a</v>
      </c>
      <c r="C339" s="1" t="str">
        <f>HYPERLINK("https://m566.info/k50s60a","Border Clollie")</f>
        <v>Border Clollie</v>
      </c>
    </row>
    <row r="340">
      <c r="A340" s="1" t="str">
        <f t="shared" si="69"/>
        <v>Dog Obedience Training</v>
      </c>
      <c r="B340" s="1" t="str">
        <f t="shared" si="68"/>
        <v>https://m566.info/k50s60a</v>
      </c>
      <c r="C340" s="1" t="str">
        <f>HYPERLINK("https://m566.info/k50s60a","Rotwieller")</f>
        <v>Rotwieller</v>
      </c>
    </row>
    <row r="341">
      <c r="A341" s="1" t="str">
        <f t="shared" si="69"/>
        <v>Dog Obedience Training</v>
      </c>
      <c r="B341" s="1" t="str">
        <f t="shared" si="68"/>
        <v>https://m566.info/k50s60a</v>
      </c>
      <c r="C341" s="1" t="str">
        <f>HYPERLINK("https://m566.info/k50s60a","Cross Bred")</f>
        <v>Cross Bred</v>
      </c>
    </row>
    <row r="342">
      <c r="A342" s="1" t="str">
        <f t="shared" si="69"/>
        <v>Dog Obedience Training</v>
      </c>
      <c r="B342" s="1" t="str">
        <f t="shared" si="68"/>
        <v>https://m566.info/k50s60a</v>
      </c>
      <c r="C342" s="1" t="str">
        <f>HYPERLINK("https://m566.info/k50s60a","Rotweiller")</f>
        <v>Rotweiller</v>
      </c>
    </row>
    <row r="343">
      <c r="A343" s="1" t="str">
        <f t="shared" ref="A343:A348" si="70">HYPERLINK("https://m566.info/k50s60a","Dog House Training")</f>
        <v>Dog House Training</v>
      </c>
      <c r="B343" s="1" t="str">
        <f t="shared" si="68"/>
        <v>https://m566.info/k50s60a</v>
      </c>
      <c r="C343" s="1" t="str">
        <f>HYPERLINK("https://m566.info/k50s60a","Doberman")</f>
        <v>Doberman</v>
      </c>
    </row>
    <row r="344">
      <c r="A344" s="1" t="str">
        <f t="shared" si="70"/>
        <v>Dog House Training</v>
      </c>
      <c r="B344" s="1" t="str">
        <f t="shared" si="68"/>
        <v>https://m566.info/k50s60a</v>
      </c>
      <c r="C344" s="1" t="str">
        <f>HYPERLINK("https://m566.info/k50s60a","German Shepherd")</f>
        <v>German Shepherd</v>
      </c>
    </row>
    <row r="345">
      <c r="A345" s="1" t="str">
        <f t="shared" si="70"/>
        <v>Dog House Training</v>
      </c>
      <c r="B345" s="1" t="str">
        <f t="shared" si="68"/>
        <v>https://m566.info/k50s60a</v>
      </c>
      <c r="C345" s="1" t="str">
        <f>HYPERLINK("https://m566.info/k50s60a","Border Clollie")</f>
        <v>Border Clollie</v>
      </c>
    </row>
    <row r="346">
      <c r="A346" s="1" t="str">
        <f t="shared" si="70"/>
        <v>Dog House Training</v>
      </c>
      <c r="B346" s="1" t="str">
        <f t="shared" si="68"/>
        <v>https://m566.info/k50s60a</v>
      </c>
      <c r="C346" s="1" t="str">
        <f>HYPERLINK("https://m566.info/k50s60a","Rotwieller")</f>
        <v>Rotwieller</v>
      </c>
    </row>
    <row r="347">
      <c r="A347" s="1" t="str">
        <f t="shared" si="70"/>
        <v>Dog House Training</v>
      </c>
      <c r="B347" s="1" t="str">
        <f t="shared" si="68"/>
        <v>https://m566.info/k50s60a</v>
      </c>
      <c r="C347" s="1" t="str">
        <f>HYPERLINK("https://m566.info/k50s60a","Cross Bred")</f>
        <v>Cross Bred</v>
      </c>
    </row>
    <row r="348">
      <c r="A348" s="1" t="str">
        <f t="shared" si="70"/>
        <v>Dog House Training</v>
      </c>
      <c r="B348" s="1" t="str">
        <f t="shared" si="68"/>
        <v>https://m566.info/k50s60a</v>
      </c>
      <c r="C348" s="1" t="str">
        <f>HYPERLINK("https://m566.info/k50s60a","Rotweiller")</f>
        <v>Rotweiller</v>
      </c>
    </row>
    <row r="349">
      <c r="A349" s="1" t="str">
        <f t="shared" ref="A349:A354" si="71">HYPERLINK("https://m566.info/k50s60a","Dog Behaviour Training")</f>
        <v>Dog Behaviour Training</v>
      </c>
      <c r="B349" s="1" t="str">
        <f t="shared" si="68"/>
        <v>https://m566.info/k50s60a</v>
      </c>
      <c r="C349" s="1" t="str">
        <f>HYPERLINK("https://m566.info/k50s60a","Doberman")</f>
        <v>Doberman</v>
      </c>
    </row>
    <row r="350">
      <c r="A350" s="1" t="str">
        <f t="shared" si="71"/>
        <v>Dog Behaviour Training</v>
      </c>
      <c r="B350" s="1" t="str">
        <f t="shared" si="68"/>
        <v>https://m566.info/k50s60a</v>
      </c>
      <c r="C350" s="1" t="str">
        <f>HYPERLINK("https://m566.info/k50s60a","German Shepherd")</f>
        <v>German Shepherd</v>
      </c>
    </row>
    <row r="351">
      <c r="A351" s="1" t="str">
        <f t="shared" si="71"/>
        <v>Dog Behaviour Training</v>
      </c>
      <c r="B351" s="1" t="str">
        <f t="shared" si="68"/>
        <v>https://m566.info/k50s60a</v>
      </c>
      <c r="C351" s="1" t="str">
        <f>HYPERLINK("https://m566.info/k50s60a","Border Clollie")</f>
        <v>Border Clollie</v>
      </c>
    </row>
    <row r="352">
      <c r="A352" s="1" t="str">
        <f t="shared" si="71"/>
        <v>Dog Behaviour Training</v>
      </c>
      <c r="B352" s="1" t="str">
        <f t="shared" si="68"/>
        <v>https://m566.info/k50s60a</v>
      </c>
      <c r="C352" s="1" t="str">
        <f>HYPERLINK("https://m566.info/k50s60a","Rotwieller")</f>
        <v>Rotwieller</v>
      </c>
    </row>
    <row r="353">
      <c r="A353" s="1" t="str">
        <f t="shared" si="71"/>
        <v>Dog Behaviour Training</v>
      </c>
      <c r="B353" s="1" t="str">
        <f t="shared" si="68"/>
        <v>https://m566.info/k50s60a</v>
      </c>
      <c r="C353" s="1" t="str">
        <f>HYPERLINK("https://m566.info/k50s60a","Cross Bred")</f>
        <v>Cross Bred</v>
      </c>
    </row>
    <row r="354">
      <c r="A354" s="1" t="str">
        <f t="shared" si="71"/>
        <v>Dog Behaviour Training</v>
      </c>
      <c r="B354" s="1" t="str">
        <f t="shared" si="68"/>
        <v>https://m566.info/k50s60a</v>
      </c>
      <c r="C354" s="1" t="str">
        <f>HYPERLINK("https://m566.info/k50s60a","Rotweiller")</f>
        <v>Rotweiller</v>
      </c>
    </row>
    <row r="355">
      <c r="A355" s="1" t="str">
        <f t="shared" ref="A355:A360" si="72">HYPERLINK("https://m566.info/k50s60a","Dog : Elite Training")</f>
        <v>Dog : Elite Training</v>
      </c>
      <c r="B355" s="1" t="str">
        <f t="shared" si="68"/>
        <v>https://m566.info/k50s60a</v>
      </c>
      <c r="C355" s="1" t="str">
        <f>HYPERLINK("https://m566.info/k50s60a","Doberman")</f>
        <v>Doberman</v>
      </c>
    </row>
    <row r="356">
      <c r="A356" s="1" t="str">
        <f t="shared" si="72"/>
        <v>Dog : Elite Training</v>
      </c>
      <c r="B356" s="1" t="str">
        <f t="shared" si="68"/>
        <v>https://m566.info/k50s60a</v>
      </c>
      <c r="C356" s="1" t="str">
        <f>HYPERLINK("https://m566.info/k50s60a","German Shepherd")</f>
        <v>German Shepherd</v>
      </c>
    </row>
    <row r="357">
      <c r="A357" s="1" t="str">
        <f t="shared" si="72"/>
        <v>Dog : Elite Training</v>
      </c>
      <c r="B357" s="1" t="str">
        <f t="shared" si="68"/>
        <v>https://m566.info/k50s60a</v>
      </c>
      <c r="C357" s="1" t="str">
        <f>HYPERLINK("https://m566.info/k50s60a","Border Clollie")</f>
        <v>Border Clollie</v>
      </c>
    </row>
    <row r="358">
      <c r="A358" s="1" t="str">
        <f t="shared" si="72"/>
        <v>Dog : Elite Training</v>
      </c>
      <c r="B358" s="1" t="str">
        <f t="shared" si="68"/>
        <v>https://m566.info/k50s60a</v>
      </c>
      <c r="C358" s="1" t="str">
        <f>HYPERLINK("https://m566.info/k50s60a","Rotwieller")</f>
        <v>Rotwieller</v>
      </c>
    </row>
    <row r="359">
      <c r="A359" s="1" t="str">
        <f t="shared" si="72"/>
        <v>Dog : Elite Training</v>
      </c>
      <c r="B359" s="1" t="str">
        <f t="shared" si="68"/>
        <v>https://m566.info/k50s60a</v>
      </c>
      <c r="C359" s="1" t="str">
        <f>HYPERLINK("https://m566.info/k50s60a","Cross Bred")</f>
        <v>Cross Bred</v>
      </c>
    </row>
    <row r="360">
      <c r="A360" s="1" t="str">
        <f t="shared" si="72"/>
        <v>Dog : Elite Training</v>
      </c>
      <c r="B360" s="1" t="str">
        <f t="shared" si="68"/>
        <v>https://m566.info/k50s60a</v>
      </c>
      <c r="C360" s="1" t="str">
        <f>HYPERLINK("https://m566.info/k50s60a","Rotweiller")</f>
        <v>Rotweiller</v>
      </c>
    </row>
    <row r="361">
      <c r="A361" s="1" t="str">
        <f t="shared" ref="A361:A366" si="73">HYPERLINK("https://m566.info/52syy9z","Dog Aggression Training")</f>
        <v>Dog Aggression Training</v>
      </c>
      <c r="B361" s="1" t="str">
        <f t="shared" ref="B361:B390" si="74">HYPERLINK("https://m566.info/52syy9z","https://m566.info/52syy9z")</f>
        <v>https://m566.info/52syy9z</v>
      </c>
      <c r="C361" s="1" t="str">
        <f>HYPERLINK("https://m566.info/52syy9z","Doberman")</f>
        <v>Doberman</v>
      </c>
    </row>
    <row r="362">
      <c r="A362" s="1" t="str">
        <f t="shared" si="73"/>
        <v>Dog Aggression Training</v>
      </c>
      <c r="B362" s="1" t="str">
        <f t="shared" si="74"/>
        <v>https://m566.info/52syy9z</v>
      </c>
      <c r="C362" s="1" t="str">
        <f>HYPERLINK("https://m566.info/52syy9z","German Shepherd")</f>
        <v>German Shepherd</v>
      </c>
    </row>
    <row r="363">
      <c r="A363" s="1" t="str">
        <f t="shared" si="73"/>
        <v>Dog Aggression Training</v>
      </c>
      <c r="B363" s="1" t="str">
        <f t="shared" si="74"/>
        <v>https://m566.info/52syy9z</v>
      </c>
      <c r="C363" s="1" t="str">
        <f>HYPERLINK("https://m566.info/52syy9z","Border Clollie")</f>
        <v>Border Clollie</v>
      </c>
    </row>
    <row r="364">
      <c r="A364" s="1" t="str">
        <f t="shared" si="73"/>
        <v>Dog Aggression Training</v>
      </c>
      <c r="B364" s="1" t="str">
        <f t="shared" si="74"/>
        <v>https://m566.info/52syy9z</v>
      </c>
      <c r="C364" s="1" t="str">
        <f>HYPERLINK("https://m566.info/52syy9z","Rotwieller")</f>
        <v>Rotwieller</v>
      </c>
    </row>
    <row r="365">
      <c r="A365" s="1" t="str">
        <f t="shared" si="73"/>
        <v>Dog Aggression Training</v>
      </c>
      <c r="B365" s="1" t="str">
        <f t="shared" si="74"/>
        <v>https://m566.info/52syy9z</v>
      </c>
      <c r="C365" s="1" t="str">
        <f>HYPERLINK("https://m566.info/52syy9z","Cross Bred")</f>
        <v>Cross Bred</v>
      </c>
    </row>
    <row r="366">
      <c r="A366" s="1" t="str">
        <f t="shared" si="73"/>
        <v>Dog Aggression Training</v>
      </c>
      <c r="B366" s="1" t="str">
        <f t="shared" si="74"/>
        <v>https://m566.info/52syy9z</v>
      </c>
      <c r="C366" s="1" t="str">
        <f>HYPERLINK("https://m566.info/52syy9z","Rotweiller")</f>
        <v>Rotweiller</v>
      </c>
    </row>
    <row r="367">
      <c r="A367" s="1" t="str">
        <f t="shared" ref="A367:A372" si="75">HYPERLINK("https://m566.info/52syy9z","Dog Obedience Training")</f>
        <v>Dog Obedience Training</v>
      </c>
      <c r="B367" s="1" t="str">
        <f t="shared" si="74"/>
        <v>https://m566.info/52syy9z</v>
      </c>
      <c r="C367" s="1" t="str">
        <f>HYPERLINK("https://m566.info/52syy9z","Doberman")</f>
        <v>Doberman</v>
      </c>
    </row>
    <row r="368">
      <c r="A368" s="1" t="str">
        <f t="shared" si="75"/>
        <v>Dog Obedience Training</v>
      </c>
      <c r="B368" s="1" t="str">
        <f t="shared" si="74"/>
        <v>https://m566.info/52syy9z</v>
      </c>
      <c r="C368" s="1" t="str">
        <f>HYPERLINK("https://m566.info/52syy9z","German Shepherd")</f>
        <v>German Shepherd</v>
      </c>
    </row>
    <row r="369">
      <c r="A369" s="1" t="str">
        <f t="shared" si="75"/>
        <v>Dog Obedience Training</v>
      </c>
      <c r="B369" s="1" t="str">
        <f t="shared" si="74"/>
        <v>https://m566.info/52syy9z</v>
      </c>
      <c r="C369" s="1" t="str">
        <f>HYPERLINK("https://m566.info/52syy9z","Border Clollie")</f>
        <v>Border Clollie</v>
      </c>
    </row>
    <row r="370">
      <c r="A370" s="1" t="str">
        <f t="shared" si="75"/>
        <v>Dog Obedience Training</v>
      </c>
      <c r="B370" s="1" t="str">
        <f t="shared" si="74"/>
        <v>https://m566.info/52syy9z</v>
      </c>
      <c r="C370" s="1" t="str">
        <f>HYPERLINK("https://m566.info/52syy9z","Rotwieller")</f>
        <v>Rotwieller</v>
      </c>
    </row>
    <row r="371">
      <c r="A371" s="1" t="str">
        <f t="shared" si="75"/>
        <v>Dog Obedience Training</v>
      </c>
      <c r="B371" s="1" t="str">
        <f t="shared" si="74"/>
        <v>https://m566.info/52syy9z</v>
      </c>
      <c r="C371" s="1" t="str">
        <f>HYPERLINK("https://m566.info/52syy9z","Cross Bred")</f>
        <v>Cross Bred</v>
      </c>
    </row>
    <row r="372">
      <c r="A372" s="1" t="str">
        <f t="shared" si="75"/>
        <v>Dog Obedience Training</v>
      </c>
      <c r="B372" s="1" t="str">
        <f t="shared" si="74"/>
        <v>https://m566.info/52syy9z</v>
      </c>
      <c r="C372" s="1" t="str">
        <f>HYPERLINK("https://m566.info/52syy9z","Rotweiller")</f>
        <v>Rotweiller</v>
      </c>
    </row>
    <row r="373">
      <c r="A373" s="1" t="str">
        <f t="shared" ref="A373:A378" si="76">HYPERLINK("https://m566.info/52syy9z","Dog House Training")</f>
        <v>Dog House Training</v>
      </c>
      <c r="B373" s="1" t="str">
        <f t="shared" si="74"/>
        <v>https://m566.info/52syy9z</v>
      </c>
      <c r="C373" s="1" t="str">
        <f>HYPERLINK("https://m566.info/52syy9z","Doberman")</f>
        <v>Doberman</v>
      </c>
    </row>
    <row r="374">
      <c r="A374" s="1" t="str">
        <f t="shared" si="76"/>
        <v>Dog House Training</v>
      </c>
      <c r="B374" s="1" t="str">
        <f t="shared" si="74"/>
        <v>https://m566.info/52syy9z</v>
      </c>
      <c r="C374" s="1" t="str">
        <f>HYPERLINK("https://m566.info/52syy9z","German Shepherd")</f>
        <v>German Shepherd</v>
      </c>
    </row>
    <row r="375">
      <c r="A375" s="1" t="str">
        <f t="shared" si="76"/>
        <v>Dog House Training</v>
      </c>
      <c r="B375" s="1" t="str">
        <f t="shared" si="74"/>
        <v>https://m566.info/52syy9z</v>
      </c>
      <c r="C375" s="1" t="str">
        <f>HYPERLINK("https://m566.info/52syy9z","Border Clollie")</f>
        <v>Border Clollie</v>
      </c>
    </row>
    <row r="376">
      <c r="A376" s="1" t="str">
        <f t="shared" si="76"/>
        <v>Dog House Training</v>
      </c>
      <c r="B376" s="1" t="str">
        <f t="shared" si="74"/>
        <v>https://m566.info/52syy9z</v>
      </c>
      <c r="C376" s="1" t="str">
        <f>HYPERLINK("https://m566.info/52syy9z","Rotwieller")</f>
        <v>Rotwieller</v>
      </c>
    </row>
    <row r="377">
      <c r="A377" s="1" t="str">
        <f t="shared" si="76"/>
        <v>Dog House Training</v>
      </c>
      <c r="B377" s="1" t="str">
        <f t="shared" si="74"/>
        <v>https://m566.info/52syy9z</v>
      </c>
      <c r="C377" s="1" t="str">
        <f>HYPERLINK("https://m566.info/52syy9z","Cross Bred")</f>
        <v>Cross Bred</v>
      </c>
    </row>
    <row r="378">
      <c r="A378" s="1" t="str">
        <f t="shared" si="76"/>
        <v>Dog House Training</v>
      </c>
      <c r="B378" s="1" t="str">
        <f t="shared" si="74"/>
        <v>https://m566.info/52syy9z</v>
      </c>
      <c r="C378" s="1" t="str">
        <f>HYPERLINK("https://m566.info/52syy9z","Rotweiller")</f>
        <v>Rotweiller</v>
      </c>
    </row>
    <row r="379">
      <c r="A379" s="1" t="str">
        <f t="shared" ref="A379:A384" si="77">HYPERLINK("https://m566.info/52syy9z","Dog Behaviour Training")</f>
        <v>Dog Behaviour Training</v>
      </c>
      <c r="B379" s="1" t="str">
        <f t="shared" si="74"/>
        <v>https://m566.info/52syy9z</v>
      </c>
      <c r="C379" s="1" t="str">
        <f>HYPERLINK("https://m566.info/52syy9z","Doberman")</f>
        <v>Doberman</v>
      </c>
    </row>
    <row r="380">
      <c r="A380" s="1" t="str">
        <f t="shared" si="77"/>
        <v>Dog Behaviour Training</v>
      </c>
      <c r="B380" s="1" t="str">
        <f t="shared" si="74"/>
        <v>https://m566.info/52syy9z</v>
      </c>
      <c r="C380" s="1" t="str">
        <f>HYPERLINK("https://m566.info/52syy9z","German Shepherd")</f>
        <v>German Shepherd</v>
      </c>
    </row>
    <row r="381">
      <c r="A381" s="1" t="str">
        <f t="shared" si="77"/>
        <v>Dog Behaviour Training</v>
      </c>
      <c r="B381" s="1" t="str">
        <f t="shared" si="74"/>
        <v>https://m566.info/52syy9z</v>
      </c>
      <c r="C381" s="1" t="str">
        <f>HYPERLINK("https://m566.info/52syy9z","Border Clollie")</f>
        <v>Border Clollie</v>
      </c>
    </row>
    <row r="382">
      <c r="A382" s="1" t="str">
        <f t="shared" si="77"/>
        <v>Dog Behaviour Training</v>
      </c>
      <c r="B382" s="1" t="str">
        <f t="shared" si="74"/>
        <v>https://m566.info/52syy9z</v>
      </c>
      <c r="C382" s="1" t="str">
        <f>HYPERLINK("https://m566.info/52syy9z","Rotwieller")</f>
        <v>Rotwieller</v>
      </c>
    </row>
    <row r="383">
      <c r="A383" s="1" t="str">
        <f t="shared" si="77"/>
        <v>Dog Behaviour Training</v>
      </c>
      <c r="B383" s="1" t="str">
        <f t="shared" si="74"/>
        <v>https://m566.info/52syy9z</v>
      </c>
      <c r="C383" s="1" t="str">
        <f>HYPERLINK("https://m566.info/52syy9z","Cross Bred")</f>
        <v>Cross Bred</v>
      </c>
    </row>
    <row r="384">
      <c r="A384" s="1" t="str">
        <f t="shared" si="77"/>
        <v>Dog Behaviour Training</v>
      </c>
      <c r="B384" s="1" t="str">
        <f t="shared" si="74"/>
        <v>https://m566.info/52syy9z</v>
      </c>
      <c r="C384" s="1" t="str">
        <f>HYPERLINK("https://m566.info/52syy9z","Rotweiller")</f>
        <v>Rotweiller</v>
      </c>
    </row>
    <row r="385">
      <c r="A385" s="1" t="str">
        <f t="shared" ref="A385:A390" si="78">HYPERLINK("https://m566.info/52syy9z","Dog : Elite Training")</f>
        <v>Dog : Elite Training</v>
      </c>
      <c r="B385" s="1" t="str">
        <f t="shared" si="74"/>
        <v>https://m566.info/52syy9z</v>
      </c>
      <c r="C385" s="1" t="str">
        <f>HYPERLINK("https://m566.info/52syy9z","Doberman")</f>
        <v>Doberman</v>
      </c>
    </row>
    <row r="386">
      <c r="A386" s="1" t="str">
        <f t="shared" si="78"/>
        <v>Dog : Elite Training</v>
      </c>
      <c r="B386" s="1" t="str">
        <f t="shared" si="74"/>
        <v>https://m566.info/52syy9z</v>
      </c>
      <c r="C386" s="1" t="str">
        <f>HYPERLINK("https://m566.info/52syy9z","German Shepherd")</f>
        <v>German Shepherd</v>
      </c>
    </row>
    <row r="387">
      <c r="A387" s="1" t="str">
        <f t="shared" si="78"/>
        <v>Dog : Elite Training</v>
      </c>
      <c r="B387" s="1" t="str">
        <f t="shared" si="74"/>
        <v>https://m566.info/52syy9z</v>
      </c>
      <c r="C387" s="1" t="str">
        <f>HYPERLINK("https://m566.info/52syy9z","Border Clollie")</f>
        <v>Border Clollie</v>
      </c>
    </row>
    <row r="388">
      <c r="A388" s="1" t="str">
        <f t="shared" si="78"/>
        <v>Dog : Elite Training</v>
      </c>
      <c r="B388" s="1" t="str">
        <f t="shared" si="74"/>
        <v>https://m566.info/52syy9z</v>
      </c>
      <c r="C388" s="1" t="str">
        <f>HYPERLINK("https://m566.info/52syy9z","Rotwieller")</f>
        <v>Rotwieller</v>
      </c>
    </row>
    <row r="389">
      <c r="A389" s="1" t="str">
        <f t="shared" si="78"/>
        <v>Dog : Elite Training</v>
      </c>
      <c r="B389" s="1" t="str">
        <f t="shared" si="74"/>
        <v>https://m566.info/52syy9z</v>
      </c>
      <c r="C389" s="1" t="str">
        <f>HYPERLINK("https://m566.info/52syy9z","Cross Bred")</f>
        <v>Cross Bred</v>
      </c>
    </row>
    <row r="390">
      <c r="A390" s="1" t="str">
        <f t="shared" si="78"/>
        <v>Dog : Elite Training</v>
      </c>
      <c r="B390" s="1" t="str">
        <f t="shared" si="74"/>
        <v>https://m566.info/52syy9z</v>
      </c>
      <c r="C390" s="1" t="str">
        <f>HYPERLINK("https://m566.info/52syy9z","Rotweiller")</f>
        <v>Rotweiller</v>
      </c>
    </row>
    <row r="391">
      <c r="A391" s="1" t="str">
        <f t="shared" ref="A391:A396" si="79">HYPERLINK("https://m566.info/8cmw00m","Dog Aggression Training")</f>
        <v>Dog Aggression Training</v>
      </c>
      <c r="B391" s="1" t="str">
        <f t="shared" ref="B391:B420" si="80">HYPERLINK("https://m566.info/8cmw00m","https://m566.info/8cmw00m")</f>
        <v>https://m566.info/8cmw00m</v>
      </c>
      <c r="C391" s="1" t="str">
        <f>HYPERLINK("https://m566.info/8cmw00m","Doberman")</f>
        <v>Doberman</v>
      </c>
    </row>
    <row r="392">
      <c r="A392" s="1" t="str">
        <f t="shared" si="79"/>
        <v>Dog Aggression Training</v>
      </c>
      <c r="B392" s="1" t="str">
        <f t="shared" si="80"/>
        <v>https://m566.info/8cmw00m</v>
      </c>
      <c r="C392" s="1" t="str">
        <f>HYPERLINK("https://m566.info/8cmw00m","German Shepherd")</f>
        <v>German Shepherd</v>
      </c>
    </row>
    <row r="393">
      <c r="A393" s="1" t="str">
        <f t="shared" si="79"/>
        <v>Dog Aggression Training</v>
      </c>
      <c r="B393" s="1" t="str">
        <f t="shared" si="80"/>
        <v>https://m566.info/8cmw00m</v>
      </c>
      <c r="C393" s="1" t="str">
        <f>HYPERLINK("https://m566.info/8cmw00m","Border Clollie")</f>
        <v>Border Clollie</v>
      </c>
    </row>
    <row r="394">
      <c r="A394" s="1" t="str">
        <f t="shared" si="79"/>
        <v>Dog Aggression Training</v>
      </c>
      <c r="B394" s="1" t="str">
        <f t="shared" si="80"/>
        <v>https://m566.info/8cmw00m</v>
      </c>
      <c r="C394" s="1" t="str">
        <f>HYPERLINK("https://m566.info/8cmw00m","Rotwieller")</f>
        <v>Rotwieller</v>
      </c>
    </row>
    <row r="395">
      <c r="A395" s="1" t="str">
        <f t="shared" si="79"/>
        <v>Dog Aggression Training</v>
      </c>
      <c r="B395" s="1" t="str">
        <f t="shared" si="80"/>
        <v>https://m566.info/8cmw00m</v>
      </c>
      <c r="C395" s="1" t="str">
        <f>HYPERLINK("https://m566.info/8cmw00m","Cross Bred")</f>
        <v>Cross Bred</v>
      </c>
    </row>
    <row r="396">
      <c r="A396" s="1" t="str">
        <f t="shared" si="79"/>
        <v>Dog Aggression Training</v>
      </c>
      <c r="B396" s="1" t="str">
        <f t="shared" si="80"/>
        <v>https://m566.info/8cmw00m</v>
      </c>
      <c r="C396" s="1" t="str">
        <f>HYPERLINK("https://m566.info/8cmw00m","Rotweiller")</f>
        <v>Rotweiller</v>
      </c>
    </row>
    <row r="397">
      <c r="A397" s="1" t="str">
        <f t="shared" ref="A397:A402" si="81">HYPERLINK("https://m566.info/8cmw00m","Dog Obedience Training")</f>
        <v>Dog Obedience Training</v>
      </c>
      <c r="B397" s="1" t="str">
        <f t="shared" si="80"/>
        <v>https://m566.info/8cmw00m</v>
      </c>
      <c r="C397" s="1" t="str">
        <f>HYPERLINK("https://m566.info/8cmw00m","Doberman")</f>
        <v>Doberman</v>
      </c>
    </row>
    <row r="398">
      <c r="A398" s="1" t="str">
        <f t="shared" si="81"/>
        <v>Dog Obedience Training</v>
      </c>
      <c r="B398" s="1" t="str">
        <f t="shared" si="80"/>
        <v>https://m566.info/8cmw00m</v>
      </c>
      <c r="C398" s="1" t="str">
        <f>HYPERLINK("https://m566.info/8cmw00m","German Shepherd")</f>
        <v>German Shepherd</v>
      </c>
    </row>
    <row r="399">
      <c r="A399" s="1" t="str">
        <f t="shared" si="81"/>
        <v>Dog Obedience Training</v>
      </c>
      <c r="B399" s="1" t="str">
        <f t="shared" si="80"/>
        <v>https://m566.info/8cmw00m</v>
      </c>
      <c r="C399" s="1" t="str">
        <f>HYPERLINK("https://m566.info/8cmw00m","Border Clollie")</f>
        <v>Border Clollie</v>
      </c>
    </row>
    <row r="400">
      <c r="A400" s="1" t="str">
        <f t="shared" si="81"/>
        <v>Dog Obedience Training</v>
      </c>
      <c r="B400" s="1" t="str">
        <f t="shared" si="80"/>
        <v>https://m566.info/8cmw00m</v>
      </c>
      <c r="C400" s="1" t="str">
        <f>HYPERLINK("https://m566.info/8cmw00m","Rotwieller")</f>
        <v>Rotwieller</v>
      </c>
    </row>
    <row r="401">
      <c r="A401" s="1" t="str">
        <f t="shared" si="81"/>
        <v>Dog Obedience Training</v>
      </c>
      <c r="B401" s="1" t="str">
        <f t="shared" si="80"/>
        <v>https://m566.info/8cmw00m</v>
      </c>
      <c r="C401" s="1" t="str">
        <f>HYPERLINK("https://m566.info/8cmw00m","Cross Bred")</f>
        <v>Cross Bred</v>
      </c>
    </row>
    <row r="402">
      <c r="A402" s="1" t="str">
        <f t="shared" si="81"/>
        <v>Dog Obedience Training</v>
      </c>
      <c r="B402" s="1" t="str">
        <f t="shared" si="80"/>
        <v>https://m566.info/8cmw00m</v>
      </c>
      <c r="C402" s="1" t="str">
        <f>HYPERLINK("https://m566.info/8cmw00m","Rotweiller")</f>
        <v>Rotweiller</v>
      </c>
    </row>
    <row r="403">
      <c r="A403" s="1" t="str">
        <f t="shared" ref="A403:A408" si="82">HYPERLINK("https://m566.info/8cmw00m","Dog House Training")</f>
        <v>Dog House Training</v>
      </c>
      <c r="B403" s="1" t="str">
        <f t="shared" si="80"/>
        <v>https://m566.info/8cmw00m</v>
      </c>
      <c r="C403" s="1" t="str">
        <f>HYPERLINK("https://m566.info/8cmw00m","Doberman")</f>
        <v>Doberman</v>
      </c>
    </row>
    <row r="404">
      <c r="A404" s="1" t="str">
        <f t="shared" si="82"/>
        <v>Dog House Training</v>
      </c>
      <c r="B404" s="1" t="str">
        <f t="shared" si="80"/>
        <v>https://m566.info/8cmw00m</v>
      </c>
      <c r="C404" s="1" t="str">
        <f>HYPERLINK("https://m566.info/8cmw00m","German Shepherd")</f>
        <v>German Shepherd</v>
      </c>
    </row>
    <row r="405">
      <c r="A405" s="1" t="str">
        <f t="shared" si="82"/>
        <v>Dog House Training</v>
      </c>
      <c r="B405" s="1" t="str">
        <f t="shared" si="80"/>
        <v>https://m566.info/8cmw00m</v>
      </c>
      <c r="C405" s="1" t="str">
        <f>HYPERLINK("https://m566.info/8cmw00m","Border Clollie")</f>
        <v>Border Clollie</v>
      </c>
    </row>
    <row r="406">
      <c r="A406" s="1" t="str">
        <f t="shared" si="82"/>
        <v>Dog House Training</v>
      </c>
      <c r="B406" s="1" t="str">
        <f t="shared" si="80"/>
        <v>https://m566.info/8cmw00m</v>
      </c>
      <c r="C406" s="1" t="str">
        <f>HYPERLINK("https://m566.info/8cmw00m","Rotwieller")</f>
        <v>Rotwieller</v>
      </c>
    </row>
    <row r="407">
      <c r="A407" s="1" t="str">
        <f t="shared" si="82"/>
        <v>Dog House Training</v>
      </c>
      <c r="B407" s="1" t="str">
        <f t="shared" si="80"/>
        <v>https://m566.info/8cmw00m</v>
      </c>
      <c r="C407" s="1" t="str">
        <f>HYPERLINK("https://m566.info/8cmw00m","Cross Bred")</f>
        <v>Cross Bred</v>
      </c>
    </row>
    <row r="408">
      <c r="A408" s="1" t="str">
        <f t="shared" si="82"/>
        <v>Dog House Training</v>
      </c>
      <c r="B408" s="1" t="str">
        <f t="shared" si="80"/>
        <v>https://m566.info/8cmw00m</v>
      </c>
      <c r="C408" s="1" t="str">
        <f>HYPERLINK("https://m566.info/8cmw00m","Rotweiller")</f>
        <v>Rotweiller</v>
      </c>
    </row>
    <row r="409">
      <c r="A409" s="1" t="str">
        <f t="shared" ref="A409:A414" si="83">HYPERLINK("https://m566.info/8cmw00m","Dog Behaviour Training")</f>
        <v>Dog Behaviour Training</v>
      </c>
      <c r="B409" s="1" t="str">
        <f t="shared" si="80"/>
        <v>https://m566.info/8cmw00m</v>
      </c>
      <c r="C409" s="1" t="str">
        <f>HYPERLINK("https://m566.info/8cmw00m","Doberman")</f>
        <v>Doberman</v>
      </c>
    </row>
    <row r="410">
      <c r="A410" s="1" t="str">
        <f t="shared" si="83"/>
        <v>Dog Behaviour Training</v>
      </c>
      <c r="B410" s="1" t="str">
        <f t="shared" si="80"/>
        <v>https://m566.info/8cmw00m</v>
      </c>
      <c r="C410" s="1" t="str">
        <f>HYPERLINK("https://m566.info/8cmw00m","German Shepherd")</f>
        <v>German Shepherd</v>
      </c>
    </row>
    <row r="411">
      <c r="A411" s="1" t="str">
        <f t="shared" si="83"/>
        <v>Dog Behaviour Training</v>
      </c>
      <c r="B411" s="1" t="str">
        <f t="shared" si="80"/>
        <v>https://m566.info/8cmw00m</v>
      </c>
      <c r="C411" s="1" t="str">
        <f>HYPERLINK("https://m566.info/8cmw00m","Border Clollie")</f>
        <v>Border Clollie</v>
      </c>
    </row>
    <row r="412">
      <c r="A412" s="1" t="str">
        <f t="shared" si="83"/>
        <v>Dog Behaviour Training</v>
      </c>
      <c r="B412" s="1" t="str">
        <f t="shared" si="80"/>
        <v>https://m566.info/8cmw00m</v>
      </c>
      <c r="C412" s="1" t="str">
        <f>HYPERLINK("https://m566.info/8cmw00m","Rotwieller")</f>
        <v>Rotwieller</v>
      </c>
    </row>
    <row r="413">
      <c r="A413" s="1" t="str">
        <f t="shared" si="83"/>
        <v>Dog Behaviour Training</v>
      </c>
      <c r="B413" s="1" t="str">
        <f t="shared" si="80"/>
        <v>https://m566.info/8cmw00m</v>
      </c>
      <c r="C413" s="1" t="str">
        <f>HYPERLINK("https://m566.info/8cmw00m","Cross Bred")</f>
        <v>Cross Bred</v>
      </c>
    </row>
    <row r="414">
      <c r="A414" s="1" t="str">
        <f t="shared" si="83"/>
        <v>Dog Behaviour Training</v>
      </c>
      <c r="B414" s="1" t="str">
        <f t="shared" si="80"/>
        <v>https://m566.info/8cmw00m</v>
      </c>
      <c r="C414" s="1" t="str">
        <f>HYPERLINK("https://m566.info/8cmw00m","Rotweiller")</f>
        <v>Rotweiller</v>
      </c>
    </row>
    <row r="415">
      <c r="A415" s="1" t="str">
        <f t="shared" ref="A415:A420" si="84">HYPERLINK("https://m566.info/8cmw00m","Dog : Elite Training")</f>
        <v>Dog : Elite Training</v>
      </c>
      <c r="B415" s="1" t="str">
        <f t="shared" si="80"/>
        <v>https://m566.info/8cmw00m</v>
      </c>
      <c r="C415" s="1" t="str">
        <f>HYPERLINK("https://m566.info/8cmw00m","Doberman")</f>
        <v>Doberman</v>
      </c>
    </row>
    <row r="416">
      <c r="A416" s="1" t="str">
        <f t="shared" si="84"/>
        <v>Dog : Elite Training</v>
      </c>
      <c r="B416" s="1" t="str">
        <f t="shared" si="80"/>
        <v>https://m566.info/8cmw00m</v>
      </c>
      <c r="C416" s="1" t="str">
        <f>HYPERLINK("https://m566.info/8cmw00m","German Shepherd")</f>
        <v>German Shepherd</v>
      </c>
    </row>
    <row r="417">
      <c r="A417" s="1" t="str">
        <f t="shared" si="84"/>
        <v>Dog : Elite Training</v>
      </c>
      <c r="B417" s="1" t="str">
        <f t="shared" si="80"/>
        <v>https://m566.info/8cmw00m</v>
      </c>
      <c r="C417" s="1" t="str">
        <f>HYPERLINK("https://m566.info/8cmw00m","Border Clollie")</f>
        <v>Border Clollie</v>
      </c>
    </row>
    <row r="418">
      <c r="A418" s="1" t="str">
        <f t="shared" si="84"/>
        <v>Dog : Elite Training</v>
      </c>
      <c r="B418" s="1" t="str">
        <f t="shared" si="80"/>
        <v>https://m566.info/8cmw00m</v>
      </c>
      <c r="C418" s="1" t="str">
        <f>HYPERLINK("https://m566.info/8cmw00m","Rotwieller")</f>
        <v>Rotwieller</v>
      </c>
    </row>
    <row r="419">
      <c r="A419" s="1" t="str">
        <f t="shared" si="84"/>
        <v>Dog : Elite Training</v>
      </c>
      <c r="B419" s="1" t="str">
        <f t="shared" si="80"/>
        <v>https://m566.info/8cmw00m</v>
      </c>
      <c r="C419" s="1" t="str">
        <f>HYPERLINK("https://m566.info/8cmw00m","Cross Bred")</f>
        <v>Cross Bred</v>
      </c>
    </row>
    <row r="420">
      <c r="A420" s="1" t="str">
        <f t="shared" si="84"/>
        <v>Dog : Elite Training</v>
      </c>
      <c r="B420" s="1" t="str">
        <f t="shared" si="80"/>
        <v>https://m566.info/8cmw00m</v>
      </c>
      <c r="C420" s="1" t="str">
        <f>HYPERLINK("https://m566.info/8cmw00m","Rotweiller")</f>
        <v>Rotweiller</v>
      </c>
    </row>
    <row r="421">
      <c r="A421" s="1" t="str">
        <f t="shared" ref="A421:A426" si="85">HYPERLINK("https://m566.info/zuq3op6","Dog Aggression Training")</f>
        <v>Dog Aggression Training</v>
      </c>
      <c r="B421" s="1" t="str">
        <f t="shared" ref="B421:B450" si="86">HYPERLINK("https://m566.info/zuq3op6","https://m566.info/zuq3op6")</f>
        <v>https://m566.info/zuq3op6</v>
      </c>
      <c r="C421" s="1" t="str">
        <f>HYPERLINK("https://m566.info/zuq3op6","Doberman")</f>
        <v>Doberman</v>
      </c>
    </row>
    <row r="422">
      <c r="A422" s="1" t="str">
        <f t="shared" si="85"/>
        <v>Dog Aggression Training</v>
      </c>
      <c r="B422" s="1" t="str">
        <f t="shared" si="86"/>
        <v>https://m566.info/zuq3op6</v>
      </c>
      <c r="C422" s="1" t="str">
        <f>HYPERLINK("https://m566.info/zuq3op6","German Shepherd")</f>
        <v>German Shepherd</v>
      </c>
    </row>
    <row r="423">
      <c r="A423" s="1" t="str">
        <f t="shared" si="85"/>
        <v>Dog Aggression Training</v>
      </c>
      <c r="B423" s="1" t="str">
        <f t="shared" si="86"/>
        <v>https://m566.info/zuq3op6</v>
      </c>
      <c r="C423" s="1" t="str">
        <f>HYPERLINK("https://m566.info/zuq3op6","Border Clollie")</f>
        <v>Border Clollie</v>
      </c>
    </row>
    <row r="424">
      <c r="A424" s="1" t="str">
        <f t="shared" si="85"/>
        <v>Dog Aggression Training</v>
      </c>
      <c r="B424" s="1" t="str">
        <f t="shared" si="86"/>
        <v>https://m566.info/zuq3op6</v>
      </c>
      <c r="C424" s="1" t="str">
        <f>HYPERLINK("https://m566.info/zuq3op6","Rotwieller")</f>
        <v>Rotwieller</v>
      </c>
    </row>
    <row r="425">
      <c r="A425" s="1" t="str">
        <f t="shared" si="85"/>
        <v>Dog Aggression Training</v>
      </c>
      <c r="B425" s="1" t="str">
        <f t="shared" si="86"/>
        <v>https://m566.info/zuq3op6</v>
      </c>
      <c r="C425" s="1" t="str">
        <f>HYPERLINK("https://m566.info/zuq3op6","Cross Bred")</f>
        <v>Cross Bred</v>
      </c>
    </row>
    <row r="426">
      <c r="A426" s="1" t="str">
        <f t="shared" si="85"/>
        <v>Dog Aggression Training</v>
      </c>
      <c r="B426" s="1" t="str">
        <f t="shared" si="86"/>
        <v>https://m566.info/zuq3op6</v>
      </c>
      <c r="C426" s="1" t="str">
        <f>HYPERLINK("https://m566.info/zuq3op6","Rotweiller")</f>
        <v>Rotweiller</v>
      </c>
    </row>
    <row r="427">
      <c r="A427" s="1" t="str">
        <f t="shared" ref="A427:A432" si="87">HYPERLINK("https://m566.info/zuq3op6","Dog Obedience Training")</f>
        <v>Dog Obedience Training</v>
      </c>
      <c r="B427" s="1" t="str">
        <f t="shared" si="86"/>
        <v>https://m566.info/zuq3op6</v>
      </c>
      <c r="C427" s="1" t="str">
        <f>HYPERLINK("https://m566.info/zuq3op6","Doberman")</f>
        <v>Doberman</v>
      </c>
    </row>
    <row r="428">
      <c r="A428" s="1" t="str">
        <f t="shared" si="87"/>
        <v>Dog Obedience Training</v>
      </c>
      <c r="B428" s="1" t="str">
        <f t="shared" si="86"/>
        <v>https://m566.info/zuq3op6</v>
      </c>
      <c r="C428" s="1" t="str">
        <f>HYPERLINK("https://m566.info/zuq3op6","German Shepherd")</f>
        <v>German Shepherd</v>
      </c>
    </row>
    <row r="429">
      <c r="A429" s="1" t="str">
        <f t="shared" si="87"/>
        <v>Dog Obedience Training</v>
      </c>
      <c r="B429" s="1" t="str">
        <f t="shared" si="86"/>
        <v>https://m566.info/zuq3op6</v>
      </c>
      <c r="C429" s="1" t="str">
        <f>HYPERLINK("https://m566.info/zuq3op6","Border Clollie")</f>
        <v>Border Clollie</v>
      </c>
    </row>
    <row r="430">
      <c r="A430" s="1" t="str">
        <f t="shared" si="87"/>
        <v>Dog Obedience Training</v>
      </c>
      <c r="B430" s="1" t="str">
        <f t="shared" si="86"/>
        <v>https://m566.info/zuq3op6</v>
      </c>
      <c r="C430" s="1" t="str">
        <f>HYPERLINK("https://m566.info/zuq3op6","Rotwieller")</f>
        <v>Rotwieller</v>
      </c>
    </row>
    <row r="431">
      <c r="A431" s="1" t="str">
        <f t="shared" si="87"/>
        <v>Dog Obedience Training</v>
      </c>
      <c r="B431" s="1" t="str">
        <f t="shared" si="86"/>
        <v>https://m566.info/zuq3op6</v>
      </c>
      <c r="C431" s="1" t="str">
        <f>HYPERLINK("https://m566.info/zuq3op6","Cross Bred")</f>
        <v>Cross Bred</v>
      </c>
    </row>
    <row r="432">
      <c r="A432" s="1" t="str">
        <f t="shared" si="87"/>
        <v>Dog Obedience Training</v>
      </c>
      <c r="B432" s="1" t="str">
        <f t="shared" si="86"/>
        <v>https://m566.info/zuq3op6</v>
      </c>
      <c r="C432" s="1" t="str">
        <f>HYPERLINK("https://m566.info/zuq3op6","Rotweiller")</f>
        <v>Rotweiller</v>
      </c>
    </row>
    <row r="433">
      <c r="A433" s="1" t="str">
        <f t="shared" ref="A433:A438" si="88">HYPERLINK("https://m566.info/zuq3op6","Dog House Training")</f>
        <v>Dog House Training</v>
      </c>
      <c r="B433" s="1" t="str">
        <f t="shared" si="86"/>
        <v>https://m566.info/zuq3op6</v>
      </c>
      <c r="C433" s="1" t="str">
        <f>HYPERLINK("https://m566.info/zuq3op6","Doberman")</f>
        <v>Doberman</v>
      </c>
    </row>
    <row r="434">
      <c r="A434" s="1" t="str">
        <f t="shared" si="88"/>
        <v>Dog House Training</v>
      </c>
      <c r="B434" s="1" t="str">
        <f t="shared" si="86"/>
        <v>https://m566.info/zuq3op6</v>
      </c>
      <c r="C434" s="1" t="str">
        <f>HYPERLINK("https://m566.info/zuq3op6","German Shepherd")</f>
        <v>German Shepherd</v>
      </c>
    </row>
    <row r="435">
      <c r="A435" s="1" t="str">
        <f t="shared" si="88"/>
        <v>Dog House Training</v>
      </c>
      <c r="B435" s="1" t="str">
        <f t="shared" si="86"/>
        <v>https://m566.info/zuq3op6</v>
      </c>
      <c r="C435" s="1" t="str">
        <f>HYPERLINK("https://m566.info/zuq3op6","Border Clollie")</f>
        <v>Border Clollie</v>
      </c>
    </row>
    <row r="436">
      <c r="A436" s="1" t="str">
        <f t="shared" si="88"/>
        <v>Dog House Training</v>
      </c>
      <c r="B436" s="1" t="str">
        <f t="shared" si="86"/>
        <v>https://m566.info/zuq3op6</v>
      </c>
      <c r="C436" s="1" t="str">
        <f>HYPERLINK("https://m566.info/zuq3op6","Rotwieller")</f>
        <v>Rotwieller</v>
      </c>
    </row>
    <row r="437">
      <c r="A437" s="1" t="str">
        <f t="shared" si="88"/>
        <v>Dog House Training</v>
      </c>
      <c r="B437" s="1" t="str">
        <f t="shared" si="86"/>
        <v>https://m566.info/zuq3op6</v>
      </c>
      <c r="C437" s="1" t="str">
        <f>HYPERLINK("https://m566.info/zuq3op6","Cross Bred")</f>
        <v>Cross Bred</v>
      </c>
    </row>
    <row r="438">
      <c r="A438" s="1" t="str">
        <f t="shared" si="88"/>
        <v>Dog House Training</v>
      </c>
      <c r="B438" s="1" t="str">
        <f t="shared" si="86"/>
        <v>https://m566.info/zuq3op6</v>
      </c>
      <c r="C438" s="1" t="str">
        <f>HYPERLINK("https://m566.info/zuq3op6","Rotweiller")</f>
        <v>Rotweiller</v>
      </c>
    </row>
    <row r="439">
      <c r="A439" s="1" t="str">
        <f t="shared" ref="A439:A444" si="89">HYPERLINK("https://m566.info/zuq3op6","Dog Behaviour Training")</f>
        <v>Dog Behaviour Training</v>
      </c>
      <c r="B439" s="1" t="str">
        <f t="shared" si="86"/>
        <v>https://m566.info/zuq3op6</v>
      </c>
      <c r="C439" s="1" t="str">
        <f>HYPERLINK("https://m566.info/zuq3op6","Doberman")</f>
        <v>Doberman</v>
      </c>
    </row>
    <row r="440">
      <c r="A440" s="1" t="str">
        <f t="shared" si="89"/>
        <v>Dog Behaviour Training</v>
      </c>
      <c r="B440" s="1" t="str">
        <f t="shared" si="86"/>
        <v>https://m566.info/zuq3op6</v>
      </c>
      <c r="C440" s="1" t="str">
        <f>HYPERLINK("https://m566.info/zuq3op6","German Shepherd")</f>
        <v>German Shepherd</v>
      </c>
    </row>
    <row r="441">
      <c r="A441" s="1" t="str">
        <f t="shared" si="89"/>
        <v>Dog Behaviour Training</v>
      </c>
      <c r="B441" s="1" t="str">
        <f t="shared" si="86"/>
        <v>https://m566.info/zuq3op6</v>
      </c>
      <c r="C441" s="1" t="str">
        <f>HYPERLINK("https://m566.info/zuq3op6","Border Clollie")</f>
        <v>Border Clollie</v>
      </c>
    </row>
    <row r="442">
      <c r="A442" s="1" t="str">
        <f t="shared" si="89"/>
        <v>Dog Behaviour Training</v>
      </c>
      <c r="B442" s="1" t="str">
        <f t="shared" si="86"/>
        <v>https://m566.info/zuq3op6</v>
      </c>
      <c r="C442" s="1" t="str">
        <f>HYPERLINK("https://m566.info/zuq3op6","Rotwieller")</f>
        <v>Rotwieller</v>
      </c>
    </row>
    <row r="443">
      <c r="A443" s="1" t="str">
        <f t="shared" si="89"/>
        <v>Dog Behaviour Training</v>
      </c>
      <c r="B443" s="1" t="str">
        <f t="shared" si="86"/>
        <v>https://m566.info/zuq3op6</v>
      </c>
      <c r="C443" s="1" t="str">
        <f>HYPERLINK("https://m566.info/zuq3op6","Cross Bred")</f>
        <v>Cross Bred</v>
      </c>
    </row>
    <row r="444">
      <c r="A444" s="1" t="str">
        <f t="shared" si="89"/>
        <v>Dog Behaviour Training</v>
      </c>
      <c r="B444" s="1" t="str">
        <f t="shared" si="86"/>
        <v>https://m566.info/zuq3op6</v>
      </c>
      <c r="C444" s="1" t="str">
        <f>HYPERLINK("https://m566.info/zuq3op6","Rotweiller")</f>
        <v>Rotweiller</v>
      </c>
    </row>
    <row r="445">
      <c r="A445" s="1" t="str">
        <f t="shared" ref="A445:A450" si="90">HYPERLINK("https://m566.info/zuq3op6","Dog : Elite Training")</f>
        <v>Dog : Elite Training</v>
      </c>
      <c r="B445" s="1" t="str">
        <f t="shared" si="86"/>
        <v>https://m566.info/zuq3op6</v>
      </c>
      <c r="C445" s="1" t="str">
        <f>HYPERLINK("https://m566.info/zuq3op6","Doberman")</f>
        <v>Doberman</v>
      </c>
    </row>
    <row r="446">
      <c r="A446" s="1" t="str">
        <f t="shared" si="90"/>
        <v>Dog : Elite Training</v>
      </c>
      <c r="B446" s="1" t="str">
        <f t="shared" si="86"/>
        <v>https://m566.info/zuq3op6</v>
      </c>
      <c r="C446" s="1" t="str">
        <f>HYPERLINK("https://m566.info/zuq3op6","German Shepherd")</f>
        <v>German Shepherd</v>
      </c>
    </row>
    <row r="447">
      <c r="A447" s="1" t="str">
        <f t="shared" si="90"/>
        <v>Dog : Elite Training</v>
      </c>
      <c r="B447" s="1" t="str">
        <f t="shared" si="86"/>
        <v>https://m566.info/zuq3op6</v>
      </c>
      <c r="C447" s="1" t="str">
        <f>HYPERLINK("https://m566.info/zuq3op6","Border Clollie")</f>
        <v>Border Clollie</v>
      </c>
    </row>
    <row r="448">
      <c r="A448" s="1" t="str">
        <f t="shared" si="90"/>
        <v>Dog : Elite Training</v>
      </c>
      <c r="B448" s="1" t="str">
        <f t="shared" si="86"/>
        <v>https://m566.info/zuq3op6</v>
      </c>
      <c r="C448" s="1" t="str">
        <f>HYPERLINK("https://m566.info/zuq3op6","Rotwieller")</f>
        <v>Rotwieller</v>
      </c>
    </row>
    <row r="449">
      <c r="A449" s="1" t="str">
        <f t="shared" si="90"/>
        <v>Dog : Elite Training</v>
      </c>
      <c r="B449" s="1" t="str">
        <f t="shared" si="86"/>
        <v>https://m566.info/zuq3op6</v>
      </c>
      <c r="C449" s="1" t="str">
        <f>HYPERLINK("https://m566.info/zuq3op6","Cross Bred")</f>
        <v>Cross Bred</v>
      </c>
    </row>
    <row r="450">
      <c r="A450" s="1" t="str">
        <f t="shared" si="90"/>
        <v>Dog : Elite Training</v>
      </c>
      <c r="B450" s="1" t="str">
        <f t="shared" si="86"/>
        <v>https://m566.info/zuq3op6</v>
      </c>
      <c r="C450" s="1" t="str">
        <f>HYPERLINK("https://m566.info/zuq3op6","Rotweiller")</f>
        <v>Rotweiller</v>
      </c>
    </row>
    <row r="451">
      <c r="A451" s="1" t="str">
        <f t="shared" ref="A451:A456" si="91">HYPERLINK("https://m566.info/x2ptqik","Dog Aggression Training")</f>
        <v>Dog Aggression Training</v>
      </c>
      <c r="B451" s="1" t="str">
        <f t="shared" ref="B451:B480" si="92">HYPERLINK("https://m566.info/x2ptqik","https://m566.info/x2ptqik")</f>
        <v>https://m566.info/x2ptqik</v>
      </c>
      <c r="C451" s="1" t="str">
        <f>HYPERLINK("https://m566.info/x2ptqik","Doberman")</f>
        <v>Doberman</v>
      </c>
    </row>
    <row r="452">
      <c r="A452" s="1" t="str">
        <f t="shared" si="91"/>
        <v>Dog Aggression Training</v>
      </c>
      <c r="B452" s="1" t="str">
        <f t="shared" si="92"/>
        <v>https://m566.info/x2ptqik</v>
      </c>
      <c r="C452" s="1" t="str">
        <f>HYPERLINK("https://m566.info/x2ptqik","German Shepherd")</f>
        <v>German Shepherd</v>
      </c>
    </row>
    <row r="453">
      <c r="A453" s="1" t="str">
        <f t="shared" si="91"/>
        <v>Dog Aggression Training</v>
      </c>
      <c r="B453" s="1" t="str">
        <f t="shared" si="92"/>
        <v>https://m566.info/x2ptqik</v>
      </c>
      <c r="C453" s="1" t="str">
        <f>HYPERLINK("https://m566.info/x2ptqik","Border Clollie")</f>
        <v>Border Clollie</v>
      </c>
    </row>
    <row r="454">
      <c r="A454" s="1" t="str">
        <f t="shared" si="91"/>
        <v>Dog Aggression Training</v>
      </c>
      <c r="B454" s="1" t="str">
        <f t="shared" si="92"/>
        <v>https://m566.info/x2ptqik</v>
      </c>
      <c r="C454" s="1" t="str">
        <f>HYPERLINK("https://m566.info/x2ptqik","Rotwieller")</f>
        <v>Rotwieller</v>
      </c>
    </row>
    <row r="455">
      <c r="A455" s="1" t="str">
        <f t="shared" si="91"/>
        <v>Dog Aggression Training</v>
      </c>
      <c r="B455" s="1" t="str">
        <f t="shared" si="92"/>
        <v>https://m566.info/x2ptqik</v>
      </c>
      <c r="C455" s="1" t="str">
        <f>HYPERLINK("https://m566.info/x2ptqik","Cross Bred")</f>
        <v>Cross Bred</v>
      </c>
    </row>
    <row r="456">
      <c r="A456" s="1" t="str">
        <f t="shared" si="91"/>
        <v>Dog Aggression Training</v>
      </c>
      <c r="B456" s="1" t="str">
        <f t="shared" si="92"/>
        <v>https://m566.info/x2ptqik</v>
      </c>
      <c r="C456" s="1" t="str">
        <f>HYPERLINK("https://m566.info/x2ptqik","Rotweiller")</f>
        <v>Rotweiller</v>
      </c>
    </row>
    <row r="457">
      <c r="A457" s="1" t="str">
        <f t="shared" ref="A457:A462" si="93">HYPERLINK("https://m566.info/x2ptqik","Dog Obedience Training")</f>
        <v>Dog Obedience Training</v>
      </c>
      <c r="B457" s="1" t="str">
        <f t="shared" si="92"/>
        <v>https://m566.info/x2ptqik</v>
      </c>
      <c r="C457" s="1" t="str">
        <f>HYPERLINK("https://m566.info/x2ptqik","Doberman")</f>
        <v>Doberman</v>
      </c>
    </row>
    <row r="458">
      <c r="A458" s="1" t="str">
        <f t="shared" si="93"/>
        <v>Dog Obedience Training</v>
      </c>
      <c r="B458" s="1" t="str">
        <f t="shared" si="92"/>
        <v>https://m566.info/x2ptqik</v>
      </c>
      <c r="C458" s="1" t="str">
        <f>HYPERLINK("https://m566.info/x2ptqik","German Shepherd")</f>
        <v>German Shepherd</v>
      </c>
    </row>
    <row r="459">
      <c r="A459" s="1" t="str">
        <f t="shared" si="93"/>
        <v>Dog Obedience Training</v>
      </c>
      <c r="B459" s="1" t="str">
        <f t="shared" si="92"/>
        <v>https://m566.info/x2ptqik</v>
      </c>
      <c r="C459" s="1" t="str">
        <f>HYPERLINK("https://m566.info/x2ptqik","Border Clollie")</f>
        <v>Border Clollie</v>
      </c>
    </row>
    <row r="460">
      <c r="A460" s="1" t="str">
        <f t="shared" si="93"/>
        <v>Dog Obedience Training</v>
      </c>
      <c r="B460" s="1" t="str">
        <f t="shared" si="92"/>
        <v>https://m566.info/x2ptqik</v>
      </c>
      <c r="C460" s="1" t="str">
        <f>HYPERLINK("https://m566.info/x2ptqik","Rotwieller")</f>
        <v>Rotwieller</v>
      </c>
    </row>
    <row r="461">
      <c r="A461" s="1" t="str">
        <f t="shared" si="93"/>
        <v>Dog Obedience Training</v>
      </c>
      <c r="B461" s="1" t="str">
        <f t="shared" si="92"/>
        <v>https://m566.info/x2ptqik</v>
      </c>
      <c r="C461" s="1" t="str">
        <f>HYPERLINK("https://m566.info/x2ptqik","Cross Bred")</f>
        <v>Cross Bred</v>
      </c>
    </row>
    <row r="462">
      <c r="A462" s="1" t="str">
        <f t="shared" si="93"/>
        <v>Dog Obedience Training</v>
      </c>
      <c r="B462" s="1" t="str">
        <f t="shared" si="92"/>
        <v>https://m566.info/x2ptqik</v>
      </c>
      <c r="C462" s="1" t="str">
        <f>HYPERLINK("https://m566.info/x2ptqik","Rotweiller")</f>
        <v>Rotweiller</v>
      </c>
    </row>
    <row r="463">
      <c r="A463" s="1" t="str">
        <f t="shared" ref="A463:A468" si="94">HYPERLINK("https://m566.info/x2ptqik","Dog House Training")</f>
        <v>Dog House Training</v>
      </c>
      <c r="B463" s="1" t="str">
        <f t="shared" si="92"/>
        <v>https://m566.info/x2ptqik</v>
      </c>
      <c r="C463" s="1" t="str">
        <f>HYPERLINK("https://m566.info/x2ptqik","Doberman")</f>
        <v>Doberman</v>
      </c>
    </row>
    <row r="464">
      <c r="A464" s="1" t="str">
        <f t="shared" si="94"/>
        <v>Dog House Training</v>
      </c>
      <c r="B464" s="1" t="str">
        <f t="shared" si="92"/>
        <v>https://m566.info/x2ptqik</v>
      </c>
      <c r="C464" s="1" t="str">
        <f>HYPERLINK("https://m566.info/x2ptqik","German Shepherd")</f>
        <v>German Shepherd</v>
      </c>
    </row>
    <row r="465">
      <c r="A465" s="1" t="str">
        <f t="shared" si="94"/>
        <v>Dog House Training</v>
      </c>
      <c r="B465" s="1" t="str">
        <f t="shared" si="92"/>
        <v>https://m566.info/x2ptqik</v>
      </c>
      <c r="C465" s="1" t="str">
        <f>HYPERLINK("https://m566.info/x2ptqik","Border Clollie")</f>
        <v>Border Clollie</v>
      </c>
    </row>
    <row r="466">
      <c r="A466" s="1" t="str">
        <f t="shared" si="94"/>
        <v>Dog House Training</v>
      </c>
      <c r="B466" s="1" t="str">
        <f t="shared" si="92"/>
        <v>https://m566.info/x2ptqik</v>
      </c>
      <c r="C466" s="1" t="str">
        <f>HYPERLINK("https://m566.info/x2ptqik","Rotwieller")</f>
        <v>Rotwieller</v>
      </c>
    </row>
    <row r="467">
      <c r="A467" s="1" t="str">
        <f t="shared" si="94"/>
        <v>Dog House Training</v>
      </c>
      <c r="B467" s="1" t="str">
        <f t="shared" si="92"/>
        <v>https://m566.info/x2ptqik</v>
      </c>
      <c r="C467" s="1" t="str">
        <f>HYPERLINK("https://m566.info/x2ptqik","Cross Bred")</f>
        <v>Cross Bred</v>
      </c>
    </row>
    <row r="468">
      <c r="A468" s="1" t="str">
        <f t="shared" si="94"/>
        <v>Dog House Training</v>
      </c>
      <c r="B468" s="1" t="str">
        <f t="shared" si="92"/>
        <v>https://m566.info/x2ptqik</v>
      </c>
      <c r="C468" s="1" t="str">
        <f>HYPERLINK("https://m566.info/x2ptqik","Rotweiller")</f>
        <v>Rotweiller</v>
      </c>
    </row>
    <row r="469">
      <c r="A469" s="1" t="str">
        <f t="shared" ref="A469:A474" si="95">HYPERLINK("https://m566.info/x2ptqik","Dog Behaviour Training")</f>
        <v>Dog Behaviour Training</v>
      </c>
      <c r="B469" s="1" t="str">
        <f t="shared" si="92"/>
        <v>https://m566.info/x2ptqik</v>
      </c>
      <c r="C469" s="1" t="str">
        <f>HYPERLINK("https://m566.info/x2ptqik","Doberman")</f>
        <v>Doberman</v>
      </c>
    </row>
    <row r="470">
      <c r="A470" s="1" t="str">
        <f t="shared" si="95"/>
        <v>Dog Behaviour Training</v>
      </c>
      <c r="B470" s="1" t="str">
        <f t="shared" si="92"/>
        <v>https://m566.info/x2ptqik</v>
      </c>
      <c r="C470" s="1" t="str">
        <f>HYPERLINK("https://m566.info/x2ptqik","German Shepherd")</f>
        <v>German Shepherd</v>
      </c>
    </row>
    <row r="471">
      <c r="A471" s="1" t="str">
        <f t="shared" si="95"/>
        <v>Dog Behaviour Training</v>
      </c>
      <c r="B471" s="1" t="str">
        <f t="shared" si="92"/>
        <v>https://m566.info/x2ptqik</v>
      </c>
      <c r="C471" s="1" t="str">
        <f>HYPERLINK("https://m566.info/x2ptqik","Border Clollie")</f>
        <v>Border Clollie</v>
      </c>
    </row>
    <row r="472">
      <c r="A472" s="1" t="str">
        <f t="shared" si="95"/>
        <v>Dog Behaviour Training</v>
      </c>
      <c r="B472" s="1" t="str">
        <f t="shared" si="92"/>
        <v>https://m566.info/x2ptqik</v>
      </c>
      <c r="C472" s="1" t="str">
        <f>HYPERLINK("https://m566.info/x2ptqik","Rotwieller")</f>
        <v>Rotwieller</v>
      </c>
    </row>
    <row r="473">
      <c r="A473" s="1" t="str">
        <f t="shared" si="95"/>
        <v>Dog Behaviour Training</v>
      </c>
      <c r="B473" s="1" t="str">
        <f t="shared" si="92"/>
        <v>https://m566.info/x2ptqik</v>
      </c>
      <c r="C473" s="1" t="str">
        <f>HYPERLINK("https://m566.info/x2ptqik","Cross Bred")</f>
        <v>Cross Bred</v>
      </c>
    </row>
    <row r="474">
      <c r="A474" s="1" t="str">
        <f t="shared" si="95"/>
        <v>Dog Behaviour Training</v>
      </c>
      <c r="B474" s="1" t="str">
        <f t="shared" si="92"/>
        <v>https://m566.info/x2ptqik</v>
      </c>
      <c r="C474" s="1" t="str">
        <f>HYPERLINK("https://m566.info/x2ptqik","Rotweiller")</f>
        <v>Rotweiller</v>
      </c>
    </row>
    <row r="475">
      <c r="A475" s="1" t="str">
        <f t="shared" ref="A475:A480" si="96">HYPERLINK("https://m566.info/x2ptqik","Dog : Elite Training")</f>
        <v>Dog : Elite Training</v>
      </c>
      <c r="B475" s="1" t="str">
        <f t="shared" si="92"/>
        <v>https://m566.info/x2ptqik</v>
      </c>
      <c r="C475" s="1" t="str">
        <f>HYPERLINK("https://m566.info/x2ptqik","Doberman")</f>
        <v>Doberman</v>
      </c>
    </row>
    <row r="476">
      <c r="A476" s="1" t="str">
        <f t="shared" si="96"/>
        <v>Dog : Elite Training</v>
      </c>
      <c r="B476" s="1" t="str">
        <f t="shared" si="92"/>
        <v>https://m566.info/x2ptqik</v>
      </c>
      <c r="C476" s="1" t="str">
        <f>HYPERLINK("https://m566.info/x2ptqik","German Shepherd")</f>
        <v>German Shepherd</v>
      </c>
    </row>
    <row r="477">
      <c r="A477" s="1" t="str">
        <f t="shared" si="96"/>
        <v>Dog : Elite Training</v>
      </c>
      <c r="B477" s="1" t="str">
        <f t="shared" si="92"/>
        <v>https://m566.info/x2ptqik</v>
      </c>
      <c r="C477" s="1" t="str">
        <f>HYPERLINK("https://m566.info/x2ptqik","Border Clollie")</f>
        <v>Border Clollie</v>
      </c>
    </row>
    <row r="478">
      <c r="A478" s="1" t="str">
        <f t="shared" si="96"/>
        <v>Dog : Elite Training</v>
      </c>
      <c r="B478" s="1" t="str">
        <f t="shared" si="92"/>
        <v>https://m566.info/x2ptqik</v>
      </c>
      <c r="C478" s="1" t="str">
        <f>HYPERLINK("https://m566.info/x2ptqik","Rotwieller")</f>
        <v>Rotwieller</v>
      </c>
    </row>
    <row r="479">
      <c r="A479" s="1" t="str">
        <f t="shared" si="96"/>
        <v>Dog : Elite Training</v>
      </c>
      <c r="B479" s="1" t="str">
        <f t="shared" si="92"/>
        <v>https://m566.info/x2ptqik</v>
      </c>
      <c r="C479" s="1" t="str">
        <f>HYPERLINK("https://m566.info/x2ptqik","Cross Bred")</f>
        <v>Cross Bred</v>
      </c>
    </row>
    <row r="480">
      <c r="A480" s="1" t="str">
        <f t="shared" si="96"/>
        <v>Dog : Elite Training</v>
      </c>
      <c r="B480" s="1" t="str">
        <f t="shared" si="92"/>
        <v>https://m566.info/x2ptqik</v>
      </c>
      <c r="C480" s="1" t="str">
        <f>HYPERLINK("https://m566.info/x2ptqik","Rotweiller")</f>
        <v>Rotweiller</v>
      </c>
    </row>
    <row r="481">
      <c r="A481" s="1" t="str">
        <f t="shared" ref="A481:A486" si="97">HYPERLINK("https://m566.info/jp2ru8e","Dog Aggression Training")</f>
        <v>Dog Aggression Training</v>
      </c>
      <c r="B481" s="1" t="str">
        <f t="shared" ref="B481:B510" si="98">HYPERLINK("https://m566.info/jp2ru8e","https://m566.info/jp2ru8e")</f>
        <v>https://m566.info/jp2ru8e</v>
      </c>
      <c r="C481" s="1" t="str">
        <f>HYPERLINK("https://m566.info/jp2ru8e","Doberman")</f>
        <v>Doberman</v>
      </c>
    </row>
    <row r="482">
      <c r="A482" s="1" t="str">
        <f t="shared" si="97"/>
        <v>Dog Aggression Training</v>
      </c>
      <c r="B482" s="1" t="str">
        <f t="shared" si="98"/>
        <v>https://m566.info/jp2ru8e</v>
      </c>
      <c r="C482" s="1" t="str">
        <f>HYPERLINK("https://m566.info/jp2ru8e","German Shepherd")</f>
        <v>German Shepherd</v>
      </c>
    </row>
    <row r="483">
      <c r="A483" s="1" t="str">
        <f t="shared" si="97"/>
        <v>Dog Aggression Training</v>
      </c>
      <c r="B483" s="1" t="str">
        <f t="shared" si="98"/>
        <v>https://m566.info/jp2ru8e</v>
      </c>
      <c r="C483" s="1" t="str">
        <f>HYPERLINK("https://m566.info/jp2ru8e","Border Clollie")</f>
        <v>Border Clollie</v>
      </c>
    </row>
    <row r="484">
      <c r="A484" s="1" t="str">
        <f t="shared" si="97"/>
        <v>Dog Aggression Training</v>
      </c>
      <c r="B484" s="1" t="str">
        <f t="shared" si="98"/>
        <v>https://m566.info/jp2ru8e</v>
      </c>
      <c r="C484" s="1" t="str">
        <f>HYPERLINK("https://m566.info/jp2ru8e","Rotwieller")</f>
        <v>Rotwieller</v>
      </c>
    </row>
    <row r="485">
      <c r="A485" s="1" t="str">
        <f t="shared" si="97"/>
        <v>Dog Aggression Training</v>
      </c>
      <c r="B485" s="1" t="str">
        <f t="shared" si="98"/>
        <v>https://m566.info/jp2ru8e</v>
      </c>
      <c r="C485" s="1" t="str">
        <f>HYPERLINK("https://m566.info/jp2ru8e","Cross Bred")</f>
        <v>Cross Bred</v>
      </c>
    </row>
    <row r="486">
      <c r="A486" s="1" t="str">
        <f t="shared" si="97"/>
        <v>Dog Aggression Training</v>
      </c>
      <c r="B486" s="1" t="str">
        <f t="shared" si="98"/>
        <v>https://m566.info/jp2ru8e</v>
      </c>
      <c r="C486" s="1" t="str">
        <f>HYPERLINK("https://m566.info/jp2ru8e","Rotweiller")</f>
        <v>Rotweiller</v>
      </c>
    </row>
    <row r="487">
      <c r="A487" s="1" t="str">
        <f t="shared" ref="A487:A492" si="99">HYPERLINK("https://m566.info/jp2ru8e","Dog Obedience Training")</f>
        <v>Dog Obedience Training</v>
      </c>
      <c r="B487" s="1" t="str">
        <f t="shared" si="98"/>
        <v>https://m566.info/jp2ru8e</v>
      </c>
      <c r="C487" s="1" t="str">
        <f>HYPERLINK("https://m566.info/jp2ru8e","Doberman")</f>
        <v>Doberman</v>
      </c>
    </row>
    <row r="488">
      <c r="A488" s="1" t="str">
        <f t="shared" si="99"/>
        <v>Dog Obedience Training</v>
      </c>
      <c r="B488" s="1" t="str">
        <f t="shared" si="98"/>
        <v>https://m566.info/jp2ru8e</v>
      </c>
      <c r="C488" s="1" t="str">
        <f>HYPERLINK("https://m566.info/jp2ru8e","German Shepherd")</f>
        <v>German Shepherd</v>
      </c>
    </row>
    <row r="489">
      <c r="A489" s="1" t="str">
        <f t="shared" si="99"/>
        <v>Dog Obedience Training</v>
      </c>
      <c r="B489" s="1" t="str">
        <f t="shared" si="98"/>
        <v>https://m566.info/jp2ru8e</v>
      </c>
      <c r="C489" s="1" t="str">
        <f>HYPERLINK("https://m566.info/jp2ru8e","Border Clollie")</f>
        <v>Border Clollie</v>
      </c>
    </row>
    <row r="490">
      <c r="A490" s="1" t="str">
        <f t="shared" si="99"/>
        <v>Dog Obedience Training</v>
      </c>
      <c r="B490" s="1" t="str">
        <f t="shared" si="98"/>
        <v>https://m566.info/jp2ru8e</v>
      </c>
      <c r="C490" s="1" t="str">
        <f>HYPERLINK("https://m566.info/jp2ru8e","Rotwieller")</f>
        <v>Rotwieller</v>
      </c>
    </row>
    <row r="491">
      <c r="A491" s="1" t="str">
        <f t="shared" si="99"/>
        <v>Dog Obedience Training</v>
      </c>
      <c r="B491" s="1" t="str">
        <f t="shared" si="98"/>
        <v>https://m566.info/jp2ru8e</v>
      </c>
      <c r="C491" s="1" t="str">
        <f>HYPERLINK("https://m566.info/jp2ru8e","Cross Bred")</f>
        <v>Cross Bred</v>
      </c>
    </row>
    <row r="492">
      <c r="A492" s="1" t="str">
        <f t="shared" si="99"/>
        <v>Dog Obedience Training</v>
      </c>
      <c r="B492" s="1" t="str">
        <f t="shared" si="98"/>
        <v>https://m566.info/jp2ru8e</v>
      </c>
      <c r="C492" s="1" t="str">
        <f>HYPERLINK("https://m566.info/jp2ru8e","Rotweiller")</f>
        <v>Rotweiller</v>
      </c>
    </row>
    <row r="493">
      <c r="A493" s="1" t="str">
        <f t="shared" ref="A493:A498" si="100">HYPERLINK("https://m566.info/jp2ru8e","Dog House Training")</f>
        <v>Dog House Training</v>
      </c>
      <c r="B493" s="1" t="str">
        <f t="shared" si="98"/>
        <v>https://m566.info/jp2ru8e</v>
      </c>
      <c r="C493" s="1" t="str">
        <f>HYPERLINK("https://m566.info/jp2ru8e","Doberman")</f>
        <v>Doberman</v>
      </c>
    </row>
    <row r="494">
      <c r="A494" s="1" t="str">
        <f t="shared" si="100"/>
        <v>Dog House Training</v>
      </c>
      <c r="B494" s="1" t="str">
        <f t="shared" si="98"/>
        <v>https://m566.info/jp2ru8e</v>
      </c>
      <c r="C494" s="1" t="str">
        <f>HYPERLINK("https://m566.info/jp2ru8e","German Shepherd")</f>
        <v>German Shepherd</v>
      </c>
    </row>
    <row r="495">
      <c r="A495" s="1" t="str">
        <f t="shared" si="100"/>
        <v>Dog House Training</v>
      </c>
      <c r="B495" s="1" t="str">
        <f t="shared" si="98"/>
        <v>https://m566.info/jp2ru8e</v>
      </c>
      <c r="C495" s="1" t="str">
        <f>HYPERLINK("https://m566.info/jp2ru8e","Border Clollie")</f>
        <v>Border Clollie</v>
      </c>
    </row>
    <row r="496">
      <c r="A496" s="1" t="str">
        <f t="shared" si="100"/>
        <v>Dog House Training</v>
      </c>
      <c r="B496" s="1" t="str">
        <f t="shared" si="98"/>
        <v>https://m566.info/jp2ru8e</v>
      </c>
      <c r="C496" s="1" t="str">
        <f>HYPERLINK("https://m566.info/jp2ru8e","Rotwieller")</f>
        <v>Rotwieller</v>
      </c>
    </row>
    <row r="497">
      <c r="A497" s="1" t="str">
        <f t="shared" si="100"/>
        <v>Dog House Training</v>
      </c>
      <c r="B497" s="1" t="str">
        <f t="shared" si="98"/>
        <v>https://m566.info/jp2ru8e</v>
      </c>
      <c r="C497" s="1" t="str">
        <f>HYPERLINK("https://m566.info/jp2ru8e","Cross Bred")</f>
        <v>Cross Bred</v>
      </c>
    </row>
    <row r="498">
      <c r="A498" s="1" t="str">
        <f t="shared" si="100"/>
        <v>Dog House Training</v>
      </c>
      <c r="B498" s="1" t="str">
        <f t="shared" si="98"/>
        <v>https://m566.info/jp2ru8e</v>
      </c>
      <c r="C498" s="1" t="str">
        <f>HYPERLINK("https://m566.info/jp2ru8e","Rotweiller")</f>
        <v>Rotweiller</v>
      </c>
    </row>
    <row r="499">
      <c r="A499" s="1" t="str">
        <f t="shared" ref="A499:A504" si="101">HYPERLINK("https://m566.info/jp2ru8e","Dog Behaviour Training")</f>
        <v>Dog Behaviour Training</v>
      </c>
      <c r="B499" s="1" t="str">
        <f t="shared" si="98"/>
        <v>https://m566.info/jp2ru8e</v>
      </c>
      <c r="C499" s="1" t="str">
        <f>HYPERLINK("https://m566.info/jp2ru8e","Doberman")</f>
        <v>Doberman</v>
      </c>
    </row>
    <row r="500">
      <c r="A500" s="1" t="str">
        <f t="shared" si="101"/>
        <v>Dog Behaviour Training</v>
      </c>
      <c r="B500" s="1" t="str">
        <f t="shared" si="98"/>
        <v>https://m566.info/jp2ru8e</v>
      </c>
      <c r="C500" s="1" t="str">
        <f>HYPERLINK("https://m566.info/jp2ru8e","German Shepherd")</f>
        <v>German Shepherd</v>
      </c>
    </row>
    <row r="501">
      <c r="A501" s="1" t="str">
        <f t="shared" si="101"/>
        <v>Dog Behaviour Training</v>
      </c>
      <c r="B501" s="1" t="str">
        <f t="shared" si="98"/>
        <v>https://m566.info/jp2ru8e</v>
      </c>
      <c r="C501" s="1" t="str">
        <f>HYPERLINK("https://m566.info/jp2ru8e","Border Clollie")</f>
        <v>Border Clollie</v>
      </c>
    </row>
    <row r="502">
      <c r="A502" s="1" t="str">
        <f t="shared" si="101"/>
        <v>Dog Behaviour Training</v>
      </c>
      <c r="B502" s="1" t="str">
        <f t="shared" si="98"/>
        <v>https://m566.info/jp2ru8e</v>
      </c>
      <c r="C502" s="1" t="str">
        <f>HYPERLINK("https://m566.info/jp2ru8e","Rotwieller")</f>
        <v>Rotwieller</v>
      </c>
    </row>
    <row r="503">
      <c r="A503" s="1" t="str">
        <f t="shared" si="101"/>
        <v>Dog Behaviour Training</v>
      </c>
      <c r="B503" s="1" t="str">
        <f t="shared" si="98"/>
        <v>https://m566.info/jp2ru8e</v>
      </c>
      <c r="C503" s="1" t="str">
        <f>HYPERLINK("https://m566.info/jp2ru8e","Cross Bred")</f>
        <v>Cross Bred</v>
      </c>
    </row>
    <row r="504">
      <c r="A504" s="1" t="str">
        <f t="shared" si="101"/>
        <v>Dog Behaviour Training</v>
      </c>
      <c r="B504" s="1" t="str">
        <f t="shared" si="98"/>
        <v>https://m566.info/jp2ru8e</v>
      </c>
      <c r="C504" s="1" t="str">
        <f>HYPERLINK("https://m566.info/jp2ru8e","Rotweiller")</f>
        <v>Rotweiller</v>
      </c>
    </row>
    <row r="505">
      <c r="A505" s="1" t="str">
        <f t="shared" ref="A505:A510" si="102">HYPERLINK("https://m566.info/jp2ru8e","Dog : Elite Training")</f>
        <v>Dog : Elite Training</v>
      </c>
      <c r="B505" s="1" t="str">
        <f t="shared" si="98"/>
        <v>https://m566.info/jp2ru8e</v>
      </c>
      <c r="C505" s="1" t="str">
        <f>HYPERLINK("https://m566.info/jp2ru8e","Doberman")</f>
        <v>Doberman</v>
      </c>
    </row>
    <row r="506">
      <c r="A506" s="1" t="str">
        <f t="shared" si="102"/>
        <v>Dog : Elite Training</v>
      </c>
      <c r="B506" s="1" t="str">
        <f t="shared" si="98"/>
        <v>https://m566.info/jp2ru8e</v>
      </c>
      <c r="C506" s="1" t="str">
        <f>HYPERLINK("https://m566.info/jp2ru8e","German Shepherd")</f>
        <v>German Shepherd</v>
      </c>
    </row>
    <row r="507">
      <c r="A507" s="1" t="str">
        <f t="shared" si="102"/>
        <v>Dog : Elite Training</v>
      </c>
      <c r="B507" s="1" t="str">
        <f t="shared" si="98"/>
        <v>https://m566.info/jp2ru8e</v>
      </c>
      <c r="C507" s="1" t="str">
        <f>HYPERLINK("https://m566.info/jp2ru8e","Border Clollie")</f>
        <v>Border Clollie</v>
      </c>
    </row>
    <row r="508">
      <c r="A508" s="1" t="str">
        <f t="shared" si="102"/>
        <v>Dog : Elite Training</v>
      </c>
      <c r="B508" s="1" t="str">
        <f t="shared" si="98"/>
        <v>https://m566.info/jp2ru8e</v>
      </c>
      <c r="C508" s="1" t="str">
        <f>HYPERLINK("https://m566.info/jp2ru8e","Rotwieller")</f>
        <v>Rotwieller</v>
      </c>
    </row>
    <row r="509">
      <c r="A509" s="1" t="str">
        <f t="shared" si="102"/>
        <v>Dog : Elite Training</v>
      </c>
      <c r="B509" s="1" t="str">
        <f t="shared" si="98"/>
        <v>https://m566.info/jp2ru8e</v>
      </c>
      <c r="C509" s="1" t="str">
        <f>HYPERLINK("https://m566.info/jp2ru8e","Cross Bred")</f>
        <v>Cross Bred</v>
      </c>
    </row>
    <row r="510">
      <c r="A510" s="1" t="str">
        <f t="shared" si="102"/>
        <v>Dog : Elite Training</v>
      </c>
      <c r="B510" s="1" t="str">
        <f t="shared" si="98"/>
        <v>https://m566.info/jp2ru8e</v>
      </c>
      <c r="C510" s="1" t="str">
        <f>HYPERLINK("https://m566.info/jp2ru8e","Rotweiller")</f>
        <v>Rotweiller</v>
      </c>
    </row>
    <row r="511">
      <c r="A511" s="1" t="str">
        <f t="shared" ref="A511:A516" si="103">HYPERLINK("https://m566.info/c2vzkd0","Dog Aggression Training")</f>
        <v>Dog Aggression Training</v>
      </c>
      <c r="B511" s="1" t="str">
        <f t="shared" ref="B511:B540" si="104">HYPERLINK("https://m566.info/c2vzkd0","https://m566.info/c2vzkd0")</f>
        <v>https://m566.info/c2vzkd0</v>
      </c>
      <c r="C511" s="1" t="str">
        <f>HYPERLINK("https://m566.info/c2vzkd0","Doberman")</f>
        <v>Doberman</v>
      </c>
    </row>
    <row r="512">
      <c r="A512" s="1" t="str">
        <f t="shared" si="103"/>
        <v>Dog Aggression Training</v>
      </c>
      <c r="B512" s="1" t="str">
        <f t="shared" si="104"/>
        <v>https://m566.info/c2vzkd0</v>
      </c>
      <c r="C512" s="1" t="str">
        <f>HYPERLINK("https://m566.info/c2vzkd0","German Shepherd")</f>
        <v>German Shepherd</v>
      </c>
    </row>
    <row r="513">
      <c r="A513" s="1" t="str">
        <f t="shared" si="103"/>
        <v>Dog Aggression Training</v>
      </c>
      <c r="B513" s="1" t="str">
        <f t="shared" si="104"/>
        <v>https://m566.info/c2vzkd0</v>
      </c>
      <c r="C513" s="1" t="str">
        <f>HYPERLINK("https://m566.info/c2vzkd0","Border Clollie")</f>
        <v>Border Clollie</v>
      </c>
    </row>
    <row r="514">
      <c r="A514" s="1" t="str">
        <f t="shared" si="103"/>
        <v>Dog Aggression Training</v>
      </c>
      <c r="B514" s="1" t="str">
        <f t="shared" si="104"/>
        <v>https://m566.info/c2vzkd0</v>
      </c>
      <c r="C514" s="1" t="str">
        <f>HYPERLINK("https://m566.info/c2vzkd0","Rotwieller")</f>
        <v>Rotwieller</v>
      </c>
    </row>
    <row r="515">
      <c r="A515" s="1" t="str">
        <f t="shared" si="103"/>
        <v>Dog Aggression Training</v>
      </c>
      <c r="B515" s="1" t="str">
        <f t="shared" si="104"/>
        <v>https://m566.info/c2vzkd0</v>
      </c>
      <c r="C515" s="1" t="str">
        <f>HYPERLINK("https://m566.info/c2vzkd0","Cross Bred")</f>
        <v>Cross Bred</v>
      </c>
    </row>
    <row r="516">
      <c r="A516" s="1" t="str">
        <f t="shared" si="103"/>
        <v>Dog Aggression Training</v>
      </c>
      <c r="B516" s="1" t="str">
        <f t="shared" si="104"/>
        <v>https://m566.info/c2vzkd0</v>
      </c>
      <c r="C516" s="1" t="str">
        <f>HYPERLINK("https://m566.info/c2vzkd0","Rotweiller")</f>
        <v>Rotweiller</v>
      </c>
    </row>
    <row r="517">
      <c r="A517" s="1" t="str">
        <f t="shared" ref="A517:A522" si="105">HYPERLINK("https://m566.info/c2vzkd0","Dog Obedience Training")</f>
        <v>Dog Obedience Training</v>
      </c>
      <c r="B517" s="1" t="str">
        <f t="shared" si="104"/>
        <v>https://m566.info/c2vzkd0</v>
      </c>
      <c r="C517" s="1" t="str">
        <f>HYPERLINK("https://m566.info/c2vzkd0","Doberman")</f>
        <v>Doberman</v>
      </c>
    </row>
    <row r="518">
      <c r="A518" s="1" t="str">
        <f t="shared" si="105"/>
        <v>Dog Obedience Training</v>
      </c>
      <c r="B518" s="1" t="str">
        <f t="shared" si="104"/>
        <v>https://m566.info/c2vzkd0</v>
      </c>
      <c r="C518" s="1" t="str">
        <f>HYPERLINK("https://m566.info/c2vzkd0","German Shepherd")</f>
        <v>German Shepherd</v>
      </c>
    </row>
    <row r="519">
      <c r="A519" s="1" t="str">
        <f t="shared" si="105"/>
        <v>Dog Obedience Training</v>
      </c>
      <c r="B519" s="1" t="str">
        <f t="shared" si="104"/>
        <v>https://m566.info/c2vzkd0</v>
      </c>
      <c r="C519" s="1" t="str">
        <f>HYPERLINK("https://m566.info/c2vzkd0","Border Clollie")</f>
        <v>Border Clollie</v>
      </c>
    </row>
    <row r="520">
      <c r="A520" s="1" t="str">
        <f t="shared" si="105"/>
        <v>Dog Obedience Training</v>
      </c>
      <c r="B520" s="1" t="str">
        <f t="shared" si="104"/>
        <v>https://m566.info/c2vzkd0</v>
      </c>
      <c r="C520" s="1" t="str">
        <f>HYPERLINK("https://m566.info/c2vzkd0","Rotwieller")</f>
        <v>Rotwieller</v>
      </c>
    </row>
    <row r="521">
      <c r="A521" s="1" t="str">
        <f t="shared" si="105"/>
        <v>Dog Obedience Training</v>
      </c>
      <c r="B521" s="1" t="str">
        <f t="shared" si="104"/>
        <v>https://m566.info/c2vzkd0</v>
      </c>
      <c r="C521" s="1" t="str">
        <f>HYPERLINK("https://m566.info/c2vzkd0","Cross Bred")</f>
        <v>Cross Bred</v>
      </c>
    </row>
    <row r="522">
      <c r="A522" s="1" t="str">
        <f t="shared" si="105"/>
        <v>Dog Obedience Training</v>
      </c>
      <c r="B522" s="1" t="str">
        <f t="shared" si="104"/>
        <v>https://m566.info/c2vzkd0</v>
      </c>
      <c r="C522" s="1" t="str">
        <f>HYPERLINK("https://m566.info/c2vzkd0","Rotweiller")</f>
        <v>Rotweiller</v>
      </c>
    </row>
    <row r="523">
      <c r="A523" s="1" t="str">
        <f t="shared" ref="A523:A528" si="106">HYPERLINK("https://m566.info/c2vzkd0","Dog House Training")</f>
        <v>Dog House Training</v>
      </c>
      <c r="B523" s="1" t="str">
        <f t="shared" si="104"/>
        <v>https://m566.info/c2vzkd0</v>
      </c>
      <c r="C523" s="1" t="str">
        <f>HYPERLINK("https://m566.info/c2vzkd0","Doberman")</f>
        <v>Doberman</v>
      </c>
    </row>
    <row r="524">
      <c r="A524" s="1" t="str">
        <f t="shared" si="106"/>
        <v>Dog House Training</v>
      </c>
      <c r="B524" s="1" t="str">
        <f t="shared" si="104"/>
        <v>https://m566.info/c2vzkd0</v>
      </c>
      <c r="C524" s="1" t="str">
        <f>HYPERLINK("https://m566.info/c2vzkd0","German Shepherd")</f>
        <v>German Shepherd</v>
      </c>
    </row>
    <row r="525">
      <c r="A525" s="1" t="str">
        <f t="shared" si="106"/>
        <v>Dog House Training</v>
      </c>
      <c r="B525" s="1" t="str">
        <f t="shared" si="104"/>
        <v>https://m566.info/c2vzkd0</v>
      </c>
      <c r="C525" s="1" t="str">
        <f>HYPERLINK("https://m566.info/c2vzkd0","Border Clollie")</f>
        <v>Border Clollie</v>
      </c>
    </row>
    <row r="526">
      <c r="A526" s="1" t="str">
        <f t="shared" si="106"/>
        <v>Dog House Training</v>
      </c>
      <c r="B526" s="1" t="str">
        <f t="shared" si="104"/>
        <v>https://m566.info/c2vzkd0</v>
      </c>
      <c r="C526" s="1" t="str">
        <f>HYPERLINK("https://m566.info/c2vzkd0","Rotwieller")</f>
        <v>Rotwieller</v>
      </c>
    </row>
    <row r="527">
      <c r="A527" s="1" t="str">
        <f t="shared" si="106"/>
        <v>Dog House Training</v>
      </c>
      <c r="B527" s="1" t="str">
        <f t="shared" si="104"/>
        <v>https://m566.info/c2vzkd0</v>
      </c>
      <c r="C527" s="1" t="str">
        <f>HYPERLINK("https://m566.info/c2vzkd0","Cross Bred")</f>
        <v>Cross Bred</v>
      </c>
    </row>
    <row r="528">
      <c r="A528" s="1" t="str">
        <f t="shared" si="106"/>
        <v>Dog House Training</v>
      </c>
      <c r="B528" s="1" t="str">
        <f t="shared" si="104"/>
        <v>https://m566.info/c2vzkd0</v>
      </c>
      <c r="C528" s="1" t="str">
        <f>HYPERLINK("https://m566.info/c2vzkd0","Rotweiller")</f>
        <v>Rotweiller</v>
      </c>
    </row>
    <row r="529">
      <c r="A529" s="1" t="str">
        <f t="shared" ref="A529:A534" si="107">HYPERLINK("https://m566.info/c2vzkd0","Dog Behaviour Training")</f>
        <v>Dog Behaviour Training</v>
      </c>
      <c r="B529" s="1" t="str">
        <f t="shared" si="104"/>
        <v>https://m566.info/c2vzkd0</v>
      </c>
      <c r="C529" s="1" t="str">
        <f>HYPERLINK("https://m566.info/c2vzkd0","Doberman")</f>
        <v>Doberman</v>
      </c>
    </row>
    <row r="530">
      <c r="A530" s="1" t="str">
        <f t="shared" si="107"/>
        <v>Dog Behaviour Training</v>
      </c>
      <c r="B530" s="1" t="str">
        <f t="shared" si="104"/>
        <v>https://m566.info/c2vzkd0</v>
      </c>
      <c r="C530" s="1" t="str">
        <f>HYPERLINK("https://m566.info/c2vzkd0","German Shepherd")</f>
        <v>German Shepherd</v>
      </c>
    </row>
    <row r="531">
      <c r="A531" s="1" t="str">
        <f t="shared" si="107"/>
        <v>Dog Behaviour Training</v>
      </c>
      <c r="B531" s="1" t="str">
        <f t="shared" si="104"/>
        <v>https://m566.info/c2vzkd0</v>
      </c>
      <c r="C531" s="1" t="str">
        <f>HYPERLINK("https://m566.info/c2vzkd0","Border Clollie")</f>
        <v>Border Clollie</v>
      </c>
    </row>
    <row r="532">
      <c r="A532" s="1" t="str">
        <f t="shared" si="107"/>
        <v>Dog Behaviour Training</v>
      </c>
      <c r="B532" s="1" t="str">
        <f t="shared" si="104"/>
        <v>https://m566.info/c2vzkd0</v>
      </c>
      <c r="C532" s="1" t="str">
        <f>HYPERLINK("https://m566.info/c2vzkd0","Rotwieller")</f>
        <v>Rotwieller</v>
      </c>
    </row>
    <row r="533">
      <c r="A533" s="1" t="str">
        <f t="shared" si="107"/>
        <v>Dog Behaviour Training</v>
      </c>
      <c r="B533" s="1" t="str">
        <f t="shared" si="104"/>
        <v>https://m566.info/c2vzkd0</v>
      </c>
      <c r="C533" s="1" t="str">
        <f>HYPERLINK("https://m566.info/c2vzkd0","Cross Bred")</f>
        <v>Cross Bred</v>
      </c>
    </row>
    <row r="534">
      <c r="A534" s="1" t="str">
        <f t="shared" si="107"/>
        <v>Dog Behaviour Training</v>
      </c>
      <c r="B534" s="1" t="str">
        <f t="shared" si="104"/>
        <v>https://m566.info/c2vzkd0</v>
      </c>
      <c r="C534" s="1" t="str">
        <f>HYPERLINK("https://m566.info/c2vzkd0","Rotweiller")</f>
        <v>Rotweiller</v>
      </c>
    </row>
    <row r="535">
      <c r="A535" s="1" t="str">
        <f t="shared" ref="A535:A540" si="108">HYPERLINK("https://m566.info/c2vzkd0","Dog : Elite Training")</f>
        <v>Dog : Elite Training</v>
      </c>
      <c r="B535" s="1" t="str">
        <f t="shared" si="104"/>
        <v>https://m566.info/c2vzkd0</v>
      </c>
      <c r="C535" s="1" t="str">
        <f>HYPERLINK("https://m566.info/c2vzkd0","Doberman")</f>
        <v>Doberman</v>
      </c>
    </row>
    <row r="536">
      <c r="A536" s="1" t="str">
        <f t="shared" si="108"/>
        <v>Dog : Elite Training</v>
      </c>
      <c r="B536" s="1" t="str">
        <f t="shared" si="104"/>
        <v>https://m566.info/c2vzkd0</v>
      </c>
      <c r="C536" s="1" t="str">
        <f>HYPERLINK("https://m566.info/c2vzkd0","German Shepherd")</f>
        <v>German Shepherd</v>
      </c>
    </row>
    <row r="537">
      <c r="A537" s="1" t="str">
        <f t="shared" si="108"/>
        <v>Dog : Elite Training</v>
      </c>
      <c r="B537" s="1" t="str">
        <f t="shared" si="104"/>
        <v>https://m566.info/c2vzkd0</v>
      </c>
      <c r="C537" s="1" t="str">
        <f>HYPERLINK("https://m566.info/c2vzkd0","Border Clollie")</f>
        <v>Border Clollie</v>
      </c>
    </row>
    <row r="538">
      <c r="A538" s="1" t="str">
        <f t="shared" si="108"/>
        <v>Dog : Elite Training</v>
      </c>
      <c r="B538" s="1" t="str">
        <f t="shared" si="104"/>
        <v>https://m566.info/c2vzkd0</v>
      </c>
      <c r="C538" s="1" t="str">
        <f>HYPERLINK("https://m566.info/c2vzkd0","Rotwieller")</f>
        <v>Rotwieller</v>
      </c>
    </row>
    <row r="539">
      <c r="A539" s="1" t="str">
        <f t="shared" si="108"/>
        <v>Dog : Elite Training</v>
      </c>
      <c r="B539" s="1" t="str">
        <f t="shared" si="104"/>
        <v>https://m566.info/c2vzkd0</v>
      </c>
      <c r="C539" s="1" t="str">
        <f>HYPERLINK("https://m566.info/c2vzkd0","Cross Bred")</f>
        <v>Cross Bred</v>
      </c>
    </row>
    <row r="540">
      <c r="A540" s="1" t="str">
        <f t="shared" si="108"/>
        <v>Dog : Elite Training</v>
      </c>
      <c r="B540" s="1" t="str">
        <f t="shared" si="104"/>
        <v>https://m566.info/c2vzkd0</v>
      </c>
      <c r="C540" s="1" t="str">
        <f>HYPERLINK("https://m566.info/c2vzkd0","Rotweiller")</f>
        <v>Rotweiller</v>
      </c>
    </row>
    <row r="541">
      <c r="A541" s="1" t="str">
        <f t="shared" ref="A541:A546" si="109">HYPERLINK("https://m566.info/3i7dxac","Dog Aggression Training")</f>
        <v>Dog Aggression Training</v>
      </c>
      <c r="B541" s="1" t="str">
        <f t="shared" ref="B541:B570" si="110">HYPERLINK("https://m566.info/3i7dxac","https://m566.info/3i7dxac")</f>
        <v>https://m566.info/3i7dxac</v>
      </c>
      <c r="C541" s="1" t="str">
        <f>HYPERLINK("https://m566.info/3i7dxac","Doberman")</f>
        <v>Doberman</v>
      </c>
    </row>
    <row r="542">
      <c r="A542" s="1" t="str">
        <f t="shared" si="109"/>
        <v>Dog Aggression Training</v>
      </c>
      <c r="B542" s="1" t="str">
        <f t="shared" si="110"/>
        <v>https://m566.info/3i7dxac</v>
      </c>
      <c r="C542" s="1" t="str">
        <f>HYPERLINK("https://m566.info/3i7dxac","German Shepherd")</f>
        <v>German Shepherd</v>
      </c>
    </row>
    <row r="543">
      <c r="A543" s="1" t="str">
        <f t="shared" si="109"/>
        <v>Dog Aggression Training</v>
      </c>
      <c r="B543" s="1" t="str">
        <f t="shared" si="110"/>
        <v>https://m566.info/3i7dxac</v>
      </c>
      <c r="C543" s="1" t="str">
        <f>HYPERLINK("https://m566.info/3i7dxac","Border Clollie")</f>
        <v>Border Clollie</v>
      </c>
    </row>
    <row r="544">
      <c r="A544" s="1" t="str">
        <f t="shared" si="109"/>
        <v>Dog Aggression Training</v>
      </c>
      <c r="B544" s="1" t="str">
        <f t="shared" si="110"/>
        <v>https://m566.info/3i7dxac</v>
      </c>
      <c r="C544" s="1" t="str">
        <f>HYPERLINK("https://m566.info/3i7dxac","Rotwieller")</f>
        <v>Rotwieller</v>
      </c>
    </row>
    <row r="545">
      <c r="A545" s="1" t="str">
        <f t="shared" si="109"/>
        <v>Dog Aggression Training</v>
      </c>
      <c r="B545" s="1" t="str">
        <f t="shared" si="110"/>
        <v>https://m566.info/3i7dxac</v>
      </c>
      <c r="C545" s="1" t="str">
        <f>HYPERLINK("https://m566.info/3i7dxac","Cross Bred")</f>
        <v>Cross Bred</v>
      </c>
    </row>
    <row r="546">
      <c r="A546" s="1" t="str">
        <f t="shared" si="109"/>
        <v>Dog Aggression Training</v>
      </c>
      <c r="B546" s="1" t="str">
        <f t="shared" si="110"/>
        <v>https://m566.info/3i7dxac</v>
      </c>
      <c r="C546" s="1" t="str">
        <f>HYPERLINK("https://m566.info/3i7dxac","Rotweiller")</f>
        <v>Rotweiller</v>
      </c>
    </row>
    <row r="547">
      <c r="A547" s="1" t="str">
        <f t="shared" ref="A547:A552" si="111">HYPERLINK("https://m566.info/3i7dxac","Dog Obedience Training")</f>
        <v>Dog Obedience Training</v>
      </c>
      <c r="B547" s="1" t="str">
        <f t="shared" si="110"/>
        <v>https://m566.info/3i7dxac</v>
      </c>
      <c r="C547" s="1" t="str">
        <f>HYPERLINK("https://m566.info/3i7dxac","Doberman")</f>
        <v>Doberman</v>
      </c>
    </row>
    <row r="548">
      <c r="A548" s="1" t="str">
        <f t="shared" si="111"/>
        <v>Dog Obedience Training</v>
      </c>
      <c r="B548" s="1" t="str">
        <f t="shared" si="110"/>
        <v>https://m566.info/3i7dxac</v>
      </c>
      <c r="C548" s="1" t="str">
        <f>HYPERLINK("https://m566.info/3i7dxac","German Shepherd")</f>
        <v>German Shepherd</v>
      </c>
    </row>
    <row r="549">
      <c r="A549" s="1" t="str">
        <f t="shared" si="111"/>
        <v>Dog Obedience Training</v>
      </c>
      <c r="B549" s="1" t="str">
        <f t="shared" si="110"/>
        <v>https://m566.info/3i7dxac</v>
      </c>
      <c r="C549" s="1" t="str">
        <f>HYPERLINK("https://m566.info/3i7dxac","Border Clollie")</f>
        <v>Border Clollie</v>
      </c>
    </row>
    <row r="550">
      <c r="A550" s="1" t="str">
        <f t="shared" si="111"/>
        <v>Dog Obedience Training</v>
      </c>
      <c r="B550" s="1" t="str">
        <f t="shared" si="110"/>
        <v>https://m566.info/3i7dxac</v>
      </c>
      <c r="C550" s="1" t="str">
        <f>HYPERLINK("https://m566.info/3i7dxac","Rotwieller")</f>
        <v>Rotwieller</v>
      </c>
    </row>
    <row r="551">
      <c r="A551" s="1" t="str">
        <f t="shared" si="111"/>
        <v>Dog Obedience Training</v>
      </c>
      <c r="B551" s="1" t="str">
        <f t="shared" si="110"/>
        <v>https://m566.info/3i7dxac</v>
      </c>
      <c r="C551" s="1" t="str">
        <f>HYPERLINK("https://m566.info/3i7dxac","Cross Bred")</f>
        <v>Cross Bred</v>
      </c>
    </row>
    <row r="552">
      <c r="A552" s="1" t="str">
        <f t="shared" si="111"/>
        <v>Dog Obedience Training</v>
      </c>
      <c r="B552" s="1" t="str">
        <f t="shared" si="110"/>
        <v>https://m566.info/3i7dxac</v>
      </c>
      <c r="C552" s="1" t="str">
        <f>HYPERLINK("https://m566.info/3i7dxac","Rotweiller")</f>
        <v>Rotweiller</v>
      </c>
    </row>
    <row r="553">
      <c r="A553" s="1" t="str">
        <f t="shared" ref="A553:A558" si="112">HYPERLINK("https://m566.info/3i7dxac","Dog House Training")</f>
        <v>Dog House Training</v>
      </c>
      <c r="B553" s="1" t="str">
        <f t="shared" si="110"/>
        <v>https://m566.info/3i7dxac</v>
      </c>
      <c r="C553" s="1" t="str">
        <f>HYPERLINK("https://m566.info/3i7dxac","Doberman")</f>
        <v>Doberman</v>
      </c>
    </row>
    <row r="554">
      <c r="A554" s="1" t="str">
        <f t="shared" si="112"/>
        <v>Dog House Training</v>
      </c>
      <c r="B554" s="1" t="str">
        <f t="shared" si="110"/>
        <v>https://m566.info/3i7dxac</v>
      </c>
      <c r="C554" s="1" t="str">
        <f>HYPERLINK("https://m566.info/3i7dxac","German Shepherd")</f>
        <v>German Shepherd</v>
      </c>
    </row>
    <row r="555">
      <c r="A555" s="1" t="str">
        <f t="shared" si="112"/>
        <v>Dog House Training</v>
      </c>
      <c r="B555" s="1" t="str">
        <f t="shared" si="110"/>
        <v>https://m566.info/3i7dxac</v>
      </c>
      <c r="C555" s="1" t="str">
        <f>HYPERLINK("https://m566.info/3i7dxac","Border Clollie")</f>
        <v>Border Clollie</v>
      </c>
    </row>
    <row r="556">
      <c r="A556" s="1" t="str">
        <f t="shared" si="112"/>
        <v>Dog House Training</v>
      </c>
      <c r="B556" s="1" t="str">
        <f t="shared" si="110"/>
        <v>https://m566.info/3i7dxac</v>
      </c>
      <c r="C556" s="1" t="str">
        <f>HYPERLINK("https://m566.info/3i7dxac","Rotwieller")</f>
        <v>Rotwieller</v>
      </c>
    </row>
    <row r="557">
      <c r="A557" s="1" t="str">
        <f t="shared" si="112"/>
        <v>Dog House Training</v>
      </c>
      <c r="B557" s="1" t="str">
        <f t="shared" si="110"/>
        <v>https://m566.info/3i7dxac</v>
      </c>
      <c r="C557" s="1" t="str">
        <f>HYPERLINK("https://m566.info/3i7dxac","Cross Bred")</f>
        <v>Cross Bred</v>
      </c>
    </row>
    <row r="558">
      <c r="A558" s="1" t="str">
        <f t="shared" si="112"/>
        <v>Dog House Training</v>
      </c>
      <c r="B558" s="1" t="str">
        <f t="shared" si="110"/>
        <v>https://m566.info/3i7dxac</v>
      </c>
      <c r="C558" s="1" t="str">
        <f>HYPERLINK("https://m566.info/3i7dxac","Rotweiller")</f>
        <v>Rotweiller</v>
      </c>
    </row>
    <row r="559">
      <c r="A559" s="1" t="str">
        <f t="shared" ref="A559:A564" si="113">HYPERLINK("https://m566.info/3i7dxac","Dog Behaviour Training")</f>
        <v>Dog Behaviour Training</v>
      </c>
      <c r="B559" s="1" t="str">
        <f t="shared" si="110"/>
        <v>https://m566.info/3i7dxac</v>
      </c>
      <c r="C559" s="1" t="str">
        <f>HYPERLINK("https://m566.info/3i7dxac","Doberman")</f>
        <v>Doberman</v>
      </c>
    </row>
    <row r="560">
      <c r="A560" s="1" t="str">
        <f t="shared" si="113"/>
        <v>Dog Behaviour Training</v>
      </c>
      <c r="B560" s="1" t="str">
        <f t="shared" si="110"/>
        <v>https://m566.info/3i7dxac</v>
      </c>
      <c r="C560" s="1" t="str">
        <f>HYPERLINK("https://m566.info/3i7dxac","German Shepherd")</f>
        <v>German Shepherd</v>
      </c>
    </row>
    <row r="561">
      <c r="A561" s="1" t="str">
        <f t="shared" si="113"/>
        <v>Dog Behaviour Training</v>
      </c>
      <c r="B561" s="1" t="str">
        <f t="shared" si="110"/>
        <v>https://m566.info/3i7dxac</v>
      </c>
      <c r="C561" s="1" t="str">
        <f>HYPERLINK("https://m566.info/3i7dxac","Border Clollie")</f>
        <v>Border Clollie</v>
      </c>
    </row>
    <row r="562">
      <c r="A562" s="1" t="str">
        <f t="shared" si="113"/>
        <v>Dog Behaviour Training</v>
      </c>
      <c r="B562" s="1" t="str">
        <f t="shared" si="110"/>
        <v>https://m566.info/3i7dxac</v>
      </c>
      <c r="C562" s="1" t="str">
        <f>HYPERLINK("https://m566.info/3i7dxac","Rotwieller")</f>
        <v>Rotwieller</v>
      </c>
    </row>
    <row r="563">
      <c r="A563" s="1" t="str">
        <f t="shared" si="113"/>
        <v>Dog Behaviour Training</v>
      </c>
      <c r="B563" s="1" t="str">
        <f t="shared" si="110"/>
        <v>https://m566.info/3i7dxac</v>
      </c>
      <c r="C563" s="1" t="str">
        <f>HYPERLINK("https://m566.info/3i7dxac","Cross Bred")</f>
        <v>Cross Bred</v>
      </c>
    </row>
    <row r="564">
      <c r="A564" s="1" t="str">
        <f t="shared" si="113"/>
        <v>Dog Behaviour Training</v>
      </c>
      <c r="B564" s="1" t="str">
        <f t="shared" si="110"/>
        <v>https://m566.info/3i7dxac</v>
      </c>
      <c r="C564" s="1" t="str">
        <f>HYPERLINK("https://m566.info/3i7dxac","Rotweiller")</f>
        <v>Rotweiller</v>
      </c>
    </row>
    <row r="565">
      <c r="A565" s="1" t="str">
        <f t="shared" ref="A565:A570" si="114">HYPERLINK("https://m566.info/3i7dxac","Dog : Elite Training")</f>
        <v>Dog : Elite Training</v>
      </c>
      <c r="B565" s="1" t="str">
        <f t="shared" si="110"/>
        <v>https://m566.info/3i7dxac</v>
      </c>
      <c r="C565" s="1" t="str">
        <f>HYPERLINK("https://m566.info/3i7dxac","Doberman")</f>
        <v>Doberman</v>
      </c>
    </row>
    <row r="566">
      <c r="A566" s="1" t="str">
        <f t="shared" si="114"/>
        <v>Dog : Elite Training</v>
      </c>
      <c r="B566" s="1" t="str">
        <f t="shared" si="110"/>
        <v>https://m566.info/3i7dxac</v>
      </c>
      <c r="C566" s="1" t="str">
        <f>HYPERLINK("https://m566.info/3i7dxac","German Shepherd")</f>
        <v>German Shepherd</v>
      </c>
    </row>
    <row r="567">
      <c r="A567" s="1" t="str">
        <f t="shared" si="114"/>
        <v>Dog : Elite Training</v>
      </c>
      <c r="B567" s="1" t="str">
        <f t="shared" si="110"/>
        <v>https://m566.info/3i7dxac</v>
      </c>
      <c r="C567" s="1" t="str">
        <f>HYPERLINK("https://m566.info/3i7dxac","Border Clollie")</f>
        <v>Border Clollie</v>
      </c>
    </row>
    <row r="568">
      <c r="A568" s="1" t="str">
        <f t="shared" si="114"/>
        <v>Dog : Elite Training</v>
      </c>
      <c r="B568" s="1" t="str">
        <f t="shared" si="110"/>
        <v>https://m566.info/3i7dxac</v>
      </c>
      <c r="C568" s="1" t="str">
        <f>HYPERLINK("https://m566.info/3i7dxac","Rotwieller")</f>
        <v>Rotwieller</v>
      </c>
    </row>
    <row r="569">
      <c r="A569" s="1" t="str">
        <f t="shared" si="114"/>
        <v>Dog : Elite Training</v>
      </c>
      <c r="B569" s="1" t="str">
        <f t="shared" si="110"/>
        <v>https://m566.info/3i7dxac</v>
      </c>
      <c r="C569" s="1" t="str">
        <f>HYPERLINK("https://m566.info/3i7dxac","Cross Bred")</f>
        <v>Cross Bred</v>
      </c>
    </row>
    <row r="570">
      <c r="A570" s="1" t="str">
        <f t="shared" si="114"/>
        <v>Dog : Elite Training</v>
      </c>
      <c r="B570" s="1" t="str">
        <f t="shared" si="110"/>
        <v>https://m566.info/3i7dxac</v>
      </c>
      <c r="C570" s="1" t="str">
        <f>HYPERLINK("https://m566.info/3i7dxac","Rotweiller")</f>
        <v>Rotweiller</v>
      </c>
    </row>
    <row r="571">
      <c r="A571" s="1" t="str">
        <f t="shared" ref="A571:A576" si="115">HYPERLINK("https://m566.info/csnj2k6","Dog Aggression Training")</f>
        <v>Dog Aggression Training</v>
      </c>
      <c r="B571" s="1" t="str">
        <f t="shared" ref="B571:B600" si="116">HYPERLINK("https://m566.info/csnj2k6","https://m566.info/csnj2k6")</f>
        <v>https://m566.info/csnj2k6</v>
      </c>
      <c r="C571" s="1" t="str">
        <f>HYPERLINK("https://m566.info/csnj2k6","Doberman")</f>
        <v>Doberman</v>
      </c>
    </row>
    <row r="572">
      <c r="A572" s="1" t="str">
        <f t="shared" si="115"/>
        <v>Dog Aggression Training</v>
      </c>
      <c r="B572" s="1" t="str">
        <f t="shared" si="116"/>
        <v>https://m566.info/csnj2k6</v>
      </c>
      <c r="C572" s="1" t="str">
        <f>HYPERLINK("https://m566.info/csnj2k6","German Shepherd")</f>
        <v>German Shepherd</v>
      </c>
    </row>
    <row r="573">
      <c r="A573" s="1" t="str">
        <f t="shared" si="115"/>
        <v>Dog Aggression Training</v>
      </c>
      <c r="B573" s="1" t="str">
        <f t="shared" si="116"/>
        <v>https://m566.info/csnj2k6</v>
      </c>
      <c r="C573" s="1" t="str">
        <f>HYPERLINK("https://m566.info/csnj2k6","Border Clollie")</f>
        <v>Border Clollie</v>
      </c>
    </row>
    <row r="574">
      <c r="A574" s="1" t="str">
        <f t="shared" si="115"/>
        <v>Dog Aggression Training</v>
      </c>
      <c r="B574" s="1" t="str">
        <f t="shared" si="116"/>
        <v>https://m566.info/csnj2k6</v>
      </c>
      <c r="C574" s="1" t="str">
        <f>HYPERLINK("https://m566.info/csnj2k6","Rotwieller")</f>
        <v>Rotwieller</v>
      </c>
    </row>
    <row r="575">
      <c r="A575" s="1" t="str">
        <f t="shared" si="115"/>
        <v>Dog Aggression Training</v>
      </c>
      <c r="B575" s="1" t="str">
        <f t="shared" si="116"/>
        <v>https://m566.info/csnj2k6</v>
      </c>
      <c r="C575" s="1" t="str">
        <f>HYPERLINK("https://m566.info/csnj2k6","Cross Bred")</f>
        <v>Cross Bred</v>
      </c>
    </row>
    <row r="576">
      <c r="A576" s="1" t="str">
        <f t="shared" si="115"/>
        <v>Dog Aggression Training</v>
      </c>
      <c r="B576" s="1" t="str">
        <f t="shared" si="116"/>
        <v>https://m566.info/csnj2k6</v>
      </c>
      <c r="C576" s="1" t="str">
        <f>HYPERLINK("https://m566.info/csnj2k6","Rotweiller")</f>
        <v>Rotweiller</v>
      </c>
    </row>
    <row r="577">
      <c r="A577" s="1" t="str">
        <f t="shared" ref="A577:A582" si="117">HYPERLINK("https://m566.info/csnj2k6","Dog Obedience Training")</f>
        <v>Dog Obedience Training</v>
      </c>
      <c r="B577" s="1" t="str">
        <f t="shared" si="116"/>
        <v>https://m566.info/csnj2k6</v>
      </c>
      <c r="C577" s="1" t="str">
        <f>HYPERLINK("https://m566.info/csnj2k6","Doberman")</f>
        <v>Doberman</v>
      </c>
    </row>
    <row r="578">
      <c r="A578" s="1" t="str">
        <f t="shared" si="117"/>
        <v>Dog Obedience Training</v>
      </c>
      <c r="B578" s="1" t="str">
        <f t="shared" si="116"/>
        <v>https://m566.info/csnj2k6</v>
      </c>
      <c r="C578" s="1" t="str">
        <f>HYPERLINK("https://m566.info/csnj2k6","German Shepherd")</f>
        <v>German Shepherd</v>
      </c>
    </row>
    <row r="579">
      <c r="A579" s="1" t="str">
        <f t="shared" si="117"/>
        <v>Dog Obedience Training</v>
      </c>
      <c r="B579" s="1" t="str">
        <f t="shared" si="116"/>
        <v>https://m566.info/csnj2k6</v>
      </c>
      <c r="C579" s="1" t="str">
        <f>HYPERLINK("https://m566.info/csnj2k6","Border Clollie")</f>
        <v>Border Clollie</v>
      </c>
    </row>
    <row r="580">
      <c r="A580" s="1" t="str">
        <f t="shared" si="117"/>
        <v>Dog Obedience Training</v>
      </c>
      <c r="B580" s="1" t="str">
        <f t="shared" si="116"/>
        <v>https://m566.info/csnj2k6</v>
      </c>
      <c r="C580" s="1" t="str">
        <f>HYPERLINK("https://m566.info/csnj2k6","Rotwieller")</f>
        <v>Rotwieller</v>
      </c>
    </row>
    <row r="581">
      <c r="A581" s="1" t="str">
        <f t="shared" si="117"/>
        <v>Dog Obedience Training</v>
      </c>
      <c r="B581" s="1" t="str">
        <f t="shared" si="116"/>
        <v>https://m566.info/csnj2k6</v>
      </c>
      <c r="C581" s="1" t="str">
        <f>HYPERLINK("https://m566.info/csnj2k6","Cross Bred")</f>
        <v>Cross Bred</v>
      </c>
    </row>
    <row r="582">
      <c r="A582" s="1" t="str">
        <f t="shared" si="117"/>
        <v>Dog Obedience Training</v>
      </c>
      <c r="B582" s="1" t="str">
        <f t="shared" si="116"/>
        <v>https://m566.info/csnj2k6</v>
      </c>
      <c r="C582" s="1" t="str">
        <f>HYPERLINK("https://m566.info/csnj2k6","Rotweiller")</f>
        <v>Rotweiller</v>
      </c>
    </row>
    <row r="583">
      <c r="A583" s="1" t="str">
        <f t="shared" ref="A583:A588" si="118">HYPERLINK("https://m566.info/csnj2k6","Dog House Training")</f>
        <v>Dog House Training</v>
      </c>
      <c r="B583" s="1" t="str">
        <f t="shared" si="116"/>
        <v>https://m566.info/csnj2k6</v>
      </c>
      <c r="C583" s="1" t="str">
        <f>HYPERLINK("https://m566.info/csnj2k6","Doberman")</f>
        <v>Doberman</v>
      </c>
    </row>
    <row r="584">
      <c r="A584" s="1" t="str">
        <f t="shared" si="118"/>
        <v>Dog House Training</v>
      </c>
      <c r="B584" s="1" t="str">
        <f t="shared" si="116"/>
        <v>https://m566.info/csnj2k6</v>
      </c>
      <c r="C584" s="1" t="str">
        <f>HYPERLINK("https://m566.info/csnj2k6","German Shepherd")</f>
        <v>German Shepherd</v>
      </c>
    </row>
    <row r="585">
      <c r="A585" s="1" t="str">
        <f t="shared" si="118"/>
        <v>Dog House Training</v>
      </c>
      <c r="B585" s="1" t="str">
        <f t="shared" si="116"/>
        <v>https://m566.info/csnj2k6</v>
      </c>
      <c r="C585" s="1" t="str">
        <f>HYPERLINK("https://m566.info/csnj2k6","Border Clollie")</f>
        <v>Border Clollie</v>
      </c>
    </row>
    <row r="586">
      <c r="A586" s="1" t="str">
        <f t="shared" si="118"/>
        <v>Dog House Training</v>
      </c>
      <c r="B586" s="1" t="str">
        <f t="shared" si="116"/>
        <v>https://m566.info/csnj2k6</v>
      </c>
      <c r="C586" s="1" t="str">
        <f>HYPERLINK("https://m566.info/csnj2k6","Rotwieller")</f>
        <v>Rotwieller</v>
      </c>
    </row>
    <row r="587">
      <c r="A587" s="1" t="str">
        <f t="shared" si="118"/>
        <v>Dog House Training</v>
      </c>
      <c r="B587" s="1" t="str">
        <f t="shared" si="116"/>
        <v>https://m566.info/csnj2k6</v>
      </c>
      <c r="C587" s="1" t="str">
        <f>HYPERLINK("https://m566.info/csnj2k6","Cross Bred")</f>
        <v>Cross Bred</v>
      </c>
    </row>
    <row r="588">
      <c r="A588" s="1" t="str">
        <f t="shared" si="118"/>
        <v>Dog House Training</v>
      </c>
      <c r="B588" s="1" t="str">
        <f t="shared" si="116"/>
        <v>https://m566.info/csnj2k6</v>
      </c>
      <c r="C588" s="1" t="str">
        <f>HYPERLINK("https://m566.info/csnj2k6","Rotweiller")</f>
        <v>Rotweiller</v>
      </c>
    </row>
    <row r="589">
      <c r="A589" s="1" t="str">
        <f t="shared" ref="A589:A594" si="119">HYPERLINK("https://m566.info/csnj2k6","Dog Behaviour Training")</f>
        <v>Dog Behaviour Training</v>
      </c>
      <c r="B589" s="1" t="str">
        <f t="shared" si="116"/>
        <v>https://m566.info/csnj2k6</v>
      </c>
      <c r="C589" s="1" t="str">
        <f>HYPERLINK("https://m566.info/csnj2k6","Doberman")</f>
        <v>Doberman</v>
      </c>
    </row>
    <row r="590">
      <c r="A590" s="1" t="str">
        <f t="shared" si="119"/>
        <v>Dog Behaviour Training</v>
      </c>
      <c r="B590" s="1" t="str">
        <f t="shared" si="116"/>
        <v>https://m566.info/csnj2k6</v>
      </c>
      <c r="C590" s="1" t="str">
        <f>HYPERLINK("https://m566.info/csnj2k6","German Shepherd")</f>
        <v>German Shepherd</v>
      </c>
    </row>
    <row r="591">
      <c r="A591" s="1" t="str">
        <f t="shared" si="119"/>
        <v>Dog Behaviour Training</v>
      </c>
      <c r="B591" s="1" t="str">
        <f t="shared" si="116"/>
        <v>https://m566.info/csnj2k6</v>
      </c>
      <c r="C591" s="1" t="str">
        <f>HYPERLINK("https://m566.info/csnj2k6","Border Clollie")</f>
        <v>Border Clollie</v>
      </c>
    </row>
    <row r="592">
      <c r="A592" s="1" t="str">
        <f t="shared" si="119"/>
        <v>Dog Behaviour Training</v>
      </c>
      <c r="B592" s="1" t="str">
        <f t="shared" si="116"/>
        <v>https://m566.info/csnj2k6</v>
      </c>
      <c r="C592" s="1" t="str">
        <f>HYPERLINK("https://m566.info/csnj2k6","Rotwieller")</f>
        <v>Rotwieller</v>
      </c>
    </row>
    <row r="593">
      <c r="A593" s="1" t="str">
        <f t="shared" si="119"/>
        <v>Dog Behaviour Training</v>
      </c>
      <c r="B593" s="1" t="str">
        <f t="shared" si="116"/>
        <v>https://m566.info/csnj2k6</v>
      </c>
      <c r="C593" s="1" t="str">
        <f>HYPERLINK("https://m566.info/csnj2k6","Cross Bred")</f>
        <v>Cross Bred</v>
      </c>
    </row>
    <row r="594">
      <c r="A594" s="1" t="str">
        <f t="shared" si="119"/>
        <v>Dog Behaviour Training</v>
      </c>
      <c r="B594" s="1" t="str">
        <f t="shared" si="116"/>
        <v>https://m566.info/csnj2k6</v>
      </c>
      <c r="C594" s="1" t="str">
        <f>HYPERLINK("https://m566.info/csnj2k6","Rotweiller")</f>
        <v>Rotweiller</v>
      </c>
    </row>
    <row r="595">
      <c r="A595" s="1" t="str">
        <f t="shared" ref="A595:A600" si="120">HYPERLINK("https://m566.info/csnj2k6","Dog : Elite Training")</f>
        <v>Dog : Elite Training</v>
      </c>
      <c r="B595" s="1" t="str">
        <f t="shared" si="116"/>
        <v>https://m566.info/csnj2k6</v>
      </c>
      <c r="C595" s="1" t="str">
        <f>HYPERLINK("https://m566.info/csnj2k6","Doberman")</f>
        <v>Doberman</v>
      </c>
    </row>
    <row r="596">
      <c r="A596" s="1" t="str">
        <f t="shared" si="120"/>
        <v>Dog : Elite Training</v>
      </c>
      <c r="B596" s="1" t="str">
        <f t="shared" si="116"/>
        <v>https://m566.info/csnj2k6</v>
      </c>
      <c r="C596" s="1" t="str">
        <f>HYPERLINK("https://m566.info/csnj2k6","German Shepherd")</f>
        <v>German Shepherd</v>
      </c>
    </row>
    <row r="597">
      <c r="A597" s="1" t="str">
        <f t="shared" si="120"/>
        <v>Dog : Elite Training</v>
      </c>
      <c r="B597" s="1" t="str">
        <f t="shared" si="116"/>
        <v>https://m566.info/csnj2k6</v>
      </c>
      <c r="C597" s="1" t="str">
        <f>HYPERLINK("https://m566.info/csnj2k6","Border Clollie")</f>
        <v>Border Clollie</v>
      </c>
    </row>
    <row r="598">
      <c r="A598" s="1" t="str">
        <f t="shared" si="120"/>
        <v>Dog : Elite Training</v>
      </c>
      <c r="B598" s="1" t="str">
        <f t="shared" si="116"/>
        <v>https://m566.info/csnj2k6</v>
      </c>
      <c r="C598" s="1" t="str">
        <f>HYPERLINK("https://m566.info/csnj2k6","Rotwieller")</f>
        <v>Rotwieller</v>
      </c>
    </row>
    <row r="599">
      <c r="A599" s="1" t="str">
        <f t="shared" si="120"/>
        <v>Dog : Elite Training</v>
      </c>
      <c r="B599" s="1" t="str">
        <f t="shared" si="116"/>
        <v>https://m566.info/csnj2k6</v>
      </c>
      <c r="C599" s="1" t="str">
        <f>HYPERLINK("https://m566.info/csnj2k6","Cross Bred")</f>
        <v>Cross Bred</v>
      </c>
    </row>
    <row r="600">
      <c r="A600" s="1" t="str">
        <f t="shared" si="120"/>
        <v>Dog : Elite Training</v>
      </c>
      <c r="B600" s="1" t="str">
        <f t="shared" si="116"/>
        <v>https://m566.info/csnj2k6</v>
      </c>
      <c r="C600" s="1" t="str">
        <f>HYPERLINK("https://m566.info/csnj2k6","Rotweiller")</f>
        <v>Rotweiller</v>
      </c>
    </row>
    <row r="601">
      <c r="A601" s="1" t="str">
        <f t="shared" ref="A601:A606" si="121">HYPERLINK("https://m566.info/heuxmzt","Dog Aggression Training")</f>
        <v>Dog Aggression Training</v>
      </c>
      <c r="B601" s="1" t="str">
        <f t="shared" ref="B601:B630" si="122">HYPERLINK("https://m566.info/heuxmzt","https://m566.info/heuxmzt")</f>
        <v>https://m566.info/heuxmzt</v>
      </c>
      <c r="C601" s="1" t="str">
        <f>HYPERLINK("https://m566.info/heuxmzt","Doberman")</f>
        <v>Doberman</v>
      </c>
    </row>
    <row r="602">
      <c r="A602" s="1" t="str">
        <f t="shared" si="121"/>
        <v>Dog Aggression Training</v>
      </c>
      <c r="B602" s="1" t="str">
        <f t="shared" si="122"/>
        <v>https://m566.info/heuxmzt</v>
      </c>
      <c r="C602" s="1" t="str">
        <f>HYPERLINK("https://m566.info/heuxmzt","German Shepherd")</f>
        <v>German Shepherd</v>
      </c>
    </row>
    <row r="603">
      <c r="A603" s="1" t="str">
        <f t="shared" si="121"/>
        <v>Dog Aggression Training</v>
      </c>
      <c r="B603" s="1" t="str">
        <f t="shared" si="122"/>
        <v>https://m566.info/heuxmzt</v>
      </c>
      <c r="C603" s="1" t="str">
        <f>HYPERLINK("https://m566.info/heuxmzt","Border Clollie")</f>
        <v>Border Clollie</v>
      </c>
    </row>
    <row r="604">
      <c r="A604" s="1" t="str">
        <f t="shared" si="121"/>
        <v>Dog Aggression Training</v>
      </c>
      <c r="B604" s="1" t="str">
        <f t="shared" si="122"/>
        <v>https://m566.info/heuxmzt</v>
      </c>
      <c r="C604" s="1" t="str">
        <f>HYPERLINK("https://m566.info/heuxmzt","Rotwieller")</f>
        <v>Rotwieller</v>
      </c>
    </row>
    <row r="605">
      <c r="A605" s="1" t="str">
        <f t="shared" si="121"/>
        <v>Dog Aggression Training</v>
      </c>
      <c r="B605" s="1" t="str">
        <f t="shared" si="122"/>
        <v>https://m566.info/heuxmzt</v>
      </c>
      <c r="C605" s="1" t="str">
        <f>HYPERLINK("https://m566.info/heuxmzt","Cross Bred")</f>
        <v>Cross Bred</v>
      </c>
    </row>
    <row r="606">
      <c r="A606" s="1" t="str">
        <f t="shared" si="121"/>
        <v>Dog Aggression Training</v>
      </c>
      <c r="B606" s="1" t="str">
        <f t="shared" si="122"/>
        <v>https://m566.info/heuxmzt</v>
      </c>
      <c r="C606" s="1" t="str">
        <f>HYPERLINK("https://m566.info/heuxmzt","Rotweiller")</f>
        <v>Rotweiller</v>
      </c>
    </row>
    <row r="607">
      <c r="A607" s="1" t="str">
        <f t="shared" ref="A607:A612" si="123">HYPERLINK("https://m566.info/heuxmzt","Dog Obedience Training")</f>
        <v>Dog Obedience Training</v>
      </c>
      <c r="B607" s="1" t="str">
        <f t="shared" si="122"/>
        <v>https://m566.info/heuxmzt</v>
      </c>
      <c r="C607" s="1" t="str">
        <f>HYPERLINK("https://m566.info/heuxmzt","Doberman")</f>
        <v>Doberman</v>
      </c>
    </row>
    <row r="608">
      <c r="A608" s="1" t="str">
        <f t="shared" si="123"/>
        <v>Dog Obedience Training</v>
      </c>
      <c r="B608" s="1" t="str">
        <f t="shared" si="122"/>
        <v>https://m566.info/heuxmzt</v>
      </c>
      <c r="C608" s="1" t="str">
        <f>HYPERLINK("https://m566.info/heuxmzt","German Shepherd")</f>
        <v>German Shepherd</v>
      </c>
    </row>
    <row r="609">
      <c r="A609" s="1" t="str">
        <f t="shared" si="123"/>
        <v>Dog Obedience Training</v>
      </c>
      <c r="B609" s="1" t="str">
        <f t="shared" si="122"/>
        <v>https://m566.info/heuxmzt</v>
      </c>
      <c r="C609" s="1" t="str">
        <f>HYPERLINK("https://m566.info/heuxmzt","Border Clollie")</f>
        <v>Border Clollie</v>
      </c>
    </row>
    <row r="610">
      <c r="A610" s="1" t="str">
        <f t="shared" si="123"/>
        <v>Dog Obedience Training</v>
      </c>
      <c r="B610" s="1" t="str">
        <f t="shared" si="122"/>
        <v>https://m566.info/heuxmzt</v>
      </c>
      <c r="C610" s="1" t="str">
        <f>HYPERLINK("https://m566.info/heuxmzt","Rotwieller")</f>
        <v>Rotwieller</v>
      </c>
    </row>
    <row r="611">
      <c r="A611" s="1" t="str">
        <f t="shared" si="123"/>
        <v>Dog Obedience Training</v>
      </c>
      <c r="B611" s="1" t="str">
        <f t="shared" si="122"/>
        <v>https://m566.info/heuxmzt</v>
      </c>
      <c r="C611" s="1" t="str">
        <f>HYPERLINK("https://m566.info/heuxmzt","Cross Bred")</f>
        <v>Cross Bred</v>
      </c>
    </row>
    <row r="612">
      <c r="A612" s="1" t="str">
        <f t="shared" si="123"/>
        <v>Dog Obedience Training</v>
      </c>
      <c r="B612" s="1" t="str">
        <f t="shared" si="122"/>
        <v>https://m566.info/heuxmzt</v>
      </c>
      <c r="C612" s="1" t="str">
        <f>HYPERLINK("https://m566.info/heuxmzt","Rotweiller")</f>
        <v>Rotweiller</v>
      </c>
    </row>
    <row r="613">
      <c r="A613" s="1" t="str">
        <f t="shared" ref="A613:A618" si="124">HYPERLINK("https://m566.info/heuxmzt","Dog House Training")</f>
        <v>Dog House Training</v>
      </c>
      <c r="B613" s="1" t="str">
        <f t="shared" si="122"/>
        <v>https://m566.info/heuxmzt</v>
      </c>
      <c r="C613" s="1" t="str">
        <f>HYPERLINK("https://m566.info/heuxmzt","Doberman")</f>
        <v>Doberman</v>
      </c>
    </row>
    <row r="614">
      <c r="A614" s="1" t="str">
        <f t="shared" si="124"/>
        <v>Dog House Training</v>
      </c>
      <c r="B614" s="1" t="str">
        <f t="shared" si="122"/>
        <v>https://m566.info/heuxmzt</v>
      </c>
      <c r="C614" s="1" t="str">
        <f>HYPERLINK("https://m566.info/heuxmzt","German Shepherd")</f>
        <v>German Shepherd</v>
      </c>
    </row>
    <row r="615">
      <c r="A615" s="1" t="str">
        <f t="shared" si="124"/>
        <v>Dog House Training</v>
      </c>
      <c r="B615" s="1" t="str">
        <f t="shared" si="122"/>
        <v>https://m566.info/heuxmzt</v>
      </c>
      <c r="C615" s="1" t="str">
        <f>HYPERLINK("https://m566.info/heuxmzt","Border Clollie")</f>
        <v>Border Clollie</v>
      </c>
    </row>
    <row r="616">
      <c r="A616" s="1" t="str">
        <f t="shared" si="124"/>
        <v>Dog House Training</v>
      </c>
      <c r="B616" s="1" t="str">
        <f t="shared" si="122"/>
        <v>https://m566.info/heuxmzt</v>
      </c>
      <c r="C616" s="1" t="str">
        <f>HYPERLINK("https://m566.info/heuxmzt","Rotwieller")</f>
        <v>Rotwieller</v>
      </c>
    </row>
    <row r="617">
      <c r="A617" s="1" t="str">
        <f t="shared" si="124"/>
        <v>Dog House Training</v>
      </c>
      <c r="B617" s="1" t="str">
        <f t="shared" si="122"/>
        <v>https://m566.info/heuxmzt</v>
      </c>
      <c r="C617" s="1" t="str">
        <f>HYPERLINK("https://m566.info/heuxmzt","Cross Bred")</f>
        <v>Cross Bred</v>
      </c>
    </row>
    <row r="618">
      <c r="A618" s="1" t="str">
        <f t="shared" si="124"/>
        <v>Dog House Training</v>
      </c>
      <c r="B618" s="1" t="str">
        <f t="shared" si="122"/>
        <v>https://m566.info/heuxmzt</v>
      </c>
      <c r="C618" s="1" t="str">
        <f>HYPERLINK("https://m566.info/heuxmzt","Rotweiller")</f>
        <v>Rotweiller</v>
      </c>
    </row>
    <row r="619">
      <c r="A619" s="1" t="str">
        <f t="shared" ref="A619:A624" si="125">HYPERLINK("https://m566.info/heuxmzt","Dog Behaviour Training")</f>
        <v>Dog Behaviour Training</v>
      </c>
      <c r="B619" s="1" t="str">
        <f t="shared" si="122"/>
        <v>https://m566.info/heuxmzt</v>
      </c>
      <c r="C619" s="1" t="str">
        <f>HYPERLINK("https://m566.info/heuxmzt","Doberman")</f>
        <v>Doberman</v>
      </c>
    </row>
    <row r="620">
      <c r="A620" s="1" t="str">
        <f t="shared" si="125"/>
        <v>Dog Behaviour Training</v>
      </c>
      <c r="B620" s="1" t="str">
        <f t="shared" si="122"/>
        <v>https://m566.info/heuxmzt</v>
      </c>
      <c r="C620" s="1" t="str">
        <f>HYPERLINK("https://m566.info/heuxmzt","German Shepherd")</f>
        <v>German Shepherd</v>
      </c>
    </row>
    <row r="621">
      <c r="A621" s="1" t="str">
        <f t="shared" si="125"/>
        <v>Dog Behaviour Training</v>
      </c>
      <c r="B621" s="1" t="str">
        <f t="shared" si="122"/>
        <v>https://m566.info/heuxmzt</v>
      </c>
      <c r="C621" s="1" t="str">
        <f>HYPERLINK("https://m566.info/heuxmzt","Border Clollie")</f>
        <v>Border Clollie</v>
      </c>
    </row>
    <row r="622">
      <c r="A622" s="1" t="str">
        <f t="shared" si="125"/>
        <v>Dog Behaviour Training</v>
      </c>
      <c r="B622" s="1" t="str">
        <f t="shared" si="122"/>
        <v>https://m566.info/heuxmzt</v>
      </c>
      <c r="C622" s="1" t="str">
        <f>HYPERLINK("https://m566.info/heuxmzt","Rotwieller")</f>
        <v>Rotwieller</v>
      </c>
    </row>
    <row r="623">
      <c r="A623" s="1" t="str">
        <f t="shared" si="125"/>
        <v>Dog Behaviour Training</v>
      </c>
      <c r="B623" s="1" t="str">
        <f t="shared" si="122"/>
        <v>https://m566.info/heuxmzt</v>
      </c>
      <c r="C623" s="1" t="str">
        <f>HYPERLINK("https://m566.info/heuxmzt","Cross Bred")</f>
        <v>Cross Bred</v>
      </c>
    </row>
    <row r="624">
      <c r="A624" s="1" t="str">
        <f t="shared" si="125"/>
        <v>Dog Behaviour Training</v>
      </c>
      <c r="B624" s="1" t="str">
        <f t="shared" si="122"/>
        <v>https://m566.info/heuxmzt</v>
      </c>
      <c r="C624" s="1" t="str">
        <f>HYPERLINK("https://m566.info/heuxmzt","Rotweiller")</f>
        <v>Rotweiller</v>
      </c>
    </row>
    <row r="625">
      <c r="A625" s="1" t="str">
        <f t="shared" ref="A625:A630" si="126">HYPERLINK("https://m566.info/heuxmzt","Dog : Elite Training")</f>
        <v>Dog : Elite Training</v>
      </c>
      <c r="B625" s="1" t="str">
        <f t="shared" si="122"/>
        <v>https://m566.info/heuxmzt</v>
      </c>
      <c r="C625" s="1" t="str">
        <f>HYPERLINK("https://m566.info/heuxmzt","Doberman")</f>
        <v>Doberman</v>
      </c>
    </row>
    <row r="626">
      <c r="A626" s="1" t="str">
        <f t="shared" si="126"/>
        <v>Dog : Elite Training</v>
      </c>
      <c r="B626" s="1" t="str">
        <f t="shared" si="122"/>
        <v>https://m566.info/heuxmzt</v>
      </c>
      <c r="C626" s="1" t="str">
        <f>HYPERLINK("https://m566.info/heuxmzt","German Shepherd")</f>
        <v>German Shepherd</v>
      </c>
    </row>
    <row r="627">
      <c r="A627" s="1" t="str">
        <f t="shared" si="126"/>
        <v>Dog : Elite Training</v>
      </c>
      <c r="B627" s="1" t="str">
        <f t="shared" si="122"/>
        <v>https://m566.info/heuxmzt</v>
      </c>
      <c r="C627" s="1" t="str">
        <f>HYPERLINK("https://m566.info/heuxmzt","Border Clollie")</f>
        <v>Border Clollie</v>
      </c>
    </row>
    <row r="628">
      <c r="A628" s="1" t="str">
        <f t="shared" si="126"/>
        <v>Dog : Elite Training</v>
      </c>
      <c r="B628" s="1" t="str">
        <f t="shared" si="122"/>
        <v>https://m566.info/heuxmzt</v>
      </c>
      <c r="C628" s="1" t="str">
        <f>HYPERLINK("https://m566.info/heuxmzt","Rotwieller")</f>
        <v>Rotwieller</v>
      </c>
    </row>
    <row r="629">
      <c r="A629" s="1" t="str">
        <f t="shared" si="126"/>
        <v>Dog : Elite Training</v>
      </c>
      <c r="B629" s="1" t="str">
        <f t="shared" si="122"/>
        <v>https://m566.info/heuxmzt</v>
      </c>
      <c r="C629" s="1" t="str">
        <f>HYPERLINK("https://m566.info/heuxmzt","Cross Bred")</f>
        <v>Cross Bred</v>
      </c>
    </row>
    <row r="630">
      <c r="A630" s="1" t="str">
        <f t="shared" si="126"/>
        <v>Dog : Elite Training</v>
      </c>
      <c r="B630" s="1" t="str">
        <f t="shared" si="122"/>
        <v>https://m566.info/heuxmzt</v>
      </c>
      <c r="C630" s="1" t="str">
        <f>HYPERLINK("https://m566.info/heuxmzt","Rotweiller")</f>
        <v>Rotweiller</v>
      </c>
    </row>
    <row r="631">
      <c r="A631" s="1" t="str">
        <f t="shared" ref="A631:A636" si="127">HYPERLINK("https://m566.info/fvjmr3b","Dog Aggression Training")</f>
        <v>Dog Aggression Training</v>
      </c>
      <c r="B631" s="1" t="str">
        <f t="shared" ref="B631:B660" si="128">HYPERLINK("https://m566.info/fvjmr3b","https://m566.info/fvjmr3b")</f>
        <v>https://m566.info/fvjmr3b</v>
      </c>
      <c r="C631" s="1" t="str">
        <f>HYPERLINK("https://m566.info/fvjmr3b","Doberman")</f>
        <v>Doberman</v>
      </c>
    </row>
    <row r="632">
      <c r="A632" s="1" t="str">
        <f t="shared" si="127"/>
        <v>Dog Aggression Training</v>
      </c>
      <c r="B632" s="1" t="str">
        <f t="shared" si="128"/>
        <v>https://m566.info/fvjmr3b</v>
      </c>
      <c r="C632" s="1" t="str">
        <f>HYPERLINK("https://m566.info/fvjmr3b","German Shepherd")</f>
        <v>German Shepherd</v>
      </c>
    </row>
    <row r="633">
      <c r="A633" s="1" t="str">
        <f t="shared" si="127"/>
        <v>Dog Aggression Training</v>
      </c>
      <c r="B633" s="1" t="str">
        <f t="shared" si="128"/>
        <v>https://m566.info/fvjmr3b</v>
      </c>
      <c r="C633" s="1" t="str">
        <f>HYPERLINK("https://m566.info/fvjmr3b","Border Clollie")</f>
        <v>Border Clollie</v>
      </c>
    </row>
    <row r="634">
      <c r="A634" s="1" t="str">
        <f t="shared" si="127"/>
        <v>Dog Aggression Training</v>
      </c>
      <c r="B634" s="1" t="str">
        <f t="shared" si="128"/>
        <v>https://m566.info/fvjmr3b</v>
      </c>
      <c r="C634" s="1" t="str">
        <f>HYPERLINK("https://m566.info/fvjmr3b","Rotwieller")</f>
        <v>Rotwieller</v>
      </c>
    </row>
    <row r="635">
      <c r="A635" s="1" t="str">
        <f t="shared" si="127"/>
        <v>Dog Aggression Training</v>
      </c>
      <c r="B635" s="1" t="str">
        <f t="shared" si="128"/>
        <v>https://m566.info/fvjmr3b</v>
      </c>
      <c r="C635" s="1" t="str">
        <f>HYPERLINK("https://m566.info/fvjmr3b","Cross Bred")</f>
        <v>Cross Bred</v>
      </c>
    </row>
    <row r="636">
      <c r="A636" s="1" t="str">
        <f t="shared" si="127"/>
        <v>Dog Aggression Training</v>
      </c>
      <c r="B636" s="1" t="str">
        <f t="shared" si="128"/>
        <v>https://m566.info/fvjmr3b</v>
      </c>
      <c r="C636" s="1" t="str">
        <f>HYPERLINK("https://m566.info/fvjmr3b","Rotweiller")</f>
        <v>Rotweiller</v>
      </c>
    </row>
    <row r="637">
      <c r="A637" s="1" t="str">
        <f t="shared" ref="A637:A642" si="129">HYPERLINK("https://m566.info/fvjmr3b","Dog Obedience Training")</f>
        <v>Dog Obedience Training</v>
      </c>
      <c r="B637" s="1" t="str">
        <f t="shared" si="128"/>
        <v>https://m566.info/fvjmr3b</v>
      </c>
      <c r="C637" s="1" t="str">
        <f>HYPERLINK("https://m566.info/fvjmr3b","Doberman")</f>
        <v>Doberman</v>
      </c>
    </row>
    <row r="638">
      <c r="A638" s="1" t="str">
        <f t="shared" si="129"/>
        <v>Dog Obedience Training</v>
      </c>
      <c r="B638" s="1" t="str">
        <f t="shared" si="128"/>
        <v>https://m566.info/fvjmr3b</v>
      </c>
      <c r="C638" s="1" t="str">
        <f>HYPERLINK("https://m566.info/fvjmr3b","German Shepherd")</f>
        <v>German Shepherd</v>
      </c>
    </row>
    <row r="639">
      <c r="A639" s="1" t="str">
        <f t="shared" si="129"/>
        <v>Dog Obedience Training</v>
      </c>
      <c r="B639" s="1" t="str">
        <f t="shared" si="128"/>
        <v>https://m566.info/fvjmr3b</v>
      </c>
      <c r="C639" s="1" t="str">
        <f>HYPERLINK("https://m566.info/fvjmr3b","Border Clollie")</f>
        <v>Border Clollie</v>
      </c>
    </row>
    <row r="640">
      <c r="A640" s="1" t="str">
        <f t="shared" si="129"/>
        <v>Dog Obedience Training</v>
      </c>
      <c r="B640" s="1" t="str">
        <f t="shared" si="128"/>
        <v>https://m566.info/fvjmr3b</v>
      </c>
      <c r="C640" s="1" t="str">
        <f>HYPERLINK("https://m566.info/fvjmr3b","Rotwieller")</f>
        <v>Rotwieller</v>
      </c>
    </row>
    <row r="641">
      <c r="A641" s="1" t="str">
        <f t="shared" si="129"/>
        <v>Dog Obedience Training</v>
      </c>
      <c r="B641" s="1" t="str">
        <f t="shared" si="128"/>
        <v>https://m566.info/fvjmr3b</v>
      </c>
      <c r="C641" s="1" t="str">
        <f>HYPERLINK("https://m566.info/fvjmr3b","Cross Bred")</f>
        <v>Cross Bred</v>
      </c>
    </row>
    <row r="642">
      <c r="A642" s="1" t="str">
        <f t="shared" si="129"/>
        <v>Dog Obedience Training</v>
      </c>
      <c r="B642" s="1" t="str">
        <f t="shared" si="128"/>
        <v>https://m566.info/fvjmr3b</v>
      </c>
      <c r="C642" s="1" t="str">
        <f>HYPERLINK("https://m566.info/fvjmr3b","Rotweiller")</f>
        <v>Rotweiller</v>
      </c>
    </row>
    <row r="643">
      <c r="A643" s="1" t="str">
        <f t="shared" ref="A643:A648" si="130">HYPERLINK("https://m566.info/fvjmr3b","Dog House Training")</f>
        <v>Dog House Training</v>
      </c>
      <c r="B643" s="1" t="str">
        <f t="shared" si="128"/>
        <v>https://m566.info/fvjmr3b</v>
      </c>
      <c r="C643" s="1" t="str">
        <f>HYPERLINK("https://m566.info/fvjmr3b","Doberman")</f>
        <v>Doberman</v>
      </c>
    </row>
    <row r="644">
      <c r="A644" s="1" t="str">
        <f t="shared" si="130"/>
        <v>Dog House Training</v>
      </c>
      <c r="B644" s="1" t="str">
        <f t="shared" si="128"/>
        <v>https://m566.info/fvjmr3b</v>
      </c>
      <c r="C644" s="1" t="str">
        <f>HYPERLINK("https://m566.info/fvjmr3b","German Shepherd")</f>
        <v>German Shepherd</v>
      </c>
    </row>
    <row r="645">
      <c r="A645" s="1" t="str">
        <f t="shared" si="130"/>
        <v>Dog House Training</v>
      </c>
      <c r="B645" s="1" t="str">
        <f t="shared" si="128"/>
        <v>https://m566.info/fvjmr3b</v>
      </c>
      <c r="C645" s="1" t="str">
        <f>HYPERLINK("https://m566.info/fvjmr3b","Border Clollie")</f>
        <v>Border Clollie</v>
      </c>
    </row>
    <row r="646">
      <c r="A646" s="1" t="str">
        <f t="shared" si="130"/>
        <v>Dog House Training</v>
      </c>
      <c r="B646" s="1" t="str">
        <f t="shared" si="128"/>
        <v>https://m566.info/fvjmr3b</v>
      </c>
      <c r="C646" s="1" t="str">
        <f>HYPERLINK("https://m566.info/fvjmr3b","Rotwieller")</f>
        <v>Rotwieller</v>
      </c>
    </row>
    <row r="647">
      <c r="A647" s="1" t="str">
        <f t="shared" si="130"/>
        <v>Dog House Training</v>
      </c>
      <c r="B647" s="1" t="str">
        <f t="shared" si="128"/>
        <v>https://m566.info/fvjmr3b</v>
      </c>
      <c r="C647" s="1" t="str">
        <f>HYPERLINK("https://m566.info/fvjmr3b","Cross Bred")</f>
        <v>Cross Bred</v>
      </c>
    </row>
    <row r="648">
      <c r="A648" s="1" t="str">
        <f t="shared" si="130"/>
        <v>Dog House Training</v>
      </c>
      <c r="B648" s="1" t="str">
        <f t="shared" si="128"/>
        <v>https://m566.info/fvjmr3b</v>
      </c>
      <c r="C648" s="1" t="str">
        <f>HYPERLINK("https://m566.info/fvjmr3b","Rotweiller")</f>
        <v>Rotweiller</v>
      </c>
    </row>
    <row r="649">
      <c r="A649" s="1" t="str">
        <f t="shared" ref="A649:A654" si="131">HYPERLINK("https://m566.info/fvjmr3b","Dog Behaviour Training")</f>
        <v>Dog Behaviour Training</v>
      </c>
      <c r="B649" s="1" t="str">
        <f t="shared" si="128"/>
        <v>https://m566.info/fvjmr3b</v>
      </c>
      <c r="C649" s="1" t="str">
        <f>HYPERLINK("https://m566.info/fvjmr3b","Doberman")</f>
        <v>Doberman</v>
      </c>
    </row>
    <row r="650">
      <c r="A650" s="1" t="str">
        <f t="shared" si="131"/>
        <v>Dog Behaviour Training</v>
      </c>
      <c r="B650" s="1" t="str">
        <f t="shared" si="128"/>
        <v>https://m566.info/fvjmr3b</v>
      </c>
      <c r="C650" s="1" t="str">
        <f>HYPERLINK("https://m566.info/fvjmr3b","German Shepherd")</f>
        <v>German Shepherd</v>
      </c>
    </row>
    <row r="651">
      <c r="A651" s="1" t="str">
        <f t="shared" si="131"/>
        <v>Dog Behaviour Training</v>
      </c>
      <c r="B651" s="1" t="str">
        <f t="shared" si="128"/>
        <v>https://m566.info/fvjmr3b</v>
      </c>
      <c r="C651" s="1" t="str">
        <f>HYPERLINK("https://m566.info/fvjmr3b","Border Clollie")</f>
        <v>Border Clollie</v>
      </c>
    </row>
    <row r="652">
      <c r="A652" s="1" t="str">
        <f t="shared" si="131"/>
        <v>Dog Behaviour Training</v>
      </c>
      <c r="B652" s="1" t="str">
        <f t="shared" si="128"/>
        <v>https://m566.info/fvjmr3b</v>
      </c>
      <c r="C652" s="1" t="str">
        <f>HYPERLINK("https://m566.info/fvjmr3b","Rotwieller")</f>
        <v>Rotwieller</v>
      </c>
    </row>
    <row r="653">
      <c r="A653" s="1" t="str">
        <f t="shared" si="131"/>
        <v>Dog Behaviour Training</v>
      </c>
      <c r="B653" s="1" t="str">
        <f t="shared" si="128"/>
        <v>https://m566.info/fvjmr3b</v>
      </c>
      <c r="C653" s="1" t="str">
        <f>HYPERLINK("https://m566.info/fvjmr3b","Cross Bred")</f>
        <v>Cross Bred</v>
      </c>
    </row>
    <row r="654">
      <c r="A654" s="1" t="str">
        <f t="shared" si="131"/>
        <v>Dog Behaviour Training</v>
      </c>
      <c r="B654" s="1" t="str">
        <f t="shared" si="128"/>
        <v>https://m566.info/fvjmr3b</v>
      </c>
      <c r="C654" s="1" t="str">
        <f>HYPERLINK("https://m566.info/fvjmr3b","Rotweiller")</f>
        <v>Rotweiller</v>
      </c>
    </row>
    <row r="655">
      <c r="A655" s="1" t="str">
        <f t="shared" ref="A655:A660" si="132">HYPERLINK("https://m566.info/fvjmr3b","Dog : Elite Training")</f>
        <v>Dog : Elite Training</v>
      </c>
      <c r="B655" s="1" t="str">
        <f t="shared" si="128"/>
        <v>https://m566.info/fvjmr3b</v>
      </c>
      <c r="C655" s="1" t="str">
        <f>HYPERLINK("https://m566.info/fvjmr3b","Doberman")</f>
        <v>Doberman</v>
      </c>
    </row>
    <row r="656">
      <c r="A656" s="1" t="str">
        <f t="shared" si="132"/>
        <v>Dog : Elite Training</v>
      </c>
      <c r="B656" s="1" t="str">
        <f t="shared" si="128"/>
        <v>https://m566.info/fvjmr3b</v>
      </c>
      <c r="C656" s="1" t="str">
        <f>HYPERLINK("https://m566.info/fvjmr3b","German Shepherd")</f>
        <v>German Shepherd</v>
      </c>
    </row>
    <row r="657">
      <c r="A657" s="1" t="str">
        <f t="shared" si="132"/>
        <v>Dog : Elite Training</v>
      </c>
      <c r="B657" s="1" t="str">
        <f t="shared" si="128"/>
        <v>https://m566.info/fvjmr3b</v>
      </c>
      <c r="C657" s="1" t="str">
        <f>HYPERLINK("https://m566.info/fvjmr3b","Border Clollie")</f>
        <v>Border Clollie</v>
      </c>
    </row>
    <row r="658">
      <c r="A658" s="1" t="str">
        <f t="shared" si="132"/>
        <v>Dog : Elite Training</v>
      </c>
      <c r="B658" s="1" t="str">
        <f t="shared" si="128"/>
        <v>https://m566.info/fvjmr3b</v>
      </c>
      <c r="C658" s="1" t="str">
        <f>HYPERLINK("https://m566.info/fvjmr3b","Rotwieller")</f>
        <v>Rotwieller</v>
      </c>
    </row>
    <row r="659">
      <c r="A659" s="1" t="str">
        <f t="shared" si="132"/>
        <v>Dog : Elite Training</v>
      </c>
      <c r="B659" s="1" t="str">
        <f t="shared" si="128"/>
        <v>https://m566.info/fvjmr3b</v>
      </c>
      <c r="C659" s="1" t="str">
        <f>HYPERLINK("https://m566.info/fvjmr3b","Cross Bred")</f>
        <v>Cross Bred</v>
      </c>
    </row>
    <row r="660">
      <c r="A660" s="1" t="str">
        <f t="shared" si="132"/>
        <v>Dog : Elite Training</v>
      </c>
      <c r="B660" s="1" t="str">
        <f t="shared" si="128"/>
        <v>https://m566.info/fvjmr3b</v>
      </c>
      <c r="C660" s="1" t="str">
        <f>HYPERLINK("https://m566.info/fvjmr3b","Rotweiller")</f>
        <v>Rotweiller</v>
      </c>
    </row>
    <row r="661">
      <c r="A661" s="1" t="str">
        <f t="shared" ref="A661:A666" si="133">HYPERLINK("https://m566.info/jyo5254","Dog Aggression Training")</f>
        <v>Dog Aggression Training</v>
      </c>
      <c r="B661" s="1" t="str">
        <f t="shared" ref="B661:B690" si="134">HYPERLINK("https://m566.info/jyo5254","https://m566.info/jyo5254")</f>
        <v>https://m566.info/jyo5254</v>
      </c>
      <c r="C661" s="1" t="str">
        <f>HYPERLINK("https://m566.info/jyo5254","Doberman")</f>
        <v>Doberman</v>
      </c>
    </row>
    <row r="662">
      <c r="A662" s="1" t="str">
        <f t="shared" si="133"/>
        <v>Dog Aggression Training</v>
      </c>
      <c r="B662" s="1" t="str">
        <f t="shared" si="134"/>
        <v>https://m566.info/jyo5254</v>
      </c>
      <c r="C662" s="1" t="str">
        <f>HYPERLINK("https://m566.info/jyo5254","German Shepherd")</f>
        <v>German Shepherd</v>
      </c>
    </row>
    <row r="663">
      <c r="A663" s="1" t="str">
        <f t="shared" si="133"/>
        <v>Dog Aggression Training</v>
      </c>
      <c r="B663" s="1" t="str">
        <f t="shared" si="134"/>
        <v>https://m566.info/jyo5254</v>
      </c>
      <c r="C663" s="1" t="str">
        <f>HYPERLINK("https://m566.info/jyo5254","Border Clollie")</f>
        <v>Border Clollie</v>
      </c>
    </row>
    <row r="664">
      <c r="A664" s="1" t="str">
        <f t="shared" si="133"/>
        <v>Dog Aggression Training</v>
      </c>
      <c r="B664" s="1" t="str">
        <f t="shared" si="134"/>
        <v>https://m566.info/jyo5254</v>
      </c>
      <c r="C664" s="1" t="str">
        <f>HYPERLINK("https://m566.info/jyo5254","Rotwieller")</f>
        <v>Rotwieller</v>
      </c>
    </row>
    <row r="665">
      <c r="A665" s="1" t="str">
        <f t="shared" si="133"/>
        <v>Dog Aggression Training</v>
      </c>
      <c r="B665" s="1" t="str">
        <f t="shared" si="134"/>
        <v>https://m566.info/jyo5254</v>
      </c>
      <c r="C665" s="1" t="str">
        <f>HYPERLINK("https://m566.info/jyo5254","Cross Bred")</f>
        <v>Cross Bred</v>
      </c>
    </row>
    <row r="666">
      <c r="A666" s="1" t="str">
        <f t="shared" si="133"/>
        <v>Dog Aggression Training</v>
      </c>
      <c r="B666" s="1" t="str">
        <f t="shared" si="134"/>
        <v>https://m566.info/jyo5254</v>
      </c>
      <c r="C666" s="1" t="str">
        <f>HYPERLINK("https://m566.info/jyo5254","Rotweiller")</f>
        <v>Rotweiller</v>
      </c>
    </row>
    <row r="667">
      <c r="A667" s="1" t="str">
        <f t="shared" ref="A667:A672" si="135">HYPERLINK("https://m566.info/jyo5254","Dog Obedience Training")</f>
        <v>Dog Obedience Training</v>
      </c>
      <c r="B667" s="1" t="str">
        <f t="shared" si="134"/>
        <v>https://m566.info/jyo5254</v>
      </c>
      <c r="C667" s="1" t="str">
        <f>HYPERLINK("https://m566.info/jyo5254","Doberman")</f>
        <v>Doberman</v>
      </c>
    </row>
    <row r="668">
      <c r="A668" s="1" t="str">
        <f t="shared" si="135"/>
        <v>Dog Obedience Training</v>
      </c>
      <c r="B668" s="1" t="str">
        <f t="shared" si="134"/>
        <v>https://m566.info/jyo5254</v>
      </c>
      <c r="C668" s="1" t="str">
        <f>HYPERLINK("https://m566.info/jyo5254","German Shepherd")</f>
        <v>German Shepherd</v>
      </c>
    </row>
    <row r="669">
      <c r="A669" s="1" t="str">
        <f t="shared" si="135"/>
        <v>Dog Obedience Training</v>
      </c>
      <c r="B669" s="1" t="str">
        <f t="shared" si="134"/>
        <v>https://m566.info/jyo5254</v>
      </c>
      <c r="C669" s="1" t="str">
        <f>HYPERLINK("https://m566.info/jyo5254","Border Clollie")</f>
        <v>Border Clollie</v>
      </c>
    </row>
    <row r="670">
      <c r="A670" s="1" t="str">
        <f t="shared" si="135"/>
        <v>Dog Obedience Training</v>
      </c>
      <c r="B670" s="1" t="str">
        <f t="shared" si="134"/>
        <v>https://m566.info/jyo5254</v>
      </c>
      <c r="C670" s="1" t="str">
        <f>HYPERLINK("https://m566.info/jyo5254","Rotwieller")</f>
        <v>Rotwieller</v>
      </c>
    </row>
    <row r="671">
      <c r="A671" s="1" t="str">
        <f t="shared" si="135"/>
        <v>Dog Obedience Training</v>
      </c>
      <c r="B671" s="1" t="str">
        <f t="shared" si="134"/>
        <v>https://m566.info/jyo5254</v>
      </c>
      <c r="C671" s="1" t="str">
        <f>HYPERLINK("https://m566.info/jyo5254","Cross Bred")</f>
        <v>Cross Bred</v>
      </c>
    </row>
    <row r="672">
      <c r="A672" s="1" t="str">
        <f t="shared" si="135"/>
        <v>Dog Obedience Training</v>
      </c>
      <c r="B672" s="1" t="str">
        <f t="shared" si="134"/>
        <v>https://m566.info/jyo5254</v>
      </c>
      <c r="C672" s="1" t="str">
        <f>HYPERLINK("https://m566.info/jyo5254","Rotweiller")</f>
        <v>Rotweiller</v>
      </c>
    </row>
    <row r="673">
      <c r="A673" s="1" t="str">
        <f t="shared" ref="A673:A678" si="136">HYPERLINK("https://m566.info/jyo5254","Dog House Training")</f>
        <v>Dog House Training</v>
      </c>
      <c r="B673" s="1" t="str">
        <f t="shared" si="134"/>
        <v>https://m566.info/jyo5254</v>
      </c>
      <c r="C673" s="1" t="str">
        <f>HYPERLINK("https://m566.info/jyo5254","Doberman")</f>
        <v>Doberman</v>
      </c>
    </row>
    <row r="674">
      <c r="A674" s="1" t="str">
        <f t="shared" si="136"/>
        <v>Dog House Training</v>
      </c>
      <c r="B674" s="1" t="str">
        <f t="shared" si="134"/>
        <v>https://m566.info/jyo5254</v>
      </c>
      <c r="C674" s="1" t="str">
        <f>HYPERLINK("https://m566.info/jyo5254","German Shepherd")</f>
        <v>German Shepherd</v>
      </c>
    </row>
    <row r="675">
      <c r="A675" s="1" t="str">
        <f t="shared" si="136"/>
        <v>Dog House Training</v>
      </c>
      <c r="B675" s="1" t="str">
        <f t="shared" si="134"/>
        <v>https://m566.info/jyo5254</v>
      </c>
      <c r="C675" s="1" t="str">
        <f>HYPERLINK("https://m566.info/jyo5254","Border Clollie")</f>
        <v>Border Clollie</v>
      </c>
    </row>
    <row r="676">
      <c r="A676" s="1" t="str">
        <f t="shared" si="136"/>
        <v>Dog House Training</v>
      </c>
      <c r="B676" s="1" t="str">
        <f t="shared" si="134"/>
        <v>https://m566.info/jyo5254</v>
      </c>
      <c r="C676" s="1" t="str">
        <f>HYPERLINK("https://m566.info/jyo5254","Rotwieller")</f>
        <v>Rotwieller</v>
      </c>
    </row>
    <row r="677">
      <c r="A677" s="1" t="str">
        <f t="shared" si="136"/>
        <v>Dog House Training</v>
      </c>
      <c r="B677" s="1" t="str">
        <f t="shared" si="134"/>
        <v>https://m566.info/jyo5254</v>
      </c>
      <c r="C677" s="1" t="str">
        <f>HYPERLINK("https://m566.info/jyo5254","Cross Bred")</f>
        <v>Cross Bred</v>
      </c>
    </row>
    <row r="678">
      <c r="A678" s="1" t="str">
        <f t="shared" si="136"/>
        <v>Dog House Training</v>
      </c>
      <c r="B678" s="1" t="str">
        <f t="shared" si="134"/>
        <v>https://m566.info/jyo5254</v>
      </c>
      <c r="C678" s="1" t="str">
        <f>HYPERLINK("https://m566.info/jyo5254","Rotweiller")</f>
        <v>Rotweiller</v>
      </c>
    </row>
    <row r="679">
      <c r="A679" s="1" t="str">
        <f t="shared" ref="A679:A684" si="137">HYPERLINK("https://m566.info/jyo5254","Dog Behaviour Training")</f>
        <v>Dog Behaviour Training</v>
      </c>
      <c r="B679" s="1" t="str">
        <f t="shared" si="134"/>
        <v>https://m566.info/jyo5254</v>
      </c>
      <c r="C679" s="1" t="str">
        <f>HYPERLINK("https://m566.info/jyo5254","Doberman")</f>
        <v>Doberman</v>
      </c>
    </row>
    <row r="680">
      <c r="A680" s="1" t="str">
        <f t="shared" si="137"/>
        <v>Dog Behaviour Training</v>
      </c>
      <c r="B680" s="1" t="str">
        <f t="shared" si="134"/>
        <v>https://m566.info/jyo5254</v>
      </c>
      <c r="C680" s="1" t="str">
        <f>HYPERLINK("https://m566.info/jyo5254","German Shepherd")</f>
        <v>German Shepherd</v>
      </c>
    </row>
    <row r="681">
      <c r="A681" s="1" t="str">
        <f t="shared" si="137"/>
        <v>Dog Behaviour Training</v>
      </c>
      <c r="B681" s="1" t="str">
        <f t="shared" si="134"/>
        <v>https://m566.info/jyo5254</v>
      </c>
      <c r="C681" s="1" t="str">
        <f>HYPERLINK("https://m566.info/jyo5254","Border Clollie")</f>
        <v>Border Clollie</v>
      </c>
    </row>
    <row r="682">
      <c r="A682" s="1" t="str">
        <f t="shared" si="137"/>
        <v>Dog Behaviour Training</v>
      </c>
      <c r="B682" s="1" t="str">
        <f t="shared" si="134"/>
        <v>https://m566.info/jyo5254</v>
      </c>
      <c r="C682" s="1" t="str">
        <f>HYPERLINK("https://m566.info/jyo5254","Rotwieller")</f>
        <v>Rotwieller</v>
      </c>
    </row>
    <row r="683">
      <c r="A683" s="1" t="str">
        <f t="shared" si="137"/>
        <v>Dog Behaviour Training</v>
      </c>
      <c r="B683" s="1" t="str">
        <f t="shared" si="134"/>
        <v>https://m566.info/jyo5254</v>
      </c>
      <c r="C683" s="1" t="str">
        <f>HYPERLINK("https://m566.info/jyo5254","Cross Bred")</f>
        <v>Cross Bred</v>
      </c>
    </row>
    <row r="684">
      <c r="A684" s="1" t="str">
        <f t="shared" si="137"/>
        <v>Dog Behaviour Training</v>
      </c>
      <c r="B684" s="1" t="str">
        <f t="shared" si="134"/>
        <v>https://m566.info/jyo5254</v>
      </c>
      <c r="C684" s="1" t="str">
        <f>HYPERLINK("https://m566.info/jyo5254","Rotweiller")</f>
        <v>Rotweiller</v>
      </c>
    </row>
    <row r="685">
      <c r="A685" s="1" t="str">
        <f t="shared" ref="A685:A690" si="138">HYPERLINK("https://m566.info/jyo5254","Dog : Elite Training")</f>
        <v>Dog : Elite Training</v>
      </c>
      <c r="B685" s="1" t="str">
        <f t="shared" si="134"/>
        <v>https://m566.info/jyo5254</v>
      </c>
      <c r="C685" s="1" t="str">
        <f>HYPERLINK("https://m566.info/jyo5254","Doberman")</f>
        <v>Doberman</v>
      </c>
    </row>
    <row r="686">
      <c r="A686" s="1" t="str">
        <f t="shared" si="138"/>
        <v>Dog : Elite Training</v>
      </c>
      <c r="B686" s="1" t="str">
        <f t="shared" si="134"/>
        <v>https://m566.info/jyo5254</v>
      </c>
      <c r="C686" s="1" t="str">
        <f>HYPERLINK("https://m566.info/jyo5254","German Shepherd")</f>
        <v>German Shepherd</v>
      </c>
    </row>
    <row r="687">
      <c r="A687" s="1" t="str">
        <f t="shared" si="138"/>
        <v>Dog : Elite Training</v>
      </c>
      <c r="B687" s="1" t="str">
        <f t="shared" si="134"/>
        <v>https://m566.info/jyo5254</v>
      </c>
      <c r="C687" s="1" t="str">
        <f>HYPERLINK("https://m566.info/jyo5254","Border Clollie")</f>
        <v>Border Clollie</v>
      </c>
    </row>
    <row r="688">
      <c r="A688" s="1" t="str">
        <f t="shared" si="138"/>
        <v>Dog : Elite Training</v>
      </c>
      <c r="B688" s="1" t="str">
        <f t="shared" si="134"/>
        <v>https://m566.info/jyo5254</v>
      </c>
      <c r="C688" s="1" t="str">
        <f>HYPERLINK("https://m566.info/jyo5254","Rotwieller")</f>
        <v>Rotwieller</v>
      </c>
    </row>
    <row r="689">
      <c r="A689" s="1" t="str">
        <f t="shared" si="138"/>
        <v>Dog : Elite Training</v>
      </c>
      <c r="B689" s="1" t="str">
        <f t="shared" si="134"/>
        <v>https://m566.info/jyo5254</v>
      </c>
      <c r="C689" s="1" t="str">
        <f>HYPERLINK("https://m566.info/jyo5254","Cross Bred")</f>
        <v>Cross Bred</v>
      </c>
    </row>
    <row r="690">
      <c r="A690" s="1" t="str">
        <f t="shared" si="138"/>
        <v>Dog : Elite Training</v>
      </c>
      <c r="B690" s="1" t="str">
        <f t="shared" si="134"/>
        <v>https://m566.info/jyo5254</v>
      </c>
      <c r="C690" s="1" t="str">
        <f>HYPERLINK("https://m566.info/jyo5254","Rotweiller")</f>
        <v>Rotweiller</v>
      </c>
    </row>
    <row r="691">
      <c r="A691" s="1" t="str">
        <f t="shared" ref="A691:A696" si="139">HYPERLINK("https://m566.info/i8bwfm0","Dog Aggression Training")</f>
        <v>Dog Aggression Training</v>
      </c>
      <c r="B691" s="1" t="str">
        <f t="shared" ref="B691:B720" si="140">HYPERLINK("https://m566.info/i8bwfm0","https://m566.info/i8bwfm0")</f>
        <v>https://m566.info/i8bwfm0</v>
      </c>
      <c r="C691" s="1" t="str">
        <f>HYPERLINK("https://m566.info/i8bwfm0","Doberman")</f>
        <v>Doberman</v>
      </c>
    </row>
    <row r="692">
      <c r="A692" s="1" t="str">
        <f t="shared" si="139"/>
        <v>Dog Aggression Training</v>
      </c>
      <c r="B692" s="1" t="str">
        <f t="shared" si="140"/>
        <v>https://m566.info/i8bwfm0</v>
      </c>
      <c r="C692" s="1" t="str">
        <f>HYPERLINK("https://m566.info/i8bwfm0","German Shepherd")</f>
        <v>German Shepherd</v>
      </c>
    </row>
    <row r="693">
      <c r="A693" s="1" t="str">
        <f t="shared" si="139"/>
        <v>Dog Aggression Training</v>
      </c>
      <c r="B693" s="1" t="str">
        <f t="shared" si="140"/>
        <v>https://m566.info/i8bwfm0</v>
      </c>
      <c r="C693" s="1" t="str">
        <f>HYPERLINK("https://m566.info/i8bwfm0","Border Clollie")</f>
        <v>Border Clollie</v>
      </c>
    </row>
    <row r="694">
      <c r="A694" s="1" t="str">
        <f t="shared" si="139"/>
        <v>Dog Aggression Training</v>
      </c>
      <c r="B694" s="1" t="str">
        <f t="shared" si="140"/>
        <v>https://m566.info/i8bwfm0</v>
      </c>
      <c r="C694" s="1" t="str">
        <f>HYPERLINK("https://m566.info/i8bwfm0","Rotwieller")</f>
        <v>Rotwieller</v>
      </c>
    </row>
    <row r="695">
      <c r="A695" s="1" t="str">
        <f t="shared" si="139"/>
        <v>Dog Aggression Training</v>
      </c>
      <c r="B695" s="1" t="str">
        <f t="shared" si="140"/>
        <v>https://m566.info/i8bwfm0</v>
      </c>
      <c r="C695" s="1" t="str">
        <f>HYPERLINK("https://m566.info/i8bwfm0","Cross Bred")</f>
        <v>Cross Bred</v>
      </c>
    </row>
    <row r="696">
      <c r="A696" s="1" t="str">
        <f t="shared" si="139"/>
        <v>Dog Aggression Training</v>
      </c>
      <c r="B696" s="1" t="str">
        <f t="shared" si="140"/>
        <v>https://m566.info/i8bwfm0</v>
      </c>
      <c r="C696" s="1" t="str">
        <f>HYPERLINK("https://m566.info/i8bwfm0","Rotweiller")</f>
        <v>Rotweiller</v>
      </c>
    </row>
    <row r="697">
      <c r="A697" s="1" t="str">
        <f t="shared" ref="A697:A702" si="141">HYPERLINK("https://m566.info/i8bwfm0","Dog Obedience Training")</f>
        <v>Dog Obedience Training</v>
      </c>
      <c r="B697" s="1" t="str">
        <f t="shared" si="140"/>
        <v>https://m566.info/i8bwfm0</v>
      </c>
      <c r="C697" s="1" t="str">
        <f>HYPERLINK("https://m566.info/i8bwfm0","Doberman")</f>
        <v>Doberman</v>
      </c>
    </row>
    <row r="698">
      <c r="A698" s="1" t="str">
        <f t="shared" si="141"/>
        <v>Dog Obedience Training</v>
      </c>
      <c r="B698" s="1" t="str">
        <f t="shared" si="140"/>
        <v>https://m566.info/i8bwfm0</v>
      </c>
      <c r="C698" s="1" t="str">
        <f>HYPERLINK("https://m566.info/i8bwfm0","German Shepherd")</f>
        <v>German Shepherd</v>
      </c>
    </row>
    <row r="699">
      <c r="A699" s="1" t="str">
        <f t="shared" si="141"/>
        <v>Dog Obedience Training</v>
      </c>
      <c r="B699" s="1" t="str">
        <f t="shared" si="140"/>
        <v>https://m566.info/i8bwfm0</v>
      </c>
      <c r="C699" s="1" t="str">
        <f>HYPERLINK("https://m566.info/i8bwfm0","Border Clollie")</f>
        <v>Border Clollie</v>
      </c>
    </row>
    <row r="700">
      <c r="A700" s="1" t="str">
        <f t="shared" si="141"/>
        <v>Dog Obedience Training</v>
      </c>
      <c r="B700" s="1" t="str">
        <f t="shared" si="140"/>
        <v>https://m566.info/i8bwfm0</v>
      </c>
      <c r="C700" s="1" t="str">
        <f>HYPERLINK("https://m566.info/i8bwfm0","Rotwieller")</f>
        <v>Rotwieller</v>
      </c>
    </row>
    <row r="701">
      <c r="A701" s="1" t="str">
        <f t="shared" si="141"/>
        <v>Dog Obedience Training</v>
      </c>
      <c r="B701" s="1" t="str">
        <f t="shared" si="140"/>
        <v>https://m566.info/i8bwfm0</v>
      </c>
      <c r="C701" s="1" t="str">
        <f>HYPERLINK("https://m566.info/i8bwfm0","Cross Bred")</f>
        <v>Cross Bred</v>
      </c>
    </row>
    <row r="702">
      <c r="A702" s="1" t="str">
        <f t="shared" si="141"/>
        <v>Dog Obedience Training</v>
      </c>
      <c r="B702" s="1" t="str">
        <f t="shared" si="140"/>
        <v>https://m566.info/i8bwfm0</v>
      </c>
      <c r="C702" s="1" t="str">
        <f>HYPERLINK("https://m566.info/i8bwfm0","Rotweiller")</f>
        <v>Rotweiller</v>
      </c>
    </row>
    <row r="703">
      <c r="A703" s="1" t="str">
        <f t="shared" ref="A703:A708" si="142">HYPERLINK("https://m566.info/i8bwfm0","Dog House Training")</f>
        <v>Dog House Training</v>
      </c>
      <c r="B703" s="1" t="str">
        <f t="shared" si="140"/>
        <v>https://m566.info/i8bwfm0</v>
      </c>
      <c r="C703" s="1" t="str">
        <f>HYPERLINK("https://m566.info/i8bwfm0","Doberman")</f>
        <v>Doberman</v>
      </c>
    </row>
    <row r="704">
      <c r="A704" s="1" t="str">
        <f t="shared" si="142"/>
        <v>Dog House Training</v>
      </c>
      <c r="B704" s="1" t="str">
        <f t="shared" si="140"/>
        <v>https://m566.info/i8bwfm0</v>
      </c>
      <c r="C704" s="1" t="str">
        <f>HYPERLINK("https://m566.info/i8bwfm0","German Shepherd")</f>
        <v>German Shepherd</v>
      </c>
    </row>
    <row r="705">
      <c r="A705" s="1" t="str">
        <f t="shared" si="142"/>
        <v>Dog House Training</v>
      </c>
      <c r="B705" s="1" t="str">
        <f t="shared" si="140"/>
        <v>https://m566.info/i8bwfm0</v>
      </c>
      <c r="C705" s="1" t="str">
        <f>HYPERLINK("https://m566.info/i8bwfm0","Border Clollie")</f>
        <v>Border Clollie</v>
      </c>
    </row>
    <row r="706">
      <c r="A706" s="1" t="str">
        <f t="shared" si="142"/>
        <v>Dog House Training</v>
      </c>
      <c r="B706" s="1" t="str">
        <f t="shared" si="140"/>
        <v>https://m566.info/i8bwfm0</v>
      </c>
      <c r="C706" s="1" t="str">
        <f>HYPERLINK("https://m566.info/i8bwfm0","Rotwieller")</f>
        <v>Rotwieller</v>
      </c>
    </row>
    <row r="707">
      <c r="A707" s="1" t="str">
        <f t="shared" si="142"/>
        <v>Dog House Training</v>
      </c>
      <c r="B707" s="1" t="str">
        <f t="shared" si="140"/>
        <v>https://m566.info/i8bwfm0</v>
      </c>
      <c r="C707" s="1" t="str">
        <f>HYPERLINK("https://m566.info/i8bwfm0","Cross Bred")</f>
        <v>Cross Bred</v>
      </c>
    </row>
    <row r="708">
      <c r="A708" s="1" t="str">
        <f t="shared" si="142"/>
        <v>Dog House Training</v>
      </c>
      <c r="B708" s="1" t="str">
        <f t="shared" si="140"/>
        <v>https://m566.info/i8bwfm0</v>
      </c>
      <c r="C708" s="1" t="str">
        <f>HYPERLINK("https://m566.info/i8bwfm0","Rotweiller")</f>
        <v>Rotweiller</v>
      </c>
    </row>
    <row r="709">
      <c r="A709" s="1" t="str">
        <f t="shared" ref="A709:A714" si="143">HYPERLINK("https://m566.info/i8bwfm0","Dog Behaviour Training")</f>
        <v>Dog Behaviour Training</v>
      </c>
      <c r="B709" s="1" t="str">
        <f t="shared" si="140"/>
        <v>https://m566.info/i8bwfm0</v>
      </c>
      <c r="C709" s="1" t="str">
        <f>HYPERLINK("https://m566.info/i8bwfm0","Doberman")</f>
        <v>Doberman</v>
      </c>
    </row>
    <row r="710">
      <c r="A710" s="1" t="str">
        <f t="shared" si="143"/>
        <v>Dog Behaviour Training</v>
      </c>
      <c r="B710" s="1" t="str">
        <f t="shared" si="140"/>
        <v>https://m566.info/i8bwfm0</v>
      </c>
      <c r="C710" s="1" t="str">
        <f>HYPERLINK("https://m566.info/i8bwfm0","German Shepherd")</f>
        <v>German Shepherd</v>
      </c>
    </row>
    <row r="711">
      <c r="A711" s="1" t="str">
        <f t="shared" si="143"/>
        <v>Dog Behaviour Training</v>
      </c>
      <c r="B711" s="1" t="str">
        <f t="shared" si="140"/>
        <v>https://m566.info/i8bwfm0</v>
      </c>
      <c r="C711" s="1" t="str">
        <f>HYPERLINK("https://m566.info/i8bwfm0","Border Clollie")</f>
        <v>Border Clollie</v>
      </c>
    </row>
    <row r="712">
      <c r="A712" s="1" t="str">
        <f t="shared" si="143"/>
        <v>Dog Behaviour Training</v>
      </c>
      <c r="B712" s="1" t="str">
        <f t="shared" si="140"/>
        <v>https://m566.info/i8bwfm0</v>
      </c>
      <c r="C712" s="1" t="str">
        <f>HYPERLINK("https://m566.info/i8bwfm0","Rotwieller")</f>
        <v>Rotwieller</v>
      </c>
    </row>
    <row r="713">
      <c r="A713" s="1" t="str">
        <f t="shared" si="143"/>
        <v>Dog Behaviour Training</v>
      </c>
      <c r="B713" s="1" t="str">
        <f t="shared" si="140"/>
        <v>https://m566.info/i8bwfm0</v>
      </c>
      <c r="C713" s="1" t="str">
        <f>HYPERLINK("https://m566.info/i8bwfm0","Cross Bred")</f>
        <v>Cross Bred</v>
      </c>
    </row>
    <row r="714">
      <c r="A714" s="1" t="str">
        <f t="shared" si="143"/>
        <v>Dog Behaviour Training</v>
      </c>
      <c r="B714" s="1" t="str">
        <f t="shared" si="140"/>
        <v>https://m566.info/i8bwfm0</v>
      </c>
      <c r="C714" s="1" t="str">
        <f>HYPERLINK("https://m566.info/i8bwfm0","Rotweiller")</f>
        <v>Rotweiller</v>
      </c>
    </row>
    <row r="715">
      <c r="A715" s="1" t="str">
        <f t="shared" ref="A715:A720" si="144">HYPERLINK("https://m566.info/i8bwfm0","Dog : Elite Training")</f>
        <v>Dog : Elite Training</v>
      </c>
      <c r="B715" s="1" t="str">
        <f t="shared" si="140"/>
        <v>https://m566.info/i8bwfm0</v>
      </c>
      <c r="C715" s="1" t="str">
        <f>HYPERLINK("https://m566.info/i8bwfm0","Doberman")</f>
        <v>Doberman</v>
      </c>
    </row>
    <row r="716">
      <c r="A716" s="1" t="str">
        <f t="shared" si="144"/>
        <v>Dog : Elite Training</v>
      </c>
      <c r="B716" s="1" t="str">
        <f t="shared" si="140"/>
        <v>https://m566.info/i8bwfm0</v>
      </c>
      <c r="C716" s="1" t="str">
        <f>HYPERLINK("https://m566.info/i8bwfm0","German Shepherd")</f>
        <v>German Shepherd</v>
      </c>
    </row>
    <row r="717">
      <c r="A717" s="1" t="str">
        <f t="shared" si="144"/>
        <v>Dog : Elite Training</v>
      </c>
      <c r="B717" s="1" t="str">
        <f t="shared" si="140"/>
        <v>https://m566.info/i8bwfm0</v>
      </c>
      <c r="C717" s="1" t="str">
        <f>HYPERLINK("https://m566.info/i8bwfm0","Border Clollie")</f>
        <v>Border Clollie</v>
      </c>
    </row>
    <row r="718">
      <c r="A718" s="1" t="str">
        <f t="shared" si="144"/>
        <v>Dog : Elite Training</v>
      </c>
      <c r="B718" s="1" t="str">
        <f t="shared" si="140"/>
        <v>https://m566.info/i8bwfm0</v>
      </c>
      <c r="C718" s="1" t="str">
        <f>HYPERLINK("https://m566.info/i8bwfm0","Rotwieller")</f>
        <v>Rotwieller</v>
      </c>
    </row>
    <row r="719">
      <c r="A719" s="1" t="str">
        <f t="shared" si="144"/>
        <v>Dog : Elite Training</v>
      </c>
      <c r="B719" s="1" t="str">
        <f t="shared" si="140"/>
        <v>https://m566.info/i8bwfm0</v>
      </c>
      <c r="C719" s="1" t="str">
        <f>HYPERLINK("https://m566.info/i8bwfm0","Cross Bred")</f>
        <v>Cross Bred</v>
      </c>
    </row>
    <row r="720">
      <c r="A720" s="1" t="str">
        <f t="shared" si="144"/>
        <v>Dog : Elite Training</v>
      </c>
      <c r="B720" s="1" t="str">
        <f t="shared" si="140"/>
        <v>https://m566.info/i8bwfm0</v>
      </c>
      <c r="C720" s="1" t="str">
        <f>HYPERLINK("https://m566.info/i8bwfm0","Rotweiller")</f>
        <v>Rotweiller</v>
      </c>
    </row>
    <row r="721">
      <c r="A721" s="1" t="str">
        <f t="shared" ref="A721:A726" si="145">HYPERLINK("https://m566.info/fh3u4jg","Dog Aggression Training")</f>
        <v>Dog Aggression Training</v>
      </c>
      <c r="B721" s="1" t="str">
        <f t="shared" ref="B721:B750" si="146">HYPERLINK("https://m566.info/fh3u4jg","https://m566.info/fh3u4jg")</f>
        <v>https://m566.info/fh3u4jg</v>
      </c>
      <c r="C721" s="1" t="str">
        <f>HYPERLINK("https://m566.info/fh3u4jg","Doberman")</f>
        <v>Doberman</v>
      </c>
    </row>
    <row r="722">
      <c r="A722" s="1" t="str">
        <f t="shared" si="145"/>
        <v>Dog Aggression Training</v>
      </c>
      <c r="B722" s="1" t="str">
        <f t="shared" si="146"/>
        <v>https://m566.info/fh3u4jg</v>
      </c>
      <c r="C722" s="1" t="str">
        <f>HYPERLINK("https://m566.info/fh3u4jg","German Shepherd")</f>
        <v>German Shepherd</v>
      </c>
    </row>
    <row r="723">
      <c r="A723" s="1" t="str">
        <f t="shared" si="145"/>
        <v>Dog Aggression Training</v>
      </c>
      <c r="B723" s="1" t="str">
        <f t="shared" si="146"/>
        <v>https://m566.info/fh3u4jg</v>
      </c>
      <c r="C723" s="1" t="str">
        <f>HYPERLINK("https://m566.info/fh3u4jg","Border Clollie")</f>
        <v>Border Clollie</v>
      </c>
    </row>
    <row r="724">
      <c r="A724" s="1" t="str">
        <f t="shared" si="145"/>
        <v>Dog Aggression Training</v>
      </c>
      <c r="B724" s="1" t="str">
        <f t="shared" si="146"/>
        <v>https://m566.info/fh3u4jg</v>
      </c>
      <c r="C724" s="1" t="str">
        <f>HYPERLINK("https://m566.info/fh3u4jg","Rotwieller")</f>
        <v>Rotwieller</v>
      </c>
    </row>
    <row r="725">
      <c r="A725" s="1" t="str">
        <f t="shared" si="145"/>
        <v>Dog Aggression Training</v>
      </c>
      <c r="B725" s="1" t="str">
        <f t="shared" si="146"/>
        <v>https://m566.info/fh3u4jg</v>
      </c>
      <c r="C725" s="1" t="str">
        <f>HYPERLINK("https://m566.info/fh3u4jg","Cross Bred")</f>
        <v>Cross Bred</v>
      </c>
    </row>
    <row r="726">
      <c r="A726" s="1" t="str">
        <f t="shared" si="145"/>
        <v>Dog Aggression Training</v>
      </c>
      <c r="B726" s="1" t="str">
        <f t="shared" si="146"/>
        <v>https://m566.info/fh3u4jg</v>
      </c>
      <c r="C726" s="1" t="str">
        <f>HYPERLINK("https://m566.info/fh3u4jg","Rotweiller")</f>
        <v>Rotweiller</v>
      </c>
    </row>
    <row r="727">
      <c r="A727" s="1" t="str">
        <f t="shared" ref="A727:A732" si="147">HYPERLINK("https://m566.info/fh3u4jg","Dog Obedience Training")</f>
        <v>Dog Obedience Training</v>
      </c>
      <c r="B727" s="1" t="str">
        <f t="shared" si="146"/>
        <v>https://m566.info/fh3u4jg</v>
      </c>
      <c r="C727" s="1" t="str">
        <f>HYPERLINK("https://m566.info/fh3u4jg","Doberman")</f>
        <v>Doberman</v>
      </c>
    </row>
    <row r="728">
      <c r="A728" s="1" t="str">
        <f t="shared" si="147"/>
        <v>Dog Obedience Training</v>
      </c>
      <c r="B728" s="1" t="str">
        <f t="shared" si="146"/>
        <v>https://m566.info/fh3u4jg</v>
      </c>
      <c r="C728" s="1" t="str">
        <f>HYPERLINK("https://m566.info/fh3u4jg","German Shepherd")</f>
        <v>German Shepherd</v>
      </c>
    </row>
    <row r="729">
      <c r="A729" s="1" t="str">
        <f t="shared" si="147"/>
        <v>Dog Obedience Training</v>
      </c>
      <c r="B729" s="1" t="str">
        <f t="shared" si="146"/>
        <v>https://m566.info/fh3u4jg</v>
      </c>
      <c r="C729" s="1" t="str">
        <f>HYPERLINK("https://m566.info/fh3u4jg","Border Clollie")</f>
        <v>Border Clollie</v>
      </c>
    </row>
    <row r="730">
      <c r="A730" s="1" t="str">
        <f t="shared" si="147"/>
        <v>Dog Obedience Training</v>
      </c>
      <c r="B730" s="1" t="str">
        <f t="shared" si="146"/>
        <v>https://m566.info/fh3u4jg</v>
      </c>
      <c r="C730" s="1" t="str">
        <f>HYPERLINK("https://m566.info/fh3u4jg","Rotwieller")</f>
        <v>Rotwieller</v>
      </c>
    </row>
    <row r="731">
      <c r="A731" s="1" t="str">
        <f t="shared" si="147"/>
        <v>Dog Obedience Training</v>
      </c>
      <c r="B731" s="1" t="str">
        <f t="shared" si="146"/>
        <v>https://m566.info/fh3u4jg</v>
      </c>
      <c r="C731" s="1" t="str">
        <f>HYPERLINK("https://m566.info/fh3u4jg","Cross Bred")</f>
        <v>Cross Bred</v>
      </c>
    </row>
    <row r="732">
      <c r="A732" s="1" t="str">
        <f t="shared" si="147"/>
        <v>Dog Obedience Training</v>
      </c>
      <c r="B732" s="1" t="str">
        <f t="shared" si="146"/>
        <v>https://m566.info/fh3u4jg</v>
      </c>
      <c r="C732" s="1" t="str">
        <f>HYPERLINK("https://m566.info/fh3u4jg","Rotweiller")</f>
        <v>Rotweiller</v>
      </c>
    </row>
    <row r="733">
      <c r="A733" s="1" t="str">
        <f t="shared" ref="A733:A738" si="148">HYPERLINK("https://m566.info/fh3u4jg","Dog House Training")</f>
        <v>Dog House Training</v>
      </c>
      <c r="B733" s="1" t="str">
        <f t="shared" si="146"/>
        <v>https://m566.info/fh3u4jg</v>
      </c>
      <c r="C733" s="1" t="str">
        <f>HYPERLINK("https://m566.info/fh3u4jg","Doberman")</f>
        <v>Doberman</v>
      </c>
    </row>
    <row r="734">
      <c r="A734" s="1" t="str">
        <f t="shared" si="148"/>
        <v>Dog House Training</v>
      </c>
      <c r="B734" s="1" t="str">
        <f t="shared" si="146"/>
        <v>https://m566.info/fh3u4jg</v>
      </c>
      <c r="C734" s="1" t="str">
        <f>HYPERLINK("https://m566.info/fh3u4jg","German Shepherd")</f>
        <v>German Shepherd</v>
      </c>
    </row>
    <row r="735">
      <c r="A735" s="1" t="str">
        <f t="shared" si="148"/>
        <v>Dog House Training</v>
      </c>
      <c r="B735" s="1" t="str">
        <f t="shared" si="146"/>
        <v>https://m566.info/fh3u4jg</v>
      </c>
      <c r="C735" s="1" t="str">
        <f>HYPERLINK("https://m566.info/fh3u4jg","Border Clollie")</f>
        <v>Border Clollie</v>
      </c>
    </row>
    <row r="736">
      <c r="A736" s="1" t="str">
        <f t="shared" si="148"/>
        <v>Dog House Training</v>
      </c>
      <c r="B736" s="1" t="str">
        <f t="shared" si="146"/>
        <v>https://m566.info/fh3u4jg</v>
      </c>
      <c r="C736" s="1" t="str">
        <f>HYPERLINK("https://m566.info/fh3u4jg","Rotwieller")</f>
        <v>Rotwieller</v>
      </c>
    </row>
    <row r="737">
      <c r="A737" s="1" t="str">
        <f t="shared" si="148"/>
        <v>Dog House Training</v>
      </c>
      <c r="B737" s="1" t="str">
        <f t="shared" si="146"/>
        <v>https://m566.info/fh3u4jg</v>
      </c>
      <c r="C737" s="1" t="str">
        <f>HYPERLINK("https://m566.info/fh3u4jg","Cross Bred")</f>
        <v>Cross Bred</v>
      </c>
    </row>
    <row r="738">
      <c r="A738" s="1" t="str">
        <f t="shared" si="148"/>
        <v>Dog House Training</v>
      </c>
      <c r="B738" s="1" t="str">
        <f t="shared" si="146"/>
        <v>https://m566.info/fh3u4jg</v>
      </c>
      <c r="C738" s="1" t="str">
        <f>HYPERLINK("https://m566.info/fh3u4jg","Rotweiller")</f>
        <v>Rotweiller</v>
      </c>
    </row>
    <row r="739">
      <c r="A739" s="1" t="str">
        <f t="shared" ref="A739:A744" si="149">HYPERLINK("https://m566.info/fh3u4jg","Dog Behaviour Training")</f>
        <v>Dog Behaviour Training</v>
      </c>
      <c r="B739" s="1" t="str">
        <f t="shared" si="146"/>
        <v>https://m566.info/fh3u4jg</v>
      </c>
      <c r="C739" s="1" t="str">
        <f>HYPERLINK("https://m566.info/fh3u4jg","Doberman")</f>
        <v>Doberman</v>
      </c>
    </row>
    <row r="740">
      <c r="A740" s="1" t="str">
        <f t="shared" si="149"/>
        <v>Dog Behaviour Training</v>
      </c>
      <c r="B740" s="1" t="str">
        <f t="shared" si="146"/>
        <v>https://m566.info/fh3u4jg</v>
      </c>
      <c r="C740" s="1" t="str">
        <f>HYPERLINK("https://m566.info/fh3u4jg","German Shepherd")</f>
        <v>German Shepherd</v>
      </c>
    </row>
    <row r="741">
      <c r="A741" s="1" t="str">
        <f t="shared" si="149"/>
        <v>Dog Behaviour Training</v>
      </c>
      <c r="B741" s="1" t="str">
        <f t="shared" si="146"/>
        <v>https://m566.info/fh3u4jg</v>
      </c>
      <c r="C741" s="1" t="str">
        <f>HYPERLINK("https://m566.info/fh3u4jg","Border Clollie")</f>
        <v>Border Clollie</v>
      </c>
    </row>
    <row r="742">
      <c r="A742" s="1" t="str">
        <f t="shared" si="149"/>
        <v>Dog Behaviour Training</v>
      </c>
      <c r="B742" s="1" t="str">
        <f t="shared" si="146"/>
        <v>https://m566.info/fh3u4jg</v>
      </c>
      <c r="C742" s="1" t="str">
        <f>HYPERLINK("https://m566.info/fh3u4jg","Rotwieller")</f>
        <v>Rotwieller</v>
      </c>
    </row>
    <row r="743">
      <c r="A743" s="1" t="str">
        <f t="shared" si="149"/>
        <v>Dog Behaviour Training</v>
      </c>
      <c r="B743" s="1" t="str">
        <f t="shared" si="146"/>
        <v>https://m566.info/fh3u4jg</v>
      </c>
      <c r="C743" s="1" t="str">
        <f>HYPERLINK("https://m566.info/fh3u4jg","Cross Bred")</f>
        <v>Cross Bred</v>
      </c>
    </row>
    <row r="744">
      <c r="A744" s="1" t="str">
        <f t="shared" si="149"/>
        <v>Dog Behaviour Training</v>
      </c>
      <c r="B744" s="1" t="str">
        <f t="shared" si="146"/>
        <v>https://m566.info/fh3u4jg</v>
      </c>
      <c r="C744" s="1" t="str">
        <f>HYPERLINK("https://m566.info/fh3u4jg","Rotweiller")</f>
        <v>Rotweiller</v>
      </c>
    </row>
    <row r="745">
      <c r="A745" s="1" t="str">
        <f t="shared" ref="A745:A750" si="150">HYPERLINK("https://m566.info/fh3u4jg","Dog : Elite Training")</f>
        <v>Dog : Elite Training</v>
      </c>
      <c r="B745" s="1" t="str">
        <f t="shared" si="146"/>
        <v>https://m566.info/fh3u4jg</v>
      </c>
      <c r="C745" s="1" t="str">
        <f>HYPERLINK("https://m566.info/fh3u4jg","Doberman")</f>
        <v>Doberman</v>
      </c>
    </row>
    <row r="746">
      <c r="A746" s="1" t="str">
        <f t="shared" si="150"/>
        <v>Dog : Elite Training</v>
      </c>
      <c r="B746" s="1" t="str">
        <f t="shared" si="146"/>
        <v>https://m566.info/fh3u4jg</v>
      </c>
      <c r="C746" s="1" t="str">
        <f>HYPERLINK("https://m566.info/fh3u4jg","German Shepherd")</f>
        <v>German Shepherd</v>
      </c>
    </row>
    <row r="747">
      <c r="A747" s="1" t="str">
        <f t="shared" si="150"/>
        <v>Dog : Elite Training</v>
      </c>
      <c r="B747" s="1" t="str">
        <f t="shared" si="146"/>
        <v>https://m566.info/fh3u4jg</v>
      </c>
      <c r="C747" s="1" t="str">
        <f>HYPERLINK("https://m566.info/fh3u4jg","Border Clollie")</f>
        <v>Border Clollie</v>
      </c>
    </row>
    <row r="748">
      <c r="A748" s="1" t="str">
        <f t="shared" si="150"/>
        <v>Dog : Elite Training</v>
      </c>
      <c r="B748" s="1" t="str">
        <f t="shared" si="146"/>
        <v>https://m566.info/fh3u4jg</v>
      </c>
      <c r="C748" s="1" t="str">
        <f>HYPERLINK("https://m566.info/fh3u4jg","Rotwieller")</f>
        <v>Rotwieller</v>
      </c>
    </row>
    <row r="749">
      <c r="A749" s="1" t="str">
        <f t="shared" si="150"/>
        <v>Dog : Elite Training</v>
      </c>
      <c r="B749" s="1" t="str">
        <f t="shared" si="146"/>
        <v>https://m566.info/fh3u4jg</v>
      </c>
      <c r="C749" s="1" t="str">
        <f>HYPERLINK("https://m566.info/fh3u4jg","Cross Bred")</f>
        <v>Cross Bred</v>
      </c>
    </row>
    <row r="750">
      <c r="A750" s="1" t="str">
        <f t="shared" si="150"/>
        <v>Dog : Elite Training</v>
      </c>
      <c r="B750" s="1" t="str">
        <f t="shared" si="146"/>
        <v>https://m566.info/fh3u4jg</v>
      </c>
      <c r="C750" s="1" t="str">
        <f>HYPERLINK("https://m566.info/fh3u4jg","Rotweiller")</f>
        <v>Rotweiller</v>
      </c>
    </row>
    <row r="751">
      <c r="A751" s="1" t="str">
        <f t="shared" ref="A751:A756" si="151">HYPERLINK("https://m566.info/siqdzvt","Dog Aggression Training")</f>
        <v>Dog Aggression Training</v>
      </c>
      <c r="B751" s="1" t="str">
        <f t="shared" ref="B751:B780" si="152">HYPERLINK("https://m566.info/siqdzvt","https://m566.info/siqdzvt")</f>
        <v>https://m566.info/siqdzvt</v>
      </c>
      <c r="C751" s="1" t="str">
        <f>HYPERLINK("https://m566.info/siqdzvt","Doberman")</f>
        <v>Doberman</v>
      </c>
    </row>
    <row r="752">
      <c r="A752" s="1" t="str">
        <f t="shared" si="151"/>
        <v>Dog Aggression Training</v>
      </c>
      <c r="B752" s="1" t="str">
        <f t="shared" si="152"/>
        <v>https://m566.info/siqdzvt</v>
      </c>
      <c r="C752" s="1" t="str">
        <f>HYPERLINK("https://m566.info/siqdzvt","German Shepherd")</f>
        <v>German Shepherd</v>
      </c>
    </row>
    <row r="753">
      <c r="A753" s="1" t="str">
        <f t="shared" si="151"/>
        <v>Dog Aggression Training</v>
      </c>
      <c r="B753" s="1" t="str">
        <f t="shared" si="152"/>
        <v>https://m566.info/siqdzvt</v>
      </c>
      <c r="C753" s="1" t="str">
        <f>HYPERLINK("https://m566.info/siqdzvt","Border Clollie")</f>
        <v>Border Clollie</v>
      </c>
    </row>
    <row r="754">
      <c r="A754" s="1" t="str">
        <f t="shared" si="151"/>
        <v>Dog Aggression Training</v>
      </c>
      <c r="B754" s="1" t="str">
        <f t="shared" si="152"/>
        <v>https://m566.info/siqdzvt</v>
      </c>
      <c r="C754" s="1" t="str">
        <f>HYPERLINK("https://m566.info/siqdzvt","Rotwieller")</f>
        <v>Rotwieller</v>
      </c>
    </row>
    <row r="755">
      <c r="A755" s="1" t="str">
        <f t="shared" si="151"/>
        <v>Dog Aggression Training</v>
      </c>
      <c r="B755" s="1" t="str">
        <f t="shared" si="152"/>
        <v>https://m566.info/siqdzvt</v>
      </c>
      <c r="C755" s="1" t="str">
        <f>HYPERLINK("https://m566.info/siqdzvt","Cross Bred")</f>
        <v>Cross Bred</v>
      </c>
    </row>
    <row r="756">
      <c r="A756" s="1" t="str">
        <f t="shared" si="151"/>
        <v>Dog Aggression Training</v>
      </c>
      <c r="B756" s="1" t="str">
        <f t="shared" si="152"/>
        <v>https://m566.info/siqdzvt</v>
      </c>
      <c r="C756" s="1" t="str">
        <f>HYPERLINK("https://m566.info/siqdzvt","Rotweiller")</f>
        <v>Rotweiller</v>
      </c>
    </row>
    <row r="757">
      <c r="A757" s="1" t="str">
        <f t="shared" ref="A757:A762" si="153">HYPERLINK("https://m566.info/siqdzvt","Dog Obedience Training")</f>
        <v>Dog Obedience Training</v>
      </c>
      <c r="B757" s="1" t="str">
        <f t="shared" si="152"/>
        <v>https://m566.info/siqdzvt</v>
      </c>
      <c r="C757" s="1" t="str">
        <f>HYPERLINK("https://m566.info/siqdzvt","Doberman")</f>
        <v>Doberman</v>
      </c>
    </row>
    <row r="758">
      <c r="A758" s="1" t="str">
        <f t="shared" si="153"/>
        <v>Dog Obedience Training</v>
      </c>
      <c r="B758" s="1" t="str">
        <f t="shared" si="152"/>
        <v>https://m566.info/siqdzvt</v>
      </c>
      <c r="C758" s="1" t="str">
        <f>HYPERLINK("https://m566.info/siqdzvt","German Shepherd")</f>
        <v>German Shepherd</v>
      </c>
    </row>
    <row r="759">
      <c r="A759" s="1" t="str">
        <f t="shared" si="153"/>
        <v>Dog Obedience Training</v>
      </c>
      <c r="B759" s="1" t="str">
        <f t="shared" si="152"/>
        <v>https://m566.info/siqdzvt</v>
      </c>
      <c r="C759" s="1" t="str">
        <f>HYPERLINK("https://m566.info/siqdzvt","Border Clollie")</f>
        <v>Border Clollie</v>
      </c>
    </row>
    <row r="760">
      <c r="A760" s="1" t="str">
        <f t="shared" si="153"/>
        <v>Dog Obedience Training</v>
      </c>
      <c r="B760" s="1" t="str">
        <f t="shared" si="152"/>
        <v>https://m566.info/siqdzvt</v>
      </c>
      <c r="C760" s="1" t="str">
        <f>HYPERLINK("https://m566.info/siqdzvt","Rotwieller")</f>
        <v>Rotwieller</v>
      </c>
    </row>
    <row r="761">
      <c r="A761" s="1" t="str">
        <f t="shared" si="153"/>
        <v>Dog Obedience Training</v>
      </c>
      <c r="B761" s="1" t="str">
        <f t="shared" si="152"/>
        <v>https://m566.info/siqdzvt</v>
      </c>
      <c r="C761" s="1" t="str">
        <f>HYPERLINK("https://m566.info/siqdzvt","Cross Bred")</f>
        <v>Cross Bred</v>
      </c>
    </row>
    <row r="762">
      <c r="A762" s="1" t="str">
        <f t="shared" si="153"/>
        <v>Dog Obedience Training</v>
      </c>
      <c r="B762" s="1" t="str">
        <f t="shared" si="152"/>
        <v>https://m566.info/siqdzvt</v>
      </c>
      <c r="C762" s="1" t="str">
        <f>HYPERLINK("https://m566.info/siqdzvt","Rotweiller")</f>
        <v>Rotweiller</v>
      </c>
    </row>
    <row r="763">
      <c r="A763" s="1" t="str">
        <f t="shared" ref="A763:A768" si="154">HYPERLINK("https://m566.info/siqdzvt","Dog House Training")</f>
        <v>Dog House Training</v>
      </c>
      <c r="B763" s="1" t="str">
        <f t="shared" si="152"/>
        <v>https://m566.info/siqdzvt</v>
      </c>
      <c r="C763" s="1" t="str">
        <f>HYPERLINK("https://m566.info/siqdzvt","Doberman")</f>
        <v>Doberman</v>
      </c>
    </row>
    <row r="764">
      <c r="A764" s="1" t="str">
        <f t="shared" si="154"/>
        <v>Dog House Training</v>
      </c>
      <c r="B764" s="1" t="str">
        <f t="shared" si="152"/>
        <v>https://m566.info/siqdzvt</v>
      </c>
      <c r="C764" s="1" t="str">
        <f>HYPERLINK("https://m566.info/siqdzvt","German Shepherd")</f>
        <v>German Shepherd</v>
      </c>
    </row>
    <row r="765">
      <c r="A765" s="1" t="str">
        <f t="shared" si="154"/>
        <v>Dog House Training</v>
      </c>
      <c r="B765" s="1" t="str">
        <f t="shared" si="152"/>
        <v>https://m566.info/siqdzvt</v>
      </c>
      <c r="C765" s="1" t="str">
        <f>HYPERLINK("https://m566.info/siqdzvt","Border Clollie")</f>
        <v>Border Clollie</v>
      </c>
    </row>
    <row r="766">
      <c r="A766" s="1" t="str">
        <f t="shared" si="154"/>
        <v>Dog House Training</v>
      </c>
      <c r="B766" s="1" t="str">
        <f t="shared" si="152"/>
        <v>https://m566.info/siqdzvt</v>
      </c>
      <c r="C766" s="1" t="str">
        <f>HYPERLINK("https://m566.info/siqdzvt","Rotwieller")</f>
        <v>Rotwieller</v>
      </c>
    </row>
    <row r="767">
      <c r="A767" s="1" t="str">
        <f t="shared" si="154"/>
        <v>Dog House Training</v>
      </c>
      <c r="B767" s="1" t="str">
        <f t="shared" si="152"/>
        <v>https://m566.info/siqdzvt</v>
      </c>
      <c r="C767" s="1" t="str">
        <f>HYPERLINK("https://m566.info/siqdzvt","Cross Bred")</f>
        <v>Cross Bred</v>
      </c>
    </row>
    <row r="768">
      <c r="A768" s="1" t="str">
        <f t="shared" si="154"/>
        <v>Dog House Training</v>
      </c>
      <c r="B768" s="1" t="str">
        <f t="shared" si="152"/>
        <v>https://m566.info/siqdzvt</v>
      </c>
      <c r="C768" s="1" t="str">
        <f>HYPERLINK("https://m566.info/siqdzvt","Rotweiller")</f>
        <v>Rotweiller</v>
      </c>
    </row>
    <row r="769">
      <c r="A769" s="1" t="str">
        <f t="shared" ref="A769:A774" si="155">HYPERLINK("https://m566.info/siqdzvt","Dog Behaviour Training")</f>
        <v>Dog Behaviour Training</v>
      </c>
      <c r="B769" s="1" t="str">
        <f t="shared" si="152"/>
        <v>https://m566.info/siqdzvt</v>
      </c>
      <c r="C769" s="1" t="str">
        <f>HYPERLINK("https://m566.info/siqdzvt","Doberman")</f>
        <v>Doberman</v>
      </c>
    </row>
    <row r="770">
      <c r="A770" s="1" t="str">
        <f t="shared" si="155"/>
        <v>Dog Behaviour Training</v>
      </c>
      <c r="B770" s="1" t="str">
        <f t="shared" si="152"/>
        <v>https://m566.info/siqdzvt</v>
      </c>
      <c r="C770" s="1" t="str">
        <f>HYPERLINK("https://m566.info/siqdzvt","German Shepherd")</f>
        <v>German Shepherd</v>
      </c>
    </row>
    <row r="771">
      <c r="A771" s="1" t="str">
        <f t="shared" si="155"/>
        <v>Dog Behaviour Training</v>
      </c>
      <c r="B771" s="1" t="str">
        <f t="shared" si="152"/>
        <v>https://m566.info/siqdzvt</v>
      </c>
      <c r="C771" s="1" t="str">
        <f>HYPERLINK("https://m566.info/siqdzvt","Border Clollie")</f>
        <v>Border Clollie</v>
      </c>
    </row>
    <row r="772">
      <c r="A772" s="1" t="str">
        <f t="shared" si="155"/>
        <v>Dog Behaviour Training</v>
      </c>
      <c r="B772" s="1" t="str">
        <f t="shared" si="152"/>
        <v>https://m566.info/siqdzvt</v>
      </c>
      <c r="C772" s="1" t="str">
        <f>HYPERLINK("https://m566.info/siqdzvt","Rotwieller")</f>
        <v>Rotwieller</v>
      </c>
    </row>
    <row r="773">
      <c r="A773" s="1" t="str">
        <f t="shared" si="155"/>
        <v>Dog Behaviour Training</v>
      </c>
      <c r="B773" s="1" t="str">
        <f t="shared" si="152"/>
        <v>https://m566.info/siqdzvt</v>
      </c>
      <c r="C773" s="1" t="str">
        <f>HYPERLINK("https://m566.info/siqdzvt","Cross Bred")</f>
        <v>Cross Bred</v>
      </c>
    </row>
    <row r="774">
      <c r="A774" s="1" t="str">
        <f t="shared" si="155"/>
        <v>Dog Behaviour Training</v>
      </c>
      <c r="B774" s="1" t="str">
        <f t="shared" si="152"/>
        <v>https://m566.info/siqdzvt</v>
      </c>
      <c r="C774" s="1" t="str">
        <f>HYPERLINK("https://m566.info/siqdzvt","Rotweiller")</f>
        <v>Rotweiller</v>
      </c>
    </row>
    <row r="775">
      <c r="A775" s="1" t="str">
        <f t="shared" ref="A775:A780" si="156">HYPERLINK("https://m566.info/siqdzvt","Dog : Elite Training")</f>
        <v>Dog : Elite Training</v>
      </c>
      <c r="B775" s="1" t="str">
        <f t="shared" si="152"/>
        <v>https://m566.info/siqdzvt</v>
      </c>
      <c r="C775" s="1" t="str">
        <f>HYPERLINK("https://m566.info/siqdzvt","Doberman")</f>
        <v>Doberman</v>
      </c>
    </row>
    <row r="776">
      <c r="A776" s="1" t="str">
        <f t="shared" si="156"/>
        <v>Dog : Elite Training</v>
      </c>
      <c r="B776" s="1" t="str">
        <f t="shared" si="152"/>
        <v>https://m566.info/siqdzvt</v>
      </c>
      <c r="C776" s="1" t="str">
        <f>HYPERLINK("https://m566.info/siqdzvt","German Shepherd")</f>
        <v>German Shepherd</v>
      </c>
    </row>
    <row r="777">
      <c r="A777" s="1" t="str">
        <f t="shared" si="156"/>
        <v>Dog : Elite Training</v>
      </c>
      <c r="B777" s="1" t="str">
        <f t="shared" si="152"/>
        <v>https://m566.info/siqdzvt</v>
      </c>
      <c r="C777" s="1" t="str">
        <f>HYPERLINK("https://m566.info/siqdzvt","Border Clollie")</f>
        <v>Border Clollie</v>
      </c>
    </row>
    <row r="778">
      <c r="A778" s="1" t="str">
        <f t="shared" si="156"/>
        <v>Dog : Elite Training</v>
      </c>
      <c r="B778" s="1" t="str">
        <f t="shared" si="152"/>
        <v>https://m566.info/siqdzvt</v>
      </c>
      <c r="C778" s="1" t="str">
        <f>HYPERLINK("https://m566.info/siqdzvt","Rotwieller")</f>
        <v>Rotwieller</v>
      </c>
    </row>
    <row r="779">
      <c r="A779" s="1" t="str">
        <f t="shared" si="156"/>
        <v>Dog : Elite Training</v>
      </c>
      <c r="B779" s="1" t="str">
        <f t="shared" si="152"/>
        <v>https://m566.info/siqdzvt</v>
      </c>
      <c r="C779" s="1" t="str">
        <f>HYPERLINK("https://m566.info/siqdzvt","Cross Bred")</f>
        <v>Cross Bred</v>
      </c>
    </row>
    <row r="780">
      <c r="A780" s="1" t="str">
        <f t="shared" si="156"/>
        <v>Dog : Elite Training</v>
      </c>
      <c r="B780" s="1" t="str">
        <f t="shared" si="152"/>
        <v>https://m566.info/siqdzvt</v>
      </c>
      <c r="C780" s="1" t="str">
        <f>HYPERLINK("https://m566.info/siqdzvt","Rotweiller")</f>
        <v>Rotweiller</v>
      </c>
    </row>
    <row r="781">
      <c r="A781" s="1" t="str">
        <f t="shared" ref="A781:A786" si="157">HYPERLINK("https://m566.info/n4mttss","Dog Aggression Training")</f>
        <v>Dog Aggression Training</v>
      </c>
      <c r="B781" s="1" t="str">
        <f t="shared" ref="B781:B810" si="158">HYPERLINK("https://m566.info/n4mttss","https://m566.info/n4mttss")</f>
        <v>https://m566.info/n4mttss</v>
      </c>
      <c r="C781" s="1" t="str">
        <f>HYPERLINK("https://m566.info/n4mttss","Doberman")</f>
        <v>Doberman</v>
      </c>
    </row>
    <row r="782">
      <c r="A782" s="1" t="str">
        <f t="shared" si="157"/>
        <v>Dog Aggression Training</v>
      </c>
      <c r="B782" s="1" t="str">
        <f t="shared" si="158"/>
        <v>https://m566.info/n4mttss</v>
      </c>
      <c r="C782" s="1" t="str">
        <f>HYPERLINK("https://m566.info/n4mttss","German Shepherd")</f>
        <v>German Shepherd</v>
      </c>
    </row>
    <row r="783">
      <c r="A783" s="1" t="str">
        <f t="shared" si="157"/>
        <v>Dog Aggression Training</v>
      </c>
      <c r="B783" s="1" t="str">
        <f t="shared" si="158"/>
        <v>https://m566.info/n4mttss</v>
      </c>
      <c r="C783" s="1" t="str">
        <f>HYPERLINK("https://m566.info/n4mttss","Border Clollie")</f>
        <v>Border Clollie</v>
      </c>
    </row>
    <row r="784">
      <c r="A784" s="1" t="str">
        <f t="shared" si="157"/>
        <v>Dog Aggression Training</v>
      </c>
      <c r="B784" s="1" t="str">
        <f t="shared" si="158"/>
        <v>https://m566.info/n4mttss</v>
      </c>
      <c r="C784" s="1" t="str">
        <f>HYPERLINK("https://m566.info/n4mttss","Rotwieller")</f>
        <v>Rotwieller</v>
      </c>
    </row>
    <row r="785">
      <c r="A785" s="1" t="str">
        <f t="shared" si="157"/>
        <v>Dog Aggression Training</v>
      </c>
      <c r="B785" s="1" t="str">
        <f t="shared" si="158"/>
        <v>https://m566.info/n4mttss</v>
      </c>
      <c r="C785" s="1" t="str">
        <f>HYPERLINK("https://m566.info/n4mttss","Cross Bred")</f>
        <v>Cross Bred</v>
      </c>
    </row>
    <row r="786">
      <c r="A786" s="1" t="str">
        <f t="shared" si="157"/>
        <v>Dog Aggression Training</v>
      </c>
      <c r="B786" s="1" t="str">
        <f t="shared" si="158"/>
        <v>https://m566.info/n4mttss</v>
      </c>
      <c r="C786" s="1" t="str">
        <f>HYPERLINK("https://m566.info/n4mttss","Rotweiller")</f>
        <v>Rotweiller</v>
      </c>
    </row>
    <row r="787">
      <c r="A787" s="1" t="str">
        <f t="shared" ref="A787:A792" si="159">HYPERLINK("https://m566.info/n4mttss","Dog Obedience Training")</f>
        <v>Dog Obedience Training</v>
      </c>
      <c r="B787" s="1" t="str">
        <f t="shared" si="158"/>
        <v>https://m566.info/n4mttss</v>
      </c>
      <c r="C787" s="1" t="str">
        <f>HYPERLINK("https://m566.info/n4mttss","Doberman")</f>
        <v>Doberman</v>
      </c>
    </row>
    <row r="788">
      <c r="A788" s="1" t="str">
        <f t="shared" si="159"/>
        <v>Dog Obedience Training</v>
      </c>
      <c r="B788" s="1" t="str">
        <f t="shared" si="158"/>
        <v>https://m566.info/n4mttss</v>
      </c>
      <c r="C788" s="1" t="str">
        <f>HYPERLINK("https://m566.info/n4mttss","German Shepherd")</f>
        <v>German Shepherd</v>
      </c>
    </row>
    <row r="789">
      <c r="A789" s="1" t="str">
        <f t="shared" si="159"/>
        <v>Dog Obedience Training</v>
      </c>
      <c r="B789" s="1" t="str">
        <f t="shared" si="158"/>
        <v>https://m566.info/n4mttss</v>
      </c>
      <c r="C789" s="1" t="str">
        <f>HYPERLINK("https://m566.info/n4mttss","Border Clollie")</f>
        <v>Border Clollie</v>
      </c>
    </row>
    <row r="790">
      <c r="A790" s="1" t="str">
        <f t="shared" si="159"/>
        <v>Dog Obedience Training</v>
      </c>
      <c r="B790" s="1" t="str">
        <f t="shared" si="158"/>
        <v>https://m566.info/n4mttss</v>
      </c>
      <c r="C790" s="1" t="str">
        <f>HYPERLINK("https://m566.info/n4mttss","Rotwieller")</f>
        <v>Rotwieller</v>
      </c>
    </row>
    <row r="791">
      <c r="A791" s="1" t="str">
        <f t="shared" si="159"/>
        <v>Dog Obedience Training</v>
      </c>
      <c r="B791" s="1" t="str">
        <f t="shared" si="158"/>
        <v>https://m566.info/n4mttss</v>
      </c>
      <c r="C791" s="1" t="str">
        <f>HYPERLINK("https://m566.info/n4mttss","Cross Bred")</f>
        <v>Cross Bred</v>
      </c>
    </row>
    <row r="792">
      <c r="A792" s="1" t="str">
        <f t="shared" si="159"/>
        <v>Dog Obedience Training</v>
      </c>
      <c r="B792" s="1" t="str">
        <f t="shared" si="158"/>
        <v>https://m566.info/n4mttss</v>
      </c>
      <c r="C792" s="1" t="str">
        <f>HYPERLINK("https://m566.info/n4mttss","Rotweiller")</f>
        <v>Rotweiller</v>
      </c>
    </row>
    <row r="793">
      <c r="A793" s="1" t="str">
        <f t="shared" ref="A793:A798" si="160">HYPERLINK("https://m566.info/n4mttss","Dog House Training")</f>
        <v>Dog House Training</v>
      </c>
      <c r="B793" s="1" t="str">
        <f t="shared" si="158"/>
        <v>https://m566.info/n4mttss</v>
      </c>
      <c r="C793" s="1" t="str">
        <f>HYPERLINK("https://m566.info/n4mttss","Doberman")</f>
        <v>Doberman</v>
      </c>
    </row>
    <row r="794">
      <c r="A794" s="1" t="str">
        <f t="shared" si="160"/>
        <v>Dog House Training</v>
      </c>
      <c r="B794" s="1" t="str">
        <f t="shared" si="158"/>
        <v>https://m566.info/n4mttss</v>
      </c>
      <c r="C794" s="1" t="str">
        <f>HYPERLINK("https://m566.info/n4mttss","German Shepherd")</f>
        <v>German Shepherd</v>
      </c>
    </row>
    <row r="795">
      <c r="A795" s="1" t="str">
        <f t="shared" si="160"/>
        <v>Dog House Training</v>
      </c>
      <c r="B795" s="1" t="str">
        <f t="shared" si="158"/>
        <v>https://m566.info/n4mttss</v>
      </c>
      <c r="C795" s="1" t="str">
        <f>HYPERLINK("https://m566.info/n4mttss","Border Clollie")</f>
        <v>Border Clollie</v>
      </c>
    </row>
    <row r="796">
      <c r="A796" s="1" t="str">
        <f t="shared" si="160"/>
        <v>Dog House Training</v>
      </c>
      <c r="B796" s="1" t="str">
        <f t="shared" si="158"/>
        <v>https://m566.info/n4mttss</v>
      </c>
      <c r="C796" s="1" t="str">
        <f>HYPERLINK("https://m566.info/n4mttss","Rotwieller")</f>
        <v>Rotwieller</v>
      </c>
    </row>
    <row r="797">
      <c r="A797" s="1" t="str">
        <f t="shared" si="160"/>
        <v>Dog House Training</v>
      </c>
      <c r="B797" s="1" t="str">
        <f t="shared" si="158"/>
        <v>https://m566.info/n4mttss</v>
      </c>
      <c r="C797" s="1" t="str">
        <f>HYPERLINK("https://m566.info/n4mttss","Cross Bred")</f>
        <v>Cross Bred</v>
      </c>
    </row>
    <row r="798">
      <c r="A798" s="1" t="str">
        <f t="shared" si="160"/>
        <v>Dog House Training</v>
      </c>
      <c r="B798" s="1" t="str">
        <f t="shared" si="158"/>
        <v>https://m566.info/n4mttss</v>
      </c>
      <c r="C798" s="1" t="str">
        <f>HYPERLINK("https://m566.info/n4mttss","Rotweiller")</f>
        <v>Rotweiller</v>
      </c>
    </row>
    <row r="799">
      <c r="A799" s="1" t="str">
        <f t="shared" ref="A799:A804" si="161">HYPERLINK("https://m566.info/n4mttss","Dog Behaviour Training")</f>
        <v>Dog Behaviour Training</v>
      </c>
      <c r="B799" s="1" t="str">
        <f t="shared" si="158"/>
        <v>https://m566.info/n4mttss</v>
      </c>
      <c r="C799" s="1" t="str">
        <f>HYPERLINK("https://m566.info/n4mttss","Doberman")</f>
        <v>Doberman</v>
      </c>
    </row>
    <row r="800">
      <c r="A800" s="1" t="str">
        <f t="shared" si="161"/>
        <v>Dog Behaviour Training</v>
      </c>
      <c r="B800" s="1" t="str">
        <f t="shared" si="158"/>
        <v>https://m566.info/n4mttss</v>
      </c>
      <c r="C800" s="1" t="str">
        <f>HYPERLINK("https://m566.info/n4mttss","German Shepherd")</f>
        <v>German Shepherd</v>
      </c>
    </row>
    <row r="801">
      <c r="A801" s="1" t="str">
        <f t="shared" si="161"/>
        <v>Dog Behaviour Training</v>
      </c>
      <c r="B801" s="1" t="str">
        <f t="shared" si="158"/>
        <v>https://m566.info/n4mttss</v>
      </c>
      <c r="C801" s="1" t="str">
        <f>HYPERLINK("https://m566.info/n4mttss","Border Clollie")</f>
        <v>Border Clollie</v>
      </c>
    </row>
    <row r="802">
      <c r="A802" s="1" t="str">
        <f t="shared" si="161"/>
        <v>Dog Behaviour Training</v>
      </c>
      <c r="B802" s="1" t="str">
        <f t="shared" si="158"/>
        <v>https://m566.info/n4mttss</v>
      </c>
      <c r="C802" s="1" t="str">
        <f>HYPERLINK("https://m566.info/n4mttss","Rotwieller")</f>
        <v>Rotwieller</v>
      </c>
    </row>
    <row r="803">
      <c r="A803" s="1" t="str">
        <f t="shared" si="161"/>
        <v>Dog Behaviour Training</v>
      </c>
      <c r="B803" s="1" t="str">
        <f t="shared" si="158"/>
        <v>https://m566.info/n4mttss</v>
      </c>
      <c r="C803" s="1" t="str">
        <f>HYPERLINK("https://m566.info/n4mttss","Cross Bred")</f>
        <v>Cross Bred</v>
      </c>
    </row>
    <row r="804">
      <c r="A804" s="1" t="str">
        <f t="shared" si="161"/>
        <v>Dog Behaviour Training</v>
      </c>
      <c r="B804" s="1" t="str">
        <f t="shared" si="158"/>
        <v>https://m566.info/n4mttss</v>
      </c>
      <c r="C804" s="1" t="str">
        <f>HYPERLINK("https://m566.info/n4mttss","Rotweiller")</f>
        <v>Rotweiller</v>
      </c>
    </row>
    <row r="805">
      <c r="A805" s="1" t="str">
        <f t="shared" ref="A805:A810" si="162">HYPERLINK("https://m566.info/n4mttss","Dog : Elite Training")</f>
        <v>Dog : Elite Training</v>
      </c>
      <c r="B805" s="1" t="str">
        <f t="shared" si="158"/>
        <v>https://m566.info/n4mttss</v>
      </c>
      <c r="C805" s="1" t="str">
        <f>HYPERLINK("https://m566.info/n4mttss","Doberman")</f>
        <v>Doberman</v>
      </c>
    </row>
    <row r="806">
      <c r="A806" s="1" t="str">
        <f t="shared" si="162"/>
        <v>Dog : Elite Training</v>
      </c>
      <c r="B806" s="1" t="str">
        <f t="shared" si="158"/>
        <v>https://m566.info/n4mttss</v>
      </c>
      <c r="C806" s="1" t="str">
        <f>HYPERLINK("https://m566.info/n4mttss","German Shepherd")</f>
        <v>German Shepherd</v>
      </c>
    </row>
    <row r="807">
      <c r="A807" s="1" t="str">
        <f t="shared" si="162"/>
        <v>Dog : Elite Training</v>
      </c>
      <c r="B807" s="1" t="str">
        <f t="shared" si="158"/>
        <v>https://m566.info/n4mttss</v>
      </c>
      <c r="C807" s="1" t="str">
        <f>HYPERLINK("https://m566.info/n4mttss","Border Clollie")</f>
        <v>Border Clollie</v>
      </c>
    </row>
    <row r="808">
      <c r="A808" s="1" t="str">
        <f t="shared" si="162"/>
        <v>Dog : Elite Training</v>
      </c>
      <c r="B808" s="1" t="str">
        <f t="shared" si="158"/>
        <v>https://m566.info/n4mttss</v>
      </c>
      <c r="C808" s="1" t="str">
        <f>HYPERLINK("https://m566.info/n4mttss","Rotwieller")</f>
        <v>Rotwieller</v>
      </c>
    </row>
    <row r="809">
      <c r="A809" s="1" t="str">
        <f t="shared" si="162"/>
        <v>Dog : Elite Training</v>
      </c>
      <c r="B809" s="1" t="str">
        <f t="shared" si="158"/>
        <v>https://m566.info/n4mttss</v>
      </c>
      <c r="C809" s="1" t="str">
        <f>HYPERLINK("https://m566.info/n4mttss","Cross Bred")</f>
        <v>Cross Bred</v>
      </c>
    </row>
    <row r="810">
      <c r="A810" s="1" t="str">
        <f t="shared" si="162"/>
        <v>Dog : Elite Training</v>
      </c>
      <c r="B810" s="1" t="str">
        <f t="shared" si="158"/>
        <v>https://m566.info/n4mttss</v>
      </c>
      <c r="C810" s="1" t="str">
        <f>HYPERLINK("https://m566.info/n4mttss","Rotweiller")</f>
        <v>Rotweiller</v>
      </c>
    </row>
    <row r="811">
      <c r="A811" s="1" t="str">
        <f t="shared" ref="A811:A816" si="163">HYPERLINK("https://m566.info/nqcd2he","Dog Aggression Training")</f>
        <v>Dog Aggression Training</v>
      </c>
      <c r="B811" s="1" t="str">
        <f t="shared" ref="B811:B840" si="164">HYPERLINK("https://m566.info/nqcd2he","https://m566.info/nqcd2he")</f>
        <v>https://m566.info/nqcd2he</v>
      </c>
      <c r="C811" s="1" t="str">
        <f>HYPERLINK("https://m566.info/nqcd2he","Doberman")</f>
        <v>Doberman</v>
      </c>
    </row>
    <row r="812">
      <c r="A812" s="1" t="str">
        <f t="shared" si="163"/>
        <v>Dog Aggression Training</v>
      </c>
      <c r="B812" s="1" t="str">
        <f t="shared" si="164"/>
        <v>https://m566.info/nqcd2he</v>
      </c>
      <c r="C812" s="1" t="str">
        <f>HYPERLINK("https://m566.info/nqcd2he","German Shepherd")</f>
        <v>German Shepherd</v>
      </c>
    </row>
    <row r="813">
      <c r="A813" s="1" t="str">
        <f t="shared" si="163"/>
        <v>Dog Aggression Training</v>
      </c>
      <c r="B813" s="1" t="str">
        <f t="shared" si="164"/>
        <v>https://m566.info/nqcd2he</v>
      </c>
      <c r="C813" s="1" t="str">
        <f>HYPERLINK("https://m566.info/nqcd2he","Border Clollie")</f>
        <v>Border Clollie</v>
      </c>
    </row>
    <row r="814">
      <c r="A814" s="1" t="str">
        <f t="shared" si="163"/>
        <v>Dog Aggression Training</v>
      </c>
      <c r="B814" s="1" t="str">
        <f t="shared" si="164"/>
        <v>https://m566.info/nqcd2he</v>
      </c>
      <c r="C814" s="1" t="str">
        <f>HYPERLINK("https://m566.info/nqcd2he","Rotwieller")</f>
        <v>Rotwieller</v>
      </c>
    </row>
    <row r="815">
      <c r="A815" s="1" t="str">
        <f t="shared" si="163"/>
        <v>Dog Aggression Training</v>
      </c>
      <c r="B815" s="1" t="str">
        <f t="shared" si="164"/>
        <v>https://m566.info/nqcd2he</v>
      </c>
      <c r="C815" s="1" t="str">
        <f>HYPERLINK("https://m566.info/nqcd2he","Cross Bred")</f>
        <v>Cross Bred</v>
      </c>
    </row>
    <row r="816">
      <c r="A816" s="1" t="str">
        <f t="shared" si="163"/>
        <v>Dog Aggression Training</v>
      </c>
      <c r="B816" s="1" t="str">
        <f t="shared" si="164"/>
        <v>https://m566.info/nqcd2he</v>
      </c>
      <c r="C816" s="1" t="str">
        <f>HYPERLINK("https://m566.info/nqcd2he","Rotweiller")</f>
        <v>Rotweiller</v>
      </c>
    </row>
    <row r="817">
      <c r="A817" s="1" t="str">
        <f t="shared" ref="A817:A822" si="165">HYPERLINK("https://m566.info/nqcd2he","Dog Obedience Training")</f>
        <v>Dog Obedience Training</v>
      </c>
      <c r="B817" s="1" t="str">
        <f t="shared" si="164"/>
        <v>https://m566.info/nqcd2he</v>
      </c>
      <c r="C817" s="1" t="str">
        <f>HYPERLINK("https://m566.info/nqcd2he","Doberman")</f>
        <v>Doberman</v>
      </c>
    </row>
    <row r="818">
      <c r="A818" s="1" t="str">
        <f t="shared" si="165"/>
        <v>Dog Obedience Training</v>
      </c>
      <c r="B818" s="1" t="str">
        <f t="shared" si="164"/>
        <v>https://m566.info/nqcd2he</v>
      </c>
      <c r="C818" s="1" t="str">
        <f>HYPERLINK("https://m566.info/nqcd2he","German Shepherd")</f>
        <v>German Shepherd</v>
      </c>
    </row>
    <row r="819">
      <c r="A819" s="1" t="str">
        <f t="shared" si="165"/>
        <v>Dog Obedience Training</v>
      </c>
      <c r="B819" s="1" t="str">
        <f t="shared" si="164"/>
        <v>https://m566.info/nqcd2he</v>
      </c>
      <c r="C819" s="1" t="str">
        <f>HYPERLINK("https://m566.info/nqcd2he","Border Clollie")</f>
        <v>Border Clollie</v>
      </c>
    </row>
    <row r="820">
      <c r="A820" s="1" t="str">
        <f t="shared" si="165"/>
        <v>Dog Obedience Training</v>
      </c>
      <c r="B820" s="1" t="str">
        <f t="shared" si="164"/>
        <v>https://m566.info/nqcd2he</v>
      </c>
      <c r="C820" s="1" t="str">
        <f>HYPERLINK("https://m566.info/nqcd2he","Rotwieller")</f>
        <v>Rotwieller</v>
      </c>
    </row>
    <row r="821">
      <c r="A821" s="1" t="str">
        <f t="shared" si="165"/>
        <v>Dog Obedience Training</v>
      </c>
      <c r="B821" s="1" t="str">
        <f t="shared" si="164"/>
        <v>https://m566.info/nqcd2he</v>
      </c>
      <c r="C821" s="1" t="str">
        <f>HYPERLINK("https://m566.info/nqcd2he","Cross Bred")</f>
        <v>Cross Bred</v>
      </c>
    </row>
    <row r="822">
      <c r="A822" s="1" t="str">
        <f t="shared" si="165"/>
        <v>Dog Obedience Training</v>
      </c>
      <c r="B822" s="1" t="str">
        <f t="shared" si="164"/>
        <v>https://m566.info/nqcd2he</v>
      </c>
      <c r="C822" s="1" t="str">
        <f>HYPERLINK("https://m566.info/nqcd2he","Rotweiller")</f>
        <v>Rotweiller</v>
      </c>
    </row>
    <row r="823">
      <c r="A823" s="1" t="str">
        <f t="shared" ref="A823:A828" si="166">HYPERLINK("https://m566.info/nqcd2he","Dog House Training")</f>
        <v>Dog House Training</v>
      </c>
      <c r="B823" s="1" t="str">
        <f t="shared" si="164"/>
        <v>https://m566.info/nqcd2he</v>
      </c>
      <c r="C823" s="1" t="str">
        <f>HYPERLINK("https://m566.info/nqcd2he","Doberman")</f>
        <v>Doberman</v>
      </c>
    </row>
    <row r="824">
      <c r="A824" s="1" t="str">
        <f t="shared" si="166"/>
        <v>Dog House Training</v>
      </c>
      <c r="B824" s="1" t="str">
        <f t="shared" si="164"/>
        <v>https://m566.info/nqcd2he</v>
      </c>
      <c r="C824" s="1" t="str">
        <f>HYPERLINK("https://m566.info/nqcd2he","German Shepherd")</f>
        <v>German Shepherd</v>
      </c>
    </row>
    <row r="825">
      <c r="A825" s="1" t="str">
        <f t="shared" si="166"/>
        <v>Dog House Training</v>
      </c>
      <c r="B825" s="1" t="str">
        <f t="shared" si="164"/>
        <v>https://m566.info/nqcd2he</v>
      </c>
      <c r="C825" s="1" t="str">
        <f>HYPERLINK("https://m566.info/nqcd2he","Border Clollie")</f>
        <v>Border Clollie</v>
      </c>
    </row>
    <row r="826">
      <c r="A826" s="1" t="str">
        <f t="shared" si="166"/>
        <v>Dog House Training</v>
      </c>
      <c r="B826" s="1" t="str">
        <f t="shared" si="164"/>
        <v>https://m566.info/nqcd2he</v>
      </c>
      <c r="C826" s="1" t="str">
        <f>HYPERLINK("https://m566.info/nqcd2he","Rotwieller")</f>
        <v>Rotwieller</v>
      </c>
    </row>
    <row r="827">
      <c r="A827" s="1" t="str">
        <f t="shared" si="166"/>
        <v>Dog House Training</v>
      </c>
      <c r="B827" s="1" t="str">
        <f t="shared" si="164"/>
        <v>https://m566.info/nqcd2he</v>
      </c>
      <c r="C827" s="1" t="str">
        <f>HYPERLINK("https://m566.info/nqcd2he","Cross Bred")</f>
        <v>Cross Bred</v>
      </c>
    </row>
    <row r="828">
      <c r="A828" s="1" t="str">
        <f t="shared" si="166"/>
        <v>Dog House Training</v>
      </c>
      <c r="B828" s="1" t="str">
        <f t="shared" si="164"/>
        <v>https://m566.info/nqcd2he</v>
      </c>
      <c r="C828" s="1" t="str">
        <f>HYPERLINK("https://m566.info/nqcd2he","Rotweiller")</f>
        <v>Rotweiller</v>
      </c>
    </row>
    <row r="829">
      <c r="A829" s="1" t="str">
        <f t="shared" ref="A829:A834" si="167">HYPERLINK("https://m566.info/nqcd2he","Dog Behaviour Training")</f>
        <v>Dog Behaviour Training</v>
      </c>
      <c r="B829" s="1" t="str">
        <f t="shared" si="164"/>
        <v>https://m566.info/nqcd2he</v>
      </c>
      <c r="C829" s="1" t="str">
        <f>HYPERLINK("https://m566.info/nqcd2he","Doberman")</f>
        <v>Doberman</v>
      </c>
    </row>
    <row r="830">
      <c r="A830" s="1" t="str">
        <f t="shared" si="167"/>
        <v>Dog Behaviour Training</v>
      </c>
      <c r="B830" s="1" t="str">
        <f t="shared" si="164"/>
        <v>https://m566.info/nqcd2he</v>
      </c>
      <c r="C830" s="1" t="str">
        <f>HYPERLINK("https://m566.info/nqcd2he","German Shepherd")</f>
        <v>German Shepherd</v>
      </c>
    </row>
    <row r="831">
      <c r="A831" s="1" t="str">
        <f t="shared" si="167"/>
        <v>Dog Behaviour Training</v>
      </c>
      <c r="B831" s="1" t="str">
        <f t="shared" si="164"/>
        <v>https://m566.info/nqcd2he</v>
      </c>
      <c r="C831" s="1" t="str">
        <f>HYPERLINK("https://m566.info/nqcd2he","Border Clollie")</f>
        <v>Border Clollie</v>
      </c>
    </row>
    <row r="832">
      <c r="A832" s="1" t="str">
        <f t="shared" si="167"/>
        <v>Dog Behaviour Training</v>
      </c>
      <c r="B832" s="1" t="str">
        <f t="shared" si="164"/>
        <v>https://m566.info/nqcd2he</v>
      </c>
      <c r="C832" s="1" t="str">
        <f>HYPERLINK("https://m566.info/nqcd2he","Rotwieller")</f>
        <v>Rotwieller</v>
      </c>
    </row>
    <row r="833">
      <c r="A833" s="1" t="str">
        <f t="shared" si="167"/>
        <v>Dog Behaviour Training</v>
      </c>
      <c r="B833" s="1" t="str">
        <f t="shared" si="164"/>
        <v>https://m566.info/nqcd2he</v>
      </c>
      <c r="C833" s="1" t="str">
        <f>HYPERLINK("https://m566.info/nqcd2he","Cross Bred")</f>
        <v>Cross Bred</v>
      </c>
    </row>
    <row r="834">
      <c r="A834" s="1" t="str">
        <f t="shared" si="167"/>
        <v>Dog Behaviour Training</v>
      </c>
      <c r="B834" s="1" t="str">
        <f t="shared" si="164"/>
        <v>https://m566.info/nqcd2he</v>
      </c>
      <c r="C834" s="1" t="str">
        <f>HYPERLINK("https://m566.info/nqcd2he","Rotweiller")</f>
        <v>Rotweiller</v>
      </c>
    </row>
    <row r="835">
      <c r="A835" s="1" t="str">
        <f t="shared" ref="A835:A840" si="168">HYPERLINK("https://m566.info/nqcd2he","Dog : Elite Training")</f>
        <v>Dog : Elite Training</v>
      </c>
      <c r="B835" s="1" t="str">
        <f t="shared" si="164"/>
        <v>https://m566.info/nqcd2he</v>
      </c>
      <c r="C835" s="1" t="str">
        <f>HYPERLINK("https://m566.info/nqcd2he","Doberman")</f>
        <v>Doberman</v>
      </c>
    </row>
    <row r="836">
      <c r="A836" s="1" t="str">
        <f t="shared" si="168"/>
        <v>Dog : Elite Training</v>
      </c>
      <c r="B836" s="1" t="str">
        <f t="shared" si="164"/>
        <v>https://m566.info/nqcd2he</v>
      </c>
      <c r="C836" s="1" t="str">
        <f>HYPERLINK("https://m566.info/nqcd2he","German Shepherd")</f>
        <v>German Shepherd</v>
      </c>
    </row>
    <row r="837">
      <c r="A837" s="1" t="str">
        <f t="shared" si="168"/>
        <v>Dog : Elite Training</v>
      </c>
      <c r="B837" s="1" t="str">
        <f t="shared" si="164"/>
        <v>https://m566.info/nqcd2he</v>
      </c>
      <c r="C837" s="1" t="str">
        <f>HYPERLINK("https://m566.info/nqcd2he","Border Clollie")</f>
        <v>Border Clollie</v>
      </c>
    </row>
    <row r="838">
      <c r="A838" s="1" t="str">
        <f t="shared" si="168"/>
        <v>Dog : Elite Training</v>
      </c>
      <c r="B838" s="1" t="str">
        <f t="shared" si="164"/>
        <v>https://m566.info/nqcd2he</v>
      </c>
      <c r="C838" s="1" t="str">
        <f>HYPERLINK("https://m566.info/nqcd2he","Rotwieller")</f>
        <v>Rotwieller</v>
      </c>
    </row>
    <row r="839">
      <c r="A839" s="1" t="str">
        <f t="shared" si="168"/>
        <v>Dog : Elite Training</v>
      </c>
      <c r="B839" s="1" t="str">
        <f t="shared" si="164"/>
        <v>https://m566.info/nqcd2he</v>
      </c>
      <c r="C839" s="1" t="str">
        <f>HYPERLINK("https://m566.info/nqcd2he","Cross Bred")</f>
        <v>Cross Bred</v>
      </c>
    </row>
    <row r="840">
      <c r="A840" s="1" t="str">
        <f t="shared" si="168"/>
        <v>Dog : Elite Training</v>
      </c>
      <c r="B840" s="1" t="str">
        <f t="shared" si="164"/>
        <v>https://m566.info/nqcd2he</v>
      </c>
      <c r="C840" s="1" t="str">
        <f>HYPERLINK("https://m566.info/nqcd2he","Rotweiller")</f>
        <v>Rotweiller</v>
      </c>
    </row>
    <row r="841">
      <c r="A841" s="1" t="str">
        <f t="shared" ref="A841:A846" si="169">HYPERLINK("https://m566.info/yozvkqe","Dog Aggression Training")</f>
        <v>Dog Aggression Training</v>
      </c>
      <c r="B841" s="1" t="str">
        <f t="shared" ref="B841:B870" si="170">HYPERLINK("https://m566.info/yozvkqe","https://m566.info/yozvkqe")</f>
        <v>https://m566.info/yozvkqe</v>
      </c>
      <c r="C841" s="1" t="str">
        <f>HYPERLINK("https://m566.info/yozvkqe","Doberman")</f>
        <v>Doberman</v>
      </c>
    </row>
    <row r="842">
      <c r="A842" s="1" t="str">
        <f t="shared" si="169"/>
        <v>Dog Aggression Training</v>
      </c>
      <c r="B842" s="1" t="str">
        <f t="shared" si="170"/>
        <v>https://m566.info/yozvkqe</v>
      </c>
      <c r="C842" s="1" t="str">
        <f>HYPERLINK("https://m566.info/yozvkqe","German Shepherd")</f>
        <v>German Shepherd</v>
      </c>
    </row>
    <row r="843">
      <c r="A843" s="1" t="str">
        <f t="shared" si="169"/>
        <v>Dog Aggression Training</v>
      </c>
      <c r="B843" s="1" t="str">
        <f t="shared" si="170"/>
        <v>https://m566.info/yozvkqe</v>
      </c>
      <c r="C843" s="1" t="str">
        <f>HYPERLINK("https://m566.info/yozvkqe","Border Clollie")</f>
        <v>Border Clollie</v>
      </c>
    </row>
    <row r="844">
      <c r="A844" s="1" t="str">
        <f t="shared" si="169"/>
        <v>Dog Aggression Training</v>
      </c>
      <c r="B844" s="1" t="str">
        <f t="shared" si="170"/>
        <v>https://m566.info/yozvkqe</v>
      </c>
      <c r="C844" s="1" t="str">
        <f>HYPERLINK("https://m566.info/yozvkqe","Rotwieller")</f>
        <v>Rotwieller</v>
      </c>
    </row>
    <row r="845">
      <c r="A845" s="1" t="str">
        <f t="shared" si="169"/>
        <v>Dog Aggression Training</v>
      </c>
      <c r="B845" s="1" t="str">
        <f t="shared" si="170"/>
        <v>https://m566.info/yozvkqe</v>
      </c>
      <c r="C845" s="1" t="str">
        <f>HYPERLINK("https://m566.info/yozvkqe","Cross Bred")</f>
        <v>Cross Bred</v>
      </c>
    </row>
    <row r="846">
      <c r="A846" s="1" t="str">
        <f t="shared" si="169"/>
        <v>Dog Aggression Training</v>
      </c>
      <c r="B846" s="1" t="str">
        <f t="shared" si="170"/>
        <v>https://m566.info/yozvkqe</v>
      </c>
      <c r="C846" s="1" t="str">
        <f>HYPERLINK("https://m566.info/yozvkqe","Rotweiller")</f>
        <v>Rotweiller</v>
      </c>
    </row>
    <row r="847">
      <c r="A847" s="1" t="str">
        <f t="shared" ref="A847:A852" si="171">HYPERLINK("https://m566.info/yozvkqe","Dog Obedience Training")</f>
        <v>Dog Obedience Training</v>
      </c>
      <c r="B847" s="1" t="str">
        <f t="shared" si="170"/>
        <v>https://m566.info/yozvkqe</v>
      </c>
      <c r="C847" s="1" t="str">
        <f>HYPERLINK("https://m566.info/yozvkqe","Doberman")</f>
        <v>Doberman</v>
      </c>
    </row>
    <row r="848">
      <c r="A848" s="1" t="str">
        <f t="shared" si="171"/>
        <v>Dog Obedience Training</v>
      </c>
      <c r="B848" s="1" t="str">
        <f t="shared" si="170"/>
        <v>https://m566.info/yozvkqe</v>
      </c>
      <c r="C848" s="1" t="str">
        <f>HYPERLINK("https://m566.info/yozvkqe","German Shepherd")</f>
        <v>German Shepherd</v>
      </c>
    </row>
    <row r="849">
      <c r="A849" s="1" t="str">
        <f t="shared" si="171"/>
        <v>Dog Obedience Training</v>
      </c>
      <c r="B849" s="1" t="str">
        <f t="shared" si="170"/>
        <v>https://m566.info/yozvkqe</v>
      </c>
      <c r="C849" s="1" t="str">
        <f>HYPERLINK("https://m566.info/yozvkqe","Border Clollie")</f>
        <v>Border Clollie</v>
      </c>
    </row>
    <row r="850">
      <c r="A850" s="1" t="str">
        <f t="shared" si="171"/>
        <v>Dog Obedience Training</v>
      </c>
      <c r="B850" s="1" t="str">
        <f t="shared" si="170"/>
        <v>https://m566.info/yozvkqe</v>
      </c>
      <c r="C850" s="1" t="str">
        <f>HYPERLINK("https://m566.info/yozvkqe","Rotwieller")</f>
        <v>Rotwieller</v>
      </c>
    </row>
    <row r="851">
      <c r="A851" s="1" t="str">
        <f t="shared" si="171"/>
        <v>Dog Obedience Training</v>
      </c>
      <c r="B851" s="1" t="str">
        <f t="shared" si="170"/>
        <v>https://m566.info/yozvkqe</v>
      </c>
      <c r="C851" s="1" t="str">
        <f>HYPERLINK("https://m566.info/yozvkqe","Cross Bred")</f>
        <v>Cross Bred</v>
      </c>
    </row>
    <row r="852">
      <c r="A852" s="1" t="str">
        <f t="shared" si="171"/>
        <v>Dog Obedience Training</v>
      </c>
      <c r="B852" s="1" t="str">
        <f t="shared" si="170"/>
        <v>https://m566.info/yozvkqe</v>
      </c>
      <c r="C852" s="1" t="str">
        <f>HYPERLINK("https://m566.info/yozvkqe","Rotweiller")</f>
        <v>Rotweiller</v>
      </c>
    </row>
    <row r="853">
      <c r="A853" s="1" t="str">
        <f t="shared" ref="A853:A858" si="172">HYPERLINK("https://m566.info/yozvkqe","Dog House Training")</f>
        <v>Dog House Training</v>
      </c>
      <c r="B853" s="1" t="str">
        <f t="shared" si="170"/>
        <v>https://m566.info/yozvkqe</v>
      </c>
      <c r="C853" s="1" t="str">
        <f>HYPERLINK("https://m566.info/yozvkqe","Doberman")</f>
        <v>Doberman</v>
      </c>
    </row>
    <row r="854">
      <c r="A854" s="1" t="str">
        <f t="shared" si="172"/>
        <v>Dog House Training</v>
      </c>
      <c r="B854" s="1" t="str">
        <f t="shared" si="170"/>
        <v>https://m566.info/yozvkqe</v>
      </c>
      <c r="C854" s="1" t="str">
        <f>HYPERLINK("https://m566.info/yozvkqe","German Shepherd")</f>
        <v>German Shepherd</v>
      </c>
    </row>
    <row r="855">
      <c r="A855" s="1" t="str">
        <f t="shared" si="172"/>
        <v>Dog House Training</v>
      </c>
      <c r="B855" s="1" t="str">
        <f t="shared" si="170"/>
        <v>https://m566.info/yozvkqe</v>
      </c>
      <c r="C855" s="1" t="str">
        <f>HYPERLINK("https://m566.info/yozvkqe","Border Clollie")</f>
        <v>Border Clollie</v>
      </c>
    </row>
    <row r="856">
      <c r="A856" s="1" t="str">
        <f t="shared" si="172"/>
        <v>Dog House Training</v>
      </c>
      <c r="B856" s="1" t="str">
        <f t="shared" si="170"/>
        <v>https://m566.info/yozvkqe</v>
      </c>
      <c r="C856" s="1" t="str">
        <f>HYPERLINK("https://m566.info/yozvkqe","Rotwieller")</f>
        <v>Rotwieller</v>
      </c>
    </row>
    <row r="857">
      <c r="A857" s="1" t="str">
        <f t="shared" si="172"/>
        <v>Dog House Training</v>
      </c>
      <c r="B857" s="1" t="str">
        <f t="shared" si="170"/>
        <v>https://m566.info/yozvkqe</v>
      </c>
      <c r="C857" s="1" t="str">
        <f>HYPERLINK("https://m566.info/yozvkqe","Cross Bred")</f>
        <v>Cross Bred</v>
      </c>
    </row>
    <row r="858">
      <c r="A858" s="1" t="str">
        <f t="shared" si="172"/>
        <v>Dog House Training</v>
      </c>
      <c r="B858" s="1" t="str">
        <f t="shared" si="170"/>
        <v>https://m566.info/yozvkqe</v>
      </c>
      <c r="C858" s="1" t="str">
        <f>HYPERLINK("https://m566.info/yozvkqe","Rotweiller")</f>
        <v>Rotweiller</v>
      </c>
    </row>
    <row r="859">
      <c r="A859" s="1" t="str">
        <f t="shared" ref="A859:A864" si="173">HYPERLINK("https://m566.info/yozvkqe","Dog Behaviour Training")</f>
        <v>Dog Behaviour Training</v>
      </c>
      <c r="B859" s="1" t="str">
        <f t="shared" si="170"/>
        <v>https://m566.info/yozvkqe</v>
      </c>
      <c r="C859" s="1" t="str">
        <f>HYPERLINK("https://m566.info/yozvkqe","Doberman")</f>
        <v>Doberman</v>
      </c>
    </row>
    <row r="860">
      <c r="A860" s="1" t="str">
        <f t="shared" si="173"/>
        <v>Dog Behaviour Training</v>
      </c>
      <c r="B860" s="1" t="str">
        <f t="shared" si="170"/>
        <v>https://m566.info/yozvkqe</v>
      </c>
      <c r="C860" s="1" t="str">
        <f>HYPERLINK("https://m566.info/yozvkqe","German Shepherd")</f>
        <v>German Shepherd</v>
      </c>
    </row>
    <row r="861">
      <c r="A861" s="1" t="str">
        <f t="shared" si="173"/>
        <v>Dog Behaviour Training</v>
      </c>
      <c r="B861" s="1" t="str">
        <f t="shared" si="170"/>
        <v>https://m566.info/yozvkqe</v>
      </c>
      <c r="C861" s="1" t="str">
        <f>HYPERLINK("https://m566.info/yozvkqe","Border Clollie")</f>
        <v>Border Clollie</v>
      </c>
    </row>
    <row r="862">
      <c r="A862" s="1" t="str">
        <f t="shared" si="173"/>
        <v>Dog Behaviour Training</v>
      </c>
      <c r="B862" s="1" t="str">
        <f t="shared" si="170"/>
        <v>https://m566.info/yozvkqe</v>
      </c>
      <c r="C862" s="1" t="str">
        <f>HYPERLINK("https://m566.info/yozvkqe","Rotwieller")</f>
        <v>Rotwieller</v>
      </c>
    </row>
    <row r="863">
      <c r="A863" s="1" t="str">
        <f t="shared" si="173"/>
        <v>Dog Behaviour Training</v>
      </c>
      <c r="B863" s="1" t="str">
        <f t="shared" si="170"/>
        <v>https://m566.info/yozvkqe</v>
      </c>
      <c r="C863" s="1" t="str">
        <f>HYPERLINK("https://m566.info/yozvkqe","Cross Bred")</f>
        <v>Cross Bred</v>
      </c>
    </row>
    <row r="864">
      <c r="A864" s="1" t="str">
        <f t="shared" si="173"/>
        <v>Dog Behaviour Training</v>
      </c>
      <c r="B864" s="1" t="str">
        <f t="shared" si="170"/>
        <v>https://m566.info/yozvkqe</v>
      </c>
      <c r="C864" s="1" t="str">
        <f>HYPERLINK("https://m566.info/yozvkqe","Rotweiller")</f>
        <v>Rotweiller</v>
      </c>
    </row>
    <row r="865">
      <c r="A865" s="1" t="str">
        <f t="shared" ref="A865:A870" si="174">HYPERLINK("https://m566.info/yozvkqe","Dog : Elite Training")</f>
        <v>Dog : Elite Training</v>
      </c>
      <c r="B865" s="1" t="str">
        <f t="shared" si="170"/>
        <v>https://m566.info/yozvkqe</v>
      </c>
      <c r="C865" s="1" t="str">
        <f>HYPERLINK("https://m566.info/yozvkqe","Doberman")</f>
        <v>Doberman</v>
      </c>
    </row>
    <row r="866">
      <c r="A866" s="1" t="str">
        <f t="shared" si="174"/>
        <v>Dog : Elite Training</v>
      </c>
      <c r="B866" s="1" t="str">
        <f t="shared" si="170"/>
        <v>https://m566.info/yozvkqe</v>
      </c>
      <c r="C866" s="1" t="str">
        <f>HYPERLINK("https://m566.info/yozvkqe","German Shepherd")</f>
        <v>German Shepherd</v>
      </c>
    </row>
    <row r="867">
      <c r="A867" s="1" t="str">
        <f t="shared" si="174"/>
        <v>Dog : Elite Training</v>
      </c>
      <c r="B867" s="1" t="str">
        <f t="shared" si="170"/>
        <v>https://m566.info/yozvkqe</v>
      </c>
      <c r="C867" s="1" t="str">
        <f>HYPERLINK("https://m566.info/yozvkqe","Border Clollie")</f>
        <v>Border Clollie</v>
      </c>
    </row>
    <row r="868">
      <c r="A868" s="1" t="str">
        <f t="shared" si="174"/>
        <v>Dog : Elite Training</v>
      </c>
      <c r="B868" s="1" t="str">
        <f t="shared" si="170"/>
        <v>https://m566.info/yozvkqe</v>
      </c>
      <c r="C868" s="1" t="str">
        <f>HYPERLINK("https://m566.info/yozvkqe","Rotwieller")</f>
        <v>Rotwieller</v>
      </c>
    </row>
    <row r="869">
      <c r="A869" s="1" t="str">
        <f t="shared" si="174"/>
        <v>Dog : Elite Training</v>
      </c>
      <c r="B869" s="1" t="str">
        <f t="shared" si="170"/>
        <v>https://m566.info/yozvkqe</v>
      </c>
      <c r="C869" s="1" t="str">
        <f>HYPERLINK("https://m566.info/yozvkqe","Cross Bred")</f>
        <v>Cross Bred</v>
      </c>
    </row>
    <row r="870">
      <c r="A870" s="1" t="str">
        <f t="shared" si="174"/>
        <v>Dog : Elite Training</v>
      </c>
      <c r="B870" s="1" t="str">
        <f t="shared" si="170"/>
        <v>https://m566.info/yozvkqe</v>
      </c>
      <c r="C870" s="1" t="str">
        <f>HYPERLINK("https://m566.info/yozvkqe","Rotweiller")</f>
        <v>Rotweiller</v>
      </c>
    </row>
    <row r="871">
      <c r="A871" s="1" t="str">
        <f t="shared" ref="A871:A876" si="175">HYPERLINK("https://m566.info/ztfouz0","Dog Aggression Training")</f>
        <v>Dog Aggression Training</v>
      </c>
      <c r="B871" s="1" t="str">
        <f t="shared" ref="B871:B900" si="176">HYPERLINK("https://m566.info/ztfouz0","https://m566.info/ztfouz0")</f>
        <v>https://m566.info/ztfouz0</v>
      </c>
      <c r="C871" s="1" t="str">
        <f>HYPERLINK("https://m566.info/ztfouz0","Doberman")</f>
        <v>Doberman</v>
      </c>
    </row>
    <row r="872">
      <c r="A872" s="1" t="str">
        <f t="shared" si="175"/>
        <v>Dog Aggression Training</v>
      </c>
      <c r="B872" s="1" t="str">
        <f t="shared" si="176"/>
        <v>https://m566.info/ztfouz0</v>
      </c>
      <c r="C872" s="1" t="str">
        <f>HYPERLINK("https://m566.info/ztfouz0","German Shepherd")</f>
        <v>German Shepherd</v>
      </c>
    </row>
    <row r="873">
      <c r="A873" s="1" t="str">
        <f t="shared" si="175"/>
        <v>Dog Aggression Training</v>
      </c>
      <c r="B873" s="1" t="str">
        <f t="shared" si="176"/>
        <v>https://m566.info/ztfouz0</v>
      </c>
      <c r="C873" s="1" t="str">
        <f>HYPERLINK("https://m566.info/ztfouz0","Border Clollie")</f>
        <v>Border Clollie</v>
      </c>
    </row>
    <row r="874">
      <c r="A874" s="1" t="str">
        <f t="shared" si="175"/>
        <v>Dog Aggression Training</v>
      </c>
      <c r="B874" s="1" t="str">
        <f t="shared" si="176"/>
        <v>https://m566.info/ztfouz0</v>
      </c>
      <c r="C874" s="1" t="str">
        <f>HYPERLINK("https://m566.info/ztfouz0","Rotwieller")</f>
        <v>Rotwieller</v>
      </c>
    </row>
    <row r="875">
      <c r="A875" s="1" t="str">
        <f t="shared" si="175"/>
        <v>Dog Aggression Training</v>
      </c>
      <c r="B875" s="1" t="str">
        <f t="shared" si="176"/>
        <v>https://m566.info/ztfouz0</v>
      </c>
      <c r="C875" s="1" t="str">
        <f>HYPERLINK("https://m566.info/ztfouz0","Cross Bred")</f>
        <v>Cross Bred</v>
      </c>
    </row>
    <row r="876">
      <c r="A876" s="1" t="str">
        <f t="shared" si="175"/>
        <v>Dog Aggression Training</v>
      </c>
      <c r="B876" s="1" t="str">
        <f t="shared" si="176"/>
        <v>https://m566.info/ztfouz0</v>
      </c>
      <c r="C876" s="1" t="str">
        <f>HYPERLINK("https://m566.info/ztfouz0","Rotweiller")</f>
        <v>Rotweiller</v>
      </c>
    </row>
    <row r="877">
      <c r="A877" s="1" t="str">
        <f t="shared" ref="A877:A882" si="177">HYPERLINK("https://m566.info/ztfouz0","Dog Obedience Training")</f>
        <v>Dog Obedience Training</v>
      </c>
      <c r="B877" s="1" t="str">
        <f t="shared" si="176"/>
        <v>https://m566.info/ztfouz0</v>
      </c>
      <c r="C877" s="1" t="str">
        <f>HYPERLINK("https://m566.info/ztfouz0","Doberman")</f>
        <v>Doberman</v>
      </c>
    </row>
    <row r="878">
      <c r="A878" s="1" t="str">
        <f t="shared" si="177"/>
        <v>Dog Obedience Training</v>
      </c>
      <c r="B878" s="1" t="str">
        <f t="shared" si="176"/>
        <v>https://m566.info/ztfouz0</v>
      </c>
      <c r="C878" s="1" t="str">
        <f>HYPERLINK("https://m566.info/ztfouz0","German Shepherd")</f>
        <v>German Shepherd</v>
      </c>
    </row>
    <row r="879">
      <c r="A879" s="1" t="str">
        <f t="shared" si="177"/>
        <v>Dog Obedience Training</v>
      </c>
      <c r="B879" s="1" t="str">
        <f t="shared" si="176"/>
        <v>https://m566.info/ztfouz0</v>
      </c>
      <c r="C879" s="1" t="str">
        <f>HYPERLINK("https://m566.info/ztfouz0","Border Clollie")</f>
        <v>Border Clollie</v>
      </c>
    </row>
    <row r="880">
      <c r="A880" s="1" t="str">
        <f t="shared" si="177"/>
        <v>Dog Obedience Training</v>
      </c>
      <c r="B880" s="1" t="str">
        <f t="shared" si="176"/>
        <v>https://m566.info/ztfouz0</v>
      </c>
      <c r="C880" s="1" t="str">
        <f>HYPERLINK("https://m566.info/ztfouz0","Rotwieller")</f>
        <v>Rotwieller</v>
      </c>
    </row>
    <row r="881">
      <c r="A881" s="1" t="str">
        <f t="shared" si="177"/>
        <v>Dog Obedience Training</v>
      </c>
      <c r="B881" s="1" t="str">
        <f t="shared" si="176"/>
        <v>https://m566.info/ztfouz0</v>
      </c>
      <c r="C881" s="1" t="str">
        <f>HYPERLINK("https://m566.info/ztfouz0","Cross Bred")</f>
        <v>Cross Bred</v>
      </c>
    </row>
    <row r="882">
      <c r="A882" s="1" t="str">
        <f t="shared" si="177"/>
        <v>Dog Obedience Training</v>
      </c>
      <c r="B882" s="1" t="str">
        <f t="shared" si="176"/>
        <v>https://m566.info/ztfouz0</v>
      </c>
      <c r="C882" s="1" t="str">
        <f>HYPERLINK("https://m566.info/ztfouz0","Rotweiller")</f>
        <v>Rotweiller</v>
      </c>
    </row>
    <row r="883">
      <c r="A883" s="1" t="str">
        <f t="shared" ref="A883:A888" si="178">HYPERLINK("https://m566.info/ztfouz0","Dog House Training")</f>
        <v>Dog House Training</v>
      </c>
      <c r="B883" s="1" t="str">
        <f t="shared" si="176"/>
        <v>https://m566.info/ztfouz0</v>
      </c>
      <c r="C883" s="1" t="str">
        <f>HYPERLINK("https://m566.info/ztfouz0","Doberman")</f>
        <v>Doberman</v>
      </c>
    </row>
    <row r="884">
      <c r="A884" s="1" t="str">
        <f t="shared" si="178"/>
        <v>Dog House Training</v>
      </c>
      <c r="B884" s="1" t="str">
        <f t="shared" si="176"/>
        <v>https://m566.info/ztfouz0</v>
      </c>
      <c r="C884" s="1" t="str">
        <f>HYPERLINK("https://m566.info/ztfouz0","German Shepherd")</f>
        <v>German Shepherd</v>
      </c>
    </row>
    <row r="885">
      <c r="A885" s="1" t="str">
        <f t="shared" si="178"/>
        <v>Dog House Training</v>
      </c>
      <c r="B885" s="1" t="str">
        <f t="shared" si="176"/>
        <v>https://m566.info/ztfouz0</v>
      </c>
      <c r="C885" s="1" t="str">
        <f>HYPERLINK("https://m566.info/ztfouz0","Border Clollie")</f>
        <v>Border Clollie</v>
      </c>
    </row>
    <row r="886">
      <c r="A886" s="1" t="str">
        <f t="shared" si="178"/>
        <v>Dog House Training</v>
      </c>
      <c r="B886" s="1" t="str">
        <f t="shared" si="176"/>
        <v>https://m566.info/ztfouz0</v>
      </c>
      <c r="C886" s="1" t="str">
        <f>HYPERLINK("https://m566.info/ztfouz0","Rotwieller")</f>
        <v>Rotwieller</v>
      </c>
    </row>
    <row r="887">
      <c r="A887" s="1" t="str">
        <f t="shared" si="178"/>
        <v>Dog House Training</v>
      </c>
      <c r="B887" s="1" t="str">
        <f t="shared" si="176"/>
        <v>https://m566.info/ztfouz0</v>
      </c>
      <c r="C887" s="1" t="str">
        <f>HYPERLINK("https://m566.info/ztfouz0","Cross Bred")</f>
        <v>Cross Bred</v>
      </c>
    </row>
    <row r="888">
      <c r="A888" s="1" t="str">
        <f t="shared" si="178"/>
        <v>Dog House Training</v>
      </c>
      <c r="B888" s="1" t="str">
        <f t="shared" si="176"/>
        <v>https://m566.info/ztfouz0</v>
      </c>
      <c r="C888" s="1" t="str">
        <f>HYPERLINK("https://m566.info/ztfouz0","Rotweiller")</f>
        <v>Rotweiller</v>
      </c>
    </row>
    <row r="889">
      <c r="A889" s="1" t="str">
        <f t="shared" ref="A889:A894" si="179">HYPERLINK("https://m566.info/ztfouz0","Dog Behaviour Training")</f>
        <v>Dog Behaviour Training</v>
      </c>
      <c r="B889" s="1" t="str">
        <f t="shared" si="176"/>
        <v>https://m566.info/ztfouz0</v>
      </c>
      <c r="C889" s="1" t="str">
        <f>HYPERLINK("https://m566.info/ztfouz0","Doberman")</f>
        <v>Doberman</v>
      </c>
    </row>
    <row r="890">
      <c r="A890" s="1" t="str">
        <f t="shared" si="179"/>
        <v>Dog Behaviour Training</v>
      </c>
      <c r="B890" s="1" t="str">
        <f t="shared" si="176"/>
        <v>https://m566.info/ztfouz0</v>
      </c>
      <c r="C890" s="1" t="str">
        <f>HYPERLINK("https://m566.info/ztfouz0","German Shepherd")</f>
        <v>German Shepherd</v>
      </c>
    </row>
    <row r="891">
      <c r="A891" s="1" t="str">
        <f t="shared" si="179"/>
        <v>Dog Behaviour Training</v>
      </c>
      <c r="B891" s="1" t="str">
        <f t="shared" si="176"/>
        <v>https://m566.info/ztfouz0</v>
      </c>
      <c r="C891" s="1" t="str">
        <f>HYPERLINK("https://m566.info/ztfouz0","Border Clollie")</f>
        <v>Border Clollie</v>
      </c>
    </row>
    <row r="892">
      <c r="A892" s="1" t="str">
        <f t="shared" si="179"/>
        <v>Dog Behaviour Training</v>
      </c>
      <c r="B892" s="1" t="str">
        <f t="shared" si="176"/>
        <v>https://m566.info/ztfouz0</v>
      </c>
      <c r="C892" s="1" t="str">
        <f>HYPERLINK("https://m566.info/ztfouz0","Rotwieller")</f>
        <v>Rotwieller</v>
      </c>
    </row>
    <row r="893">
      <c r="A893" s="1" t="str">
        <f t="shared" si="179"/>
        <v>Dog Behaviour Training</v>
      </c>
      <c r="B893" s="1" t="str">
        <f t="shared" si="176"/>
        <v>https://m566.info/ztfouz0</v>
      </c>
      <c r="C893" s="1" t="str">
        <f>HYPERLINK("https://m566.info/ztfouz0","Cross Bred")</f>
        <v>Cross Bred</v>
      </c>
    </row>
    <row r="894">
      <c r="A894" s="1" t="str">
        <f t="shared" si="179"/>
        <v>Dog Behaviour Training</v>
      </c>
      <c r="B894" s="1" t="str">
        <f t="shared" si="176"/>
        <v>https://m566.info/ztfouz0</v>
      </c>
      <c r="C894" s="1" t="str">
        <f>HYPERLINK("https://m566.info/ztfouz0","Rotweiller")</f>
        <v>Rotweiller</v>
      </c>
    </row>
    <row r="895">
      <c r="A895" s="1" t="str">
        <f t="shared" ref="A895:A900" si="180">HYPERLINK("https://m566.info/ztfouz0","Dog : Elite Training")</f>
        <v>Dog : Elite Training</v>
      </c>
      <c r="B895" s="1" t="str">
        <f t="shared" si="176"/>
        <v>https://m566.info/ztfouz0</v>
      </c>
      <c r="C895" s="1" t="str">
        <f>HYPERLINK("https://m566.info/ztfouz0","Doberman")</f>
        <v>Doberman</v>
      </c>
    </row>
    <row r="896">
      <c r="A896" s="1" t="str">
        <f t="shared" si="180"/>
        <v>Dog : Elite Training</v>
      </c>
      <c r="B896" s="1" t="str">
        <f t="shared" si="176"/>
        <v>https://m566.info/ztfouz0</v>
      </c>
      <c r="C896" s="1" t="str">
        <f>HYPERLINK("https://m566.info/ztfouz0","German Shepherd")</f>
        <v>German Shepherd</v>
      </c>
    </row>
    <row r="897">
      <c r="A897" s="1" t="str">
        <f t="shared" si="180"/>
        <v>Dog : Elite Training</v>
      </c>
      <c r="B897" s="1" t="str">
        <f t="shared" si="176"/>
        <v>https://m566.info/ztfouz0</v>
      </c>
      <c r="C897" s="1" t="str">
        <f>HYPERLINK("https://m566.info/ztfouz0","Border Clollie")</f>
        <v>Border Clollie</v>
      </c>
    </row>
    <row r="898">
      <c r="A898" s="1" t="str">
        <f t="shared" si="180"/>
        <v>Dog : Elite Training</v>
      </c>
      <c r="B898" s="1" t="str">
        <f t="shared" si="176"/>
        <v>https://m566.info/ztfouz0</v>
      </c>
      <c r="C898" s="1" t="str">
        <f>HYPERLINK("https://m566.info/ztfouz0","Rotwieller")</f>
        <v>Rotwieller</v>
      </c>
    </row>
    <row r="899">
      <c r="A899" s="1" t="str">
        <f t="shared" si="180"/>
        <v>Dog : Elite Training</v>
      </c>
      <c r="B899" s="1" t="str">
        <f t="shared" si="176"/>
        <v>https://m566.info/ztfouz0</v>
      </c>
      <c r="C899" s="1" t="str">
        <f>HYPERLINK("https://m566.info/ztfouz0","Cross Bred")</f>
        <v>Cross Bred</v>
      </c>
    </row>
    <row r="900">
      <c r="A900" s="1" t="str">
        <f t="shared" si="180"/>
        <v>Dog : Elite Training</v>
      </c>
      <c r="B900" s="1" t="str">
        <f t="shared" si="176"/>
        <v>https://m566.info/ztfouz0</v>
      </c>
      <c r="C900" s="1" t="str">
        <f>HYPERLINK("https://m566.info/ztfouz0","Rotweiller")</f>
        <v>Rotweiller</v>
      </c>
    </row>
    <row r="901">
      <c r="A901" s="1" t="str">
        <f t="shared" ref="A901:A906" si="181">HYPERLINK("https://m566.info/en0yd7y","Dog Aggression Training")</f>
        <v>Dog Aggression Training</v>
      </c>
      <c r="B901" s="1" t="str">
        <f t="shared" ref="B901:B930" si="182">HYPERLINK("https://m566.info/en0yd7y","https://m566.info/en0yd7y")</f>
        <v>https://m566.info/en0yd7y</v>
      </c>
      <c r="C901" s="1" t="str">
        <f>HYPERLINK("https://m566.info/en0yd7y","Doberman")</f>
        <v>Doberman</v>
      </c>
    </row>
    <row r="902">
      <c r="A902" s="1" t="str">
        <f t="shared" si="181"/>
        <v>Dog Aggression Training</v>
      </c>
      <c r="B902" s="1" t="str">
        <f t="shared" si="182"/>
        <v>https://m566.info/en0yd7y</v>
      </c>
      <c r="C902" s="1" t="str">
        <f>HYPERLINK("https://m566.info/en0yd7y","German Shepherd")</f>
        <v>German Shepherd</v>
      </c>
    </row>
    <row r="903">
      <c r="A903" s="1" t="str">
        <f t="shared" si="181"/>
        <v>Dog Aggression Training</v>
      </c>
      <c r="B903" s="1" t="str">
        <f t="shared" si="182"/>
        <v>https://m566.info/en0yd7y</v>
      </c>
      <c r="C903" s="1" t="str">
        <f>HYPERLINK("https://m566.info/en0yd7y","Border Clollie")</f>
        <v>Border Clollie</v>
      </c>
    </row>
    <row r="904">
      <c r="A904" s="1" t="str">
        <f t="shared" si="181"/>
        <v>Dog Aggression Training</v>
      </c>
      <c r="B904" s="1" t="str">
        <f t="shared" si="182"/>
        <v>https://m566.info/en0yd7y</v>
      </c>
      <c r="C904" s="1" t="str">
        <f>HYPERLINK("https://m566.info/en0yd7y","Rotwieller")</f>
        <v>Rotwieller</v>
      </c>
    </row>
    <row r="905">
      <c r="A905" s="1" t="str">
        <f t="shared" si="181"/>
        <v>Dog Aggression Training</v>
      </c>
      <c r="B905" s="1" t="str">
        <f t="shared" si="182"/>
        <v>https://m566.info/en0yd7y</v>
      </c>
      <c r="C905" s="1" t="str">
        <f>HYPERLINK("https://m566.info/en0yd7y","Cross Bred")</f>
        <v>Cross Bred</v>
      </c>
    </row>
    <row r="906">
      <c r="A906" s="1" t="str">
        <f t="shared" si="181"/>
        <v>Dog Aggression Training</v>
      </c>
      <c r="B906" s="1" t="str">
        <f t="shared" si="182"/>
        <v>https://m566.info/en0yd7y</v>
      </c>
      <c r="C906" s="1" t="str">
        <f>HYPERLINK("https://m566.info/en0yd7y","Rotweiller")</f>
        <v>Rotweiller</v>
      </c>
    </row>
    <row r="907">
      <c r="A907" s="1" t="str">
        <f t="shared" ref="A907:A912" si="183">HYPERLINK("https://m566.info/en0yd7y","Dog Obedience Training")</f>
        <v>Dog Obedience Training</v>
      </c>
      <c r="B907" s="1" t="str">
        <f t="shared" si="182"/>
        <v>https://m566.info/en0yd7y</v>
      </c>
      <c r="C907" s="1" t="str">
        <f>HYPERLINK("https://m566.info/en0yd7y","Doberman")</f>
        <v>Doberman</v>
      </c>
    </row>
    <row r="908">
      <c r="A908" s="1" t="str">
        <f t="shared" si="183"/>
        <v>Dog Obedience Training</v>
      </c>
      <c r="B908" s="1" t="str">
        <f t="shared" si="182"/>
        <v>https://m566.info/en0yd7y</v>
      </c>
      <c r="C908" s="1" t="str">
        <f>HYPERLINK("https://m566.info/en0yd7y","German Shepherd")</f>
        <v>German Shepherd</v>
      </c>
    </row>
    <row r="909">
      <c r="A909" s="1" t="str">
        <f t="shared" si="183"/>
        <v>Dog Obedience Training</v>
      </c>
      <c r="B909" s="1" t="str">
        <f t="shared" si="182"/>
        <v>https://m566.info/en0yd7y</v>
      </c>
      <c r="C909" s="1" t="str">
        <f>HYPERLINK("https://m566.info/en0yd7y","Border Clollie")</f>
        <v>Border Clollie</v>
      </c>
    </row>
    <row r="910">
      <c r="A910" s="1" t="str">
        <f t="shared" si="183"/>
        <v>Dog Obedience Training</v>
      </c>
      <c r="B910" s="1" t="str">
        <f t="shared" si="182"/>
        <v>https://m566.info/en0yd7y</v>
      </c>
      <c r="C910" s="1" t="str">
        <f>HYPERLINK("https://m566.info/en0yd7y","Rotwieller")</f>
        <v>Rotwieller</v>
      </c>
    </row>
    <row r="911">
      <c r="A911" s="1" t="str">
        <f t="shared" si="183"/>
        <v>Dog Obedience Training</v>
      </c>
      <c r="B911" s="1" t="str">
        <f t="shared" si="182"/>
        <v>https://m566.info/en0yd7y</v>
      </c>
      <c r="C911" s="1" t="str">
        <f>HYPERLINK("https://m566.info/en0yd7y","Cross Bred")</f>
        <v>Cross Bred</v>
      </c>
    </row>
    <row r="912">
      <c r="A912" s="1" t="str">
        <f t="shared" si="183"/>
        <v>Dog Obedience Training</v>
      </c>
      <c r="B912" s="1" t="str">
        <f t="shared" si="182"/>
        <v>https://m566.info/en0yd7y</v>
      </c>
      <c r="C912" s="1" t="str">
        <f>HYPERLINK("https://m566.info/en0yd7y","Rotweiller")</f>
        <v>Rotweiller</v>
      </c>
    </row>
    <row r="913">
      <c r="A913" s="1" t="str">
        <f t="shared" ref="A913:A918" si="184">HYPERLINK("https://m566.info/en0yd7y","Dog House Training")</f>
        <v>Dog House Training</v>
      </c>
      <c r="B913" s="1" t="str">
        <f t="shared" si="182"/>
        <v>https://m566.info/en0yd7y</v>
      </c>
      <c r="C913" s="1" t="str">
        <f>HYPERLINK("https://m566.info/en0yd7y","Doberman")</f>
        <v>Doberman</v>
      </c>
    </row>
    <row r="914">
      <c r="A914" s="1" t="str">
        <f t="shared" si="184"/>
        <v>Dog House Training</v>
      </c>
      <c r="B914" s="1" t="str">
        <f t="shared" si="182"/>
        <v>https://m566.info/en0yd7y</v>
      </c>
      <c r="C914" s="1" t="str">
        <f>HYPERLINK("https://m566.info/en0yd7y","German Shepherd")</f>
        <v>German Shepherd</v>
      </c>
    </row>
    <row r="915">
      <c r="A915" s="1" t="str">
        <f t="shared" si="184"/>
        <v>Dog House Training</v>
      </c>
      <c r="B915" s="1" t="str">
        <f t="shared" si="182"/>
        <v>https://m566.info/en0yd7y</v>
      </c>
      <c r="C915" s="1" t="str">
        <f>HYPERLINK("https://m566.info/en0yd7y","Border Clollie")</f>
        <v>Border Clollie</v>
      </c>
    </row>
    <row r="916">
      <c r="A916" s="1" t="str">
        <f t="shared" si="184"/>
        <v>Dog House Training</v>
      </c>
      <c r="B916" s="1" t="str">
        <f t="shared" si="182"/>
        <v>https://m566.info/en0yd7y</v>
      </c>
      <c r="C916" s="1" t="str">
        <f>HYPERLINK("https://m566.info/en0yd7y","Rotwieller")</f>
        <v>Rotwieller</v>
      </c>
    </row>
    <row r="917">
      <c r="A917" s="1" t="str">
        <f t="shared" si="184"/>
        <v>Dog House Training</v>
      </c>
      <c r="B917" s="1" t="str">
        <f t="shared" si="182"/>
        <v>https://m566.info/en0yd7y</v>
      </c>
      <c r="C917" s="1" t="str">
        <f>HYPERLINK("https://m566.info/en0yd7y","Cross Bred")</f>
        <v>Cross Bred</v>
      </c>
    </row>
    <row r="918">
      <c r="A918" s="1" t="str">
        <f t="shared" si="184"/>
        <v>Dog House Training</v>
      </c>
      <c r="B918" s="1" t="str">
        <f t="shared" si="182"/>
        <v>https://m566.info/en0yd7y</v>
      </c>
      <c r="C918" s="1" t="str">
        <f>HYPERLINK("https://m566.info/en0yd7y","Rotweiller")</f>
        <v>Rotweiller</v>
      </c>
    </row>
    <row r="919">
      <c r="A919" s="1" t="str">
        <f t="shared" ref="A919:A924" si="185">HYPERLINK("https://m566.info/en0yd7y","Dog Behaviour Training")</f>
        <v>Dog Behaviour Training</v>
      </c>
      <c r="B919" s="1" t="str">
        <f t="shared" si="182"/>
        <v>https://m566.info/en0yd7y</v>
      </c>
      <c r="C919" s="1" t="str">
        <f>HYPERLINK("https://m566.info/en0yd7y","Doberman")</f>
        <v>Doberman</v>
      </c>
    </row>
    <row r="920">
      <c r="A920" s="1" t="str">
        <f t="shared" si="185"/>
        <v>Dog Behaviour Training</v>
      </c>
      <c r="B920" s="1" t="str">
        <f t="shared" si="182"/>
        <v>https://m566.info/en0yd7y</v>
      </c>
      <c r="C920" s="1" t="str">
        <f>HYPERLINK("https://m566.info/en0yd7y","German Shepherd")</f>
        <v>German Shepherd</v>
      </c>
    </row>
    <row r="921">
      <c r="A921" s="1" t="str">
        <f t="shared" si="185"/>
        <v>Dog Behaviour Training</v>
      </c>
      <c r="B921" s="1" t="str">
        <f t="shared" si="182"/>
        <v>https://m566.info/en0yd7y</v>
      </c>
      <c r="C921" s="1" t="str">
        <f>HYPERLINK("https://m566.info/en0yd7y","Border Clollie")</f>
        <v>Border Clollie</v>
      </c>
    </row>
    <row r="922">
      <c r="A922" s="1" t="str">
        <f t="shared" si="185"/>
        <v>Dog Behaviour Training</v>
      </c>
      <c r="B922" s="1" t="str">
        <f t="shared" si="182"/>
        <v>https://m566.info/en0yd7y</v>
      </c>
      <c r="C922" s="1" t="str">
        <f>HYPERLINK("https://m566.info/en0yd7y","Rotwieller")</f>
        <v>Rotwieller</v>
      </c>
    </row>
    <row r="923">
      <c r="A923" s="1" t="str">
        <f t="shared" si="185"/>
        <v>Dog Behaviour Training</v>
      </c>
      <c r="B923" s="1" t="str">
        <f t="shared" si="182"/>
        <v>https://m566.info/en0yd7y</v>
      </c>
      <c r="C923" s="1" t="str">
        <f>HYPERLINK("https://m566.info/en0yd7y","Cross Bred")</f>
        <v>Cross Bred</v>
      </c>
    </row>
    <row r="924">
      <c r="A924" s="1" t="str">
        <f t="shared" si="185"/>
        <v>Dog Behaviour Training</v>
      </c>
      <c r="B924" s="1" t="str">
        <f t="shared" si="182"/>
        <v>https://m566.info/en0yd7y</v>
      </c>
      <c r="C924" s="1" t="str">
        <f>HYPERLINK("https://m566.info/en0yd7y","Rotweiller")</f>
        <v>Rotweiller</v>
      </c>
    </row>
    <row r="925">
      <c r="A925" s="1" t="str">
        <f t="shared" ref="A925:A930" si="186">HYPERLINK("https://m566.info/en0yd7y","Dog : Elite Training")</f>
        <v>Dog : Elite Training</v>
      </c>
      <c r="B925" s="1" t="str">
        <f t="shared" si="182"/>
        <v>https://m566.info/en0yd7y</v>
      </c>
      <c r="C925" s="1" t="str">
        <f>HYPERLINK("https://m566.info/en0yd7y","Doberman")</f>
        <v>Doberman</v>
      </c>
    </row>
    <row r="926">
      <c r="A926" s="1" t="str">
        <f t="shared" si="186"/>
        <v>Dog : Elite Training</v>
      </c>
      <c r="B926" s="1" t="str">
        <f t="shared" si="182"/>
        <v>https://m566.info/en0yd7y</v>
      </c>
      <c r="C926" s="1" t="str">
        <f>HYPERLINK("https://m566.info/en0yd7y","German Shepherd")</f>
        <v>German Shepherd</v>
      </c>
    </row>
    <row r="927">
      <c r="A927" s="1" t="str">
        <f t="shared" si="186"/>
        <v>Dog : Elite Training</v>
      </c>
      <c r="B927" s="1" t="str">
        <f t="shared" si="182"/>
        <v>https://m566.info/en0yd7y</v>
      </c>
      <c r="C927" s="1" t="str">
        <f>HYPERLINK("https://m566.info/en0yd7y","Border Clollie")</f>
        <v>Border Clollie</v>
      </c>
    </row>
    <row r="928">
      <c r="A928" s="1" t="str">
        <f t="shared" si="186"/>
        <v>Dog : Elite Training</v>
      </c>
      <c r="B928" s="1" t="str">
        <f t="shared" si="182"/>
        <v>https://m566.info/en0yd7y</v>
      </c>
      <c r="C928" s="1" t="str">
        <f>HYPERLINK("https://m566.info/en0yd7y","Rotwieller")</f>
        <v>Rotwieller</v>
      </c>
    </row>
    <row r="929">
      <c r="A929" s="1" t="str">
        <f t="shared" si="186"/>
        <v>Dog : Elite Training</v>
      </c>
      <c r="B929" s="1" t="str">
        <f t="shared" si="182"/>
        <v>https://m566.info/en0yd7y</v>
      </c>
      <c r="C929" s="1" t="str">
        <f>HYPERLINK("https://m566.info/en0yd7y","Cross Bred")</f>
        <v>Cross Bred</v>
      </c>
    </row>
    <row r="930">
      <c r="A930" s="1" t="str">
        <f t="shared" si="186"/>
        <v>Dog : Elite Training</v>
      </c>
      <c r="B930" s="1" t="str">
        <f t="shared" si="182"/>
        <v>https://m566.info/en0yd7y</v>
      </c>
      <c r="C930" s="1" t="str">
        <f>HYPERLINK("https://m566.info/en0yd7y","Rotweiller")</f>
        <v>Rotweiller</v>
      </c>
    </row>
    <row r="931">
      <c r="A931" s="1" t="str">
        <f t="shared" ref="A931:A936" si="187">HYPERLINK("https://m566.info/1udzw3d","Dog Aggression Training")</f>
        <v>Dog Aggression Training</v>
      </c>
      <c r="B931" s="1" t="str">
        <f t="shared" ref="B931:B960" si="188">HYPERLINK("https://m566.info/1udzw3d","https://m566.info/1udzw3d")</f>
        <v>https://m566.info/1udzw3d</v>
      </c>
      <c r="C931" s="1" t="str">
        <f>HYPERLINK("https://m566.info/1udzw3d","Doberman")</f>
        <v>Doberman</v>
      </c>
    </row>
    <row r="932">
      <c r="A932" s="1" t="str">
        <f t="shared" si="187"/>
        <v>Dog Aggression Training</v>
      </c>
      <c r="B932" s="1" t="str">
        <f t="shared" si="188"/>
        <v>https://m566.info/1udzw3d</v>
      </c>
      <c r="C932" s="1" t="str">
        <f>HYPERLINK("https://m566.info/1udzw3d","German Shepherd")</f>
        <v>German Shepherd</v>
      </c>
    </row>
    <row r="933">
      <c r="A933" s="1" t="str">
        <f t="shared" si="187"/>
        <v>Dog Aggression Training</v>
      </c>
      <c r="B933" s="1" t="str">
        <f t="shared" si="188"/>
        <v>https://m566.info/1udzw3d</v>
      </c>
      <c r="C933" s="1" t="str">
        <f>HYPERLINK("https://m566.info/1udzw3d","Border Clollie")</f>
        <v>Border Clollie</v>
      </c>
    </row>
    <row r="934">
      <c r="A934" s="1" t="str">
        <f t="shared" si="187"/>
        <v>Dog Aggression Training</v>
      </c>
      <c r="B934" s="1" t="str">
        <f t="shared" si="188"/>
        <v>https://m566.info/1udzw3d</v>
      </c>
      <c r="C934" s="1" t="str">
        <f>HYPERLINK("https://m566.info/1udzw3d","Rotwieller")</f>
        <v>Rotwieller</v>
      </c>
    </row>
    <row r="935">
      <c r="A935" s="1" t="str">
        <f t="shared" si="187"/>
        <v>Dog Aggression Training</v>
      </c>
      <c r="B935" s="1" t="str">
        <f t="shared" si="188"/>
        <v>https://m566.info/1udzw3d</v>
      </c>
      <c r="C935" s="1" t="str">
        <f>HYPERLINK("https://m566.info/1udzw3d","Cross Bred")</f>
        <v>Cross Bred</v>
      </c>
    </row>
    <row r="936">
      <c r="A936" s="1" t="str">
        <f t="shared" si="187"/>
        <v>Dog Aggression Training</v>
      </c>
      <c r="B936" s="1" t="str">
        <f t="shared" si="188"/>
        <v>https://m566.info/1udzw3d</v>
      </c>
      <c r="C936" s="1" t="str">
        <f>HYPERLINK("https://m566.info/1udzw3d","Rotweiller")</f>
        <v>Rotweiller</v>
      </c>
    </row>
    <row r="937">
      <c r="A937" s="1" t="str">
        <f t="shared" ref="A937:A942" si="189">HYPERLINK("https://m566.info/1udzw3d","Dog Obedience Training")</f>
        <v>Dog Obedience Training</v>
      </c>
      <c r="B937" s="1" t="str">
        <f t="shared" si="188"/>
        <v>https://m566.info/1udzw3d</v>
      </c>
      <c r="C937" s="1" t="str">
        <f>HYPERLINK("https://m566.info/1udzw3d","Doberman")</f>
        <v>Doberman</v>
      </c>
    </row>
    <row r="938">
      <c r="A938" s="1" t="str">
        <f t="shared" si="189"/>
        <v>Dog Obedience Training</v>
      </c>
      <c r="B938" s="1" t="str">
        <f t="shared" si="188"/>
        <v>https://m566.info/1udzw3d</v>
      </c>
      <c r="C938" s="1" t="str">
        <f>HYPERLINK("https://m566.info/1udzw3d","German Shepherd")</f>
        <v>German Shepherd</v>
      </c>
    </row>
    <row r="939">
      <c r="A939" s="1" t="str">
        <f t="shared" si="189"/>
        <v>Dog Obedience Training</v>
      </c>
      <c r="B939" s="1" t="str">
        <f t="shared" si="188"/>
        <v>https://m566.info/1udzw3d</v>
      </c>
      <c r="C939" s="1" t="str">
        <f>HYPERLINK("https://m566.info/1udzw3d","Border Clollie")</f>
        <v>Border Clollie</v>
      </c>
    </row>
    <row r="940">
      <c r="A940" s="1" t="str">
        <f t="shared" si="189"/>
        <v>Dog Obedience Training</v>
      </c>
      <c r="B940" s="1" t="str">
        <f t="shared" si="188"/>
        <v>https://m566.info/1udzw3d</v>
      </c>
      <c r="C940" s="1" t="str">
        <f>HYPERLINK("https://m566.info/1udzw3d","Rotwieller")</f>
        <v>Rotwieller</v>
      </c>
    </row>
    <row r="941">
      <c r="A941" s="1" t="str">
        <f t="shared" si="189"/>
        <v>Dog Obedience Training</v>
      </c>
      <c r="B941" s="1" t="str">
        <f t="shared" si="188"/>
        <v>https://m566.info/1udzw3d</v>
      </c>
      <c r="C941" s="1" t="str">
        <f>HYPERLINK("https://m566.info/1udzw3d","Cross Bred")</f>
        <v>Cross Bred</v>
      </c>
    </row>
    <row r="942">
      <c r="A942" s="1" t="str">
        <f t="shared" si="189"/>
        <v>Dog Obedience Training</v>
      </c>
      <c r="B942" s="1" t="str">
        <f t="shared" si="188"/>
        <v>https://m566.info/1udzw3d</v>
      </c>
      <c r="C942" s="1" t="str">
        <f>HYPERLINK("https://m566.info/1udzw3d","Rotweiller")</f>
        <v>Rotweiller</v>
      </c>
    </row>
    <row r="943">
      <c r="A943" s="1" t="str">
        <f t="shared" ref="A943:A948" si="190">HYPERLINK("https://m566.info/1udzw3d","Dog House Training")</f>
        <v>Dog House Training</v>
      </c>
      <c r="B943" s="1" t="str">
        <f t="shared" si="188"/>
        <v>https://m566.info/1udzw3d</v>
      </c>
      <c r="C943" s="1" t="str">
        <f>HYPERLINK("https://m566.info/1udzw3d","Doberman")</f>
        <v>Doberman</v>
      </c>
    </row>
    <row r="944">
      <c r="A944" s="1" t="str">
        <f t="shared" si="190"/>
        <v>Dog House Training</v>
      </c>
      <c r="B944" s="1" t="str">
        <f t="shared" si="188"/>
        <v>https://m566.info/1udzw3d</v>
      </c>
      <c r="C944" s="1" t="str">
        <f>HYPERLINK("https://m566.info/1udzw3d","German Shepherd")</f>
        <v>German Shepherd</v>
      </c>
    </row>
    <row r="945">
      <c r="A945" s="1" t="str">
        <f t="shared" si="190"/>
        <v>Dog House Training</v>
      </c>
      <c r="B945" s="1" t="str">
        <f t="shared" si="188"/>
        <v>https://m566.info/1udzw3d</v>
      </c>
      <c r="C945" s="1" t="str">
        <f>HYPERLINK("https://m566.info/1udzw3d","Border Clollie")</f>
        <v>Border Clollie</v>
      </c>
    </row>
    <row r="946">
      <c r="A946" s="1" t="str">
        <f t="shared" si="190"/>
        <v>Dog House Training</v>
      </c>
      <c r="B946" s="1" t="str">
        <f t="shared" si="188"/>
        <v>https://m566.info/1udzw3d</v>
      </c>
      <c r="C946" s="1" t="str">
        <f>HYPERLINK("https://m566.info/1udzw3d","Rotwieller")</f>
        <v>Rotwieller</v>
      </c>
    </row>
    <row r="947">
      <c r="A947" s="1" t="str">
        <f t="shared" si="190"/>
        <v>Dog House Training</v>
      </c>
      <c r="B947" s="1" t="str">
        <f t="shared" si="188"/>
        <v>https://m566.info/1udzw3d</v>
      </c>
      <c r="C947" s="1" t="str">
        <f>HYPERLINK("https://m566.info/1udzw3d","Cross Bred")</f>
        <v>Cross Bred</v>
      </c>
    </row>
    <row r="948">
      <c r="A948" s="1" t="str">
        <f t="shared" si="190"/>
        <v>Dog House Training</v>
      </c>
      <c r="B948" s="1" t="str">
        <f t="shared" si="188"/>
        <v>https://m566.info/1udzw3d</v>
      </c>
      <c r="C948" s="1" t="str">
        <f>HYPERLINK("https://m566.info/1udzw3d","Rotweiller")</f>
        <v>Rotweiller</v>
      </c>
    </row>
    <row r="949">
      <c r="A949" s="1" t="str">
        <f t="shared" ref="A949:A954" si="191">HYPERLINK("https://m566.info/1udzw3d","Dog Behaviour Training")</f>
        <v>Dog Behaviour Training</v>
      </c>
      <c r="B949" s="1" t="str">
        <f t="shared" si="188"/>
        <v>https://m566.info/1udzw3d</v>
      </c>
      <c r="C949" s="1" t="str">
        <f>HYPERLINK("https://m566.info/1udzw3d","Doberman")</f>
        <v>Doberman</v>
      </c>
    </row>
    <row r="950">
      <c r="A950" s="1" t="str">
        <f t="shared" si="191"/>
        <v>Dog Behaviour Training</v>
      </c>
      <c r="B950" s="1" t="str">
        <f t="shared" si="188"/>
        <v>https://m566.info/1udzw3d</v>
      </c>
      <c r="C950" s="1" t="str">
        <f>HYPERLINK("https://m566.info/1udzw3d","German Shepherd")</f>
        <v>German Shepherd</v>
      </c>
    </row>
    <row r="951">
      <c r="A951" s="1" t="str">
        <f t="shared" si="191"/>
        <v>Dog Behaviour Training</v>
      </c>
      <c r="B951" s="1" t="str">
        <f t="shared" si="188"/>
        <v>https://m566.info/1udzw3d</v>
      </c>
      <c r="C951" s="1" t="str">
        <f>HYPERLINK("https://m566.info/1udzw3d","Border Clollie")</f>
        <v>Border Clollie</v>
      </c>
    </row>
    <row r="952">
      <c r="A952" s="1" t="str">
        <f t="shared" si="191"/>
        <v>Dog Behaviour Training</v>
      </c>
      <c r="B952" s="1" t="str">
        <f t="shared" si="188"/>
        <v>https://m566.info/1udzw3d</v>
      </c>
      <c r="C952" s="1" t="str">
        <f>HYPERLINK("https://m566.info/1udzw3d","Rotwieller")</f>
        <v>Rotwieller</v>
      </c>
    </row>
    <row r="953">
      <c r="A953" s="1" t="str">
        <f t="shared" si="191"/>
        <v>Dog Behaviour Training</v>
      </c>
      <c r="B953" s="1" t="str">
        <f t="shared" si="188"/>
        <v>https://m566.info/1udzw3d</v>
      </c>
      <c r="C953" s="1" t="str">
        <f>HYPERLINK("https://m566.info/1udzw3d","Cross Bred")</f>
        <v>Cross Bred</v>
      </c>
    </row>
    <row r="954">
      <c r="A954" s="1" t="str">
        <f t="shared" si="191"/>
        <v>Dog Behaviour Training</v>
      </c>
      <c r="B954" s="1" t="str">
        <f t="shared" si="188"/>
        <v>https://m566.info/1udzw3d</v>
      </c>
      <c r="C954" s="1" t="str">
        <f>HYPERLINK("https://m566.info/1udzw3d","Rotweiller")</f>
        <v>Rotweiller</v>
      </c>
    </row>
    <row r="955">
      <c r="A955" s="1" t="str">
        <f t="shared" ref="A955:A960" si="192">HYPERLINK("https://m566.info/1udzw3d","Dog : Elite Training")</f>
        <v>Dog : Elite Training</v>
      </c>
      <c r="B955" s="1" t="str">
        <f t="shared" si="188"/>
        <v>https://m566.info/1udzw3d</v>
      </c>
      <c r="C955" s="1" t="str">
        <f>HYPERLINK("https://m566.info/1udzw3d","Doberman")</f>
        <v>Doberman</v>
      </c>
    </row>
    <row r="956">
      <c r="A956" s="1" t="str">
        <f t="shared" si="192"/>
        <v>Dog : Elite Training</v>
      </c>
      <c r="B956" s="1" t="str">
        <f t="shared" si="188"/>
        <v>https://m566.info/1udzw3d</v>
      </c>
      <c r="C956" s="1" t="str">
        <f>HYPERLINK("https://m566.info/1udzw3d","German Shepherd")</f>
        <v>German Shepherd</v>
      </c>
    </row>
    <row r="957">
      <c r="A957" s="1" t="str">
        <f t="shared" si="192"/>
        <v>Dog : Elite Training</v>
      </c>
      <c r="B957" s="1" t="str">
        <f t="shared" si="188"/>
        <v>https://m566.info/1udzw3d</v>
      </c>
      <c r="C957" s="1" t="str">
        <f>HYPERLINK("https://m566.info/1udzw3d","Border Clollie")</f>
        <v>Border Clollie</v>
      </c>
    </row>
    <row r="958">
      <c r="A958" s="1" t="str">
        <f t="shared" si="192"/>
        <v>Dog : Elite Training</v>
      </c>
      <c r="B958" s="1" t="str">
        <f t="shared" si="188"/>
        <v>https://m566.info/1udzw3d</v>
      </c>
      <c r="C958" s="1" t="str">
        <f>HYPERLINK("https://m566.info/1udzw3d","Rotwieller")</f>
        <v>Rotwieller</v>
      </c>
    </row>
    <row r="959">
      <c r="A959" s="1" t="str">
        <f t="shared" si="192"/>
        <v>Dog : Elite Training</v>
      </c>
      <c r="B959" s="1" t="str">
        <f t="shared" si="188"/>
        <v>https://m566.info/1udzw3d</v>
      </c>
      <c r="C959" s="1" t="str">
        <f>HYPERLINK("https://m566.info/1udzw3d","Cross Bred")</f>
        <v>Cross Bred</v>
      </c>
    </row>
    <row r="960">
      <c r="A960" s="1" t="str">
        <f t="shared" si="192"/>
        <v>Dog : Elite Training</v>
      </c>
      <c r="B960" s="1" t="str">
        <f t="shared" si="188"/>
        <v>https://m566.info/1udzw3d</v>
      </c>
      <c r="C960" s="1" t="str">
        <f>HYPERLINK("https://m566.info/1udzw3d","Rotweiller")</f>
        <v>Rotweiller</v>
      </c>
    </row>
    <row r="961">
      <c r="A961" s="1" t="str">
        <f t="shared" ref="A961:A966" si="193">HYPERLINK("https://m566.info/hsryn7k","Dog Aggression Training")</f>
        <v>Dog Aggression Training</v>
      </c>
      <c r="B961" s="1" t="str">
        <f t="shared" ref="B961:B990" si="194">HYPERLINK("https://m566.info/hsryn7k","https://m566.info/hsryn7k")</f>
        <v>https://m566.info/hsryn7k</v>
      </c>
      <c r="C961" s="1" t="str">
        <f>HYPERLINK("https://m566.info/hsryn7k","Doberman")</f>
        <v>Doberman</v>
      </c>
    </row>
    <row r="962">
      <c r="A962" s="1" t="str">
        <f t="shared" si="193"/>
        <v>Dog Aggression Training</v>
      </c>
      <c r="B962" s="1" t="str">
        <f t="shared" si="194"/>
        <v>https://m566.info/hsryn7k</v>
      </c>
      <c r="C962" s="1" t="str">
        <f>HYPERLINK("https://m566.info/hsryn7k","German Shepherd")</f>
        <v>German Shepherd</v>
      </c>
    </row>
    <row r="963">
      <c r="A963" s="1" t="str">
        <f t="shared" si="193"/>
        <v>Dog Aggression Training</v>
      </c>
      <c r="B963" s="1" t="str">
        <f t="shared" si="194"/>
        <v>https://m566.info/hsryn7k</v>
      </c>
      <c r="C963" s="1" t="str">
        <f>HYPERLINK("https://m566.info/hsryn7k","Border Clollie")</f>
        <v>Border Clollie</v>
      </c>
    </row>
    <row r="964">
      <c r="A964" s="1" t="str">
        <f t="shared" si="193"/>
        <v>Dog Aggression Training</v>
      </c>
      <c r="B964" s="1" t="str">
        <f t="shared" si="194"/>
        <v>https://m566.info/hsryn7k</v>
      </c>
      <c r="C964" s="1" t="str">
        <f>HYPERLINK("https://m566.info/hsryn7k","Rotwieller")</f>
        <v>Rotwieller</v>
      </c>
    </row>
    <row r="965">
      <c r="A965" s="1" t="str">
        <f t="shared" si="193"/>
        <v>Dog Aggression Training</v>
      </c>
      <c r="B965" s="1" t="str">
        <f t="shared" si="194"/>
        <v>https://m566.info/hsryn7k</v>
      </c>
      <c r="C965" s="1" t="str">
        <f>HYPERLINK("https://m566.info/hsryn7k","Cross Bred")</f>
        <v>Cross Bred</v>
      </c>
    </row>
    <row r="966">
      <c r="A966" s="1" t="str">
        <f t="shared" si="193"/>
        <v>Dog Aggression Training</v>
      </c>
      <c r="B966" s="1" t="str">
        <f t="shared" si="194"/>
        <v>https://m566.info/hsryn7k</v>
      </c>
      <c r="C966" s="1" t="str">
        <f>HYPERLINK("https://m566.info/hsryn7k","Rotweiller")</f>
        <v>Rotweiller</v>
      </c>
    </row>
    <row r="967">
      <c r="A967" s="1" t="str">
        <f t="shared" ref="A967:A972" si="195">HYPERLINK("https://m566.info/hsryn7k","Dog Obedience Training")</f>
        <v>Dog Obedience Training</v>
      </c>
      <c r="B967" s="1" t="str">
        <f t="shared" si="194"/>
        <v>https://m566.info/hsryn7k</v>
      </c>
      <c r="C967" s="1" t="str">
        <f>HYPERLINK("https://m566.info/hsryn7k","Doberman")</f>
        <v>Doberman</v>
      </c>
    </row>
    <row r="968">
      <c r="A968" s="1" t="str">
        <f t="shared" si="195"/>
        <v>Dog Obedience Training</v>
      </c>
      <c r="B968" s="1" t="str">
        <f t="shared" si="194"/>
        <v>https://m566.info/hsryn7k</v>
      </c>
      <c r="C968" s="1" t="str">
        <f>HYPERLINK("https://m566.info/hsryn7k","German Shepherd")</f>
        <v>German Shepherd</v>
      </c>
    </row>
    <row r="969">
      <c r="A969" s="1" t="str">
        <f t="shared" si="195"/>
        <v>Dog Obedience Training</v>
      </c>
      <c r="B969" s="1" t="str">
        <f t="shared" si="194"/>
        <v>https://m566.info/hsryn7k</v>
      </c>
      <c r="C969" s="1" t="str">
        <f>HYPERLINK("https://m566.info/hsryn7k","Border Clollie")</f>
        <v>Border Clollie</v>
      </c>
    </row>
    <row r="970">
      <c r="A970" s="1" t="str">
        <f t="shared" si="195"/>
        <v>Dog Obedience Training</v>
      </c>
      <c r="B970" s="1" t="str">
        <f t="shared" si="194"/>
        <v>https://m566.info/hsryn7k</v>
      </c>
      <c r="C970" s="1" t="str">
        <f>HYPERLINK("https://m566.info/hsryn7k","Rotwieller")</f>
        <v>Rotwieller</v>
      </c>
    </row>
    <row r="971">
      <c r="A971" s="1" t="str">
        <f t="shared" si="195"/>
        <v>Dog Obedience Training</v>
      </c>
      <c r="B971" s="1" t="str">
        <f t="shared" si="194"/>
        <v>https://m566.info/hsryn7k</v>
      </c>
      <c r="C971" s="1" t="str">
        <f>HYPERLINK("https://m566.info/hsryn7k","Cross Bred")</f>
        <v>Cross Bred</v>
      </c>
    </row>
    <row r="972">
      <c r="A972" s="1" t="str">
        <f t="shared" si="195"/>
        <v>Dog Obedience Training</v>
      </c>
      <c r="B972" s="1" t="str">
        <f t="shared" si="194"/>
        <v>https://m566.info/hsryn7k</v>
      </c>
      <c r="C972" s="1" t="str">
        <f>HYPERLINK("https://m566.info/hsryn7k","Rotweiller")</f>
        <v>Rotweiller</v>
      </c>
    </row>
    <row r="973">
      <c r="A973" s="1" t="str">
        <f t="shared" ref="A973:A978" si="196">HYPERLINK("https://m566.info/hsryn7k","Dog House Training")</f>
        <v>Dog House Training</v>
      </c>
      <c r="B973" s="1" t="str">
        <f t="shared" si="194"/>
        <v>https://m566.info/hsryn7k</v>
      </c>
      <c r="C973" s="1" t="str">
        <f>HYPERLINK("https://m566.info/hsryn7k","Doberman")</f>
        <v>Doberman</v>
      </c>
    </row>
    <row r="974">
      <c r="A974" s="1" t="str">
        <f t="shared" si="196"/>
        <v>Dog House Training</v>
      </c>
      <c r="B974" s="1" t="str">
        <f t="shared" si="194"/>
        <v>https://m566.info/hsryn7k</v>
      </c>
      <c r="C974" s="1" t="str">
        <f>HYPERLINK("https://m566.info/hsryn7k","German Shepherd")</f>
        <v>German Shepherd</v>
      </c>
    </row>
    <row r="975">
      <c r="A975" s="1" t="str">
        <f t="shared" si="196"/>
        <v>Dog House Training</v>
      </c>
      <c r="B975" s="1" t="str">
        <f t="shared" si="194"/>
        <v>https://m566.info/hsryn7k</v>
      </c>
      <c r="C975" s="1" t="str">
        <f>HYPERLINK("https://m566.info/hsryn7k","Border Clollie")</f>
        <v>Border Clollie</v>
      </c>
    </row>
    <row r="976">
      <c r="A976" s="1" t="str">
        <f t="shared" si="196"/>
        <v>Dog House Training</v>
      </c>
      <c r="B976" s="1" t="str">
        <f t="shared" si="194"/>
        <v>https://m566.info/hsryn7k</v>
      </c>
      <c r="C976" s="1" t="str">
        <f>HYPERLINK("https://m566.info/hsryn7k","Rotwieller")</f>
        <v>Rotwieller</v>
      </c>
    </row>
    <row r="977">
      <c r="A977" s="1" t="str">
        <f t="shared" si="196"/>
        <v>Dog House Training</v>
      </c>
      <c r="B977" s="1" t="str">
        <f t="shared" si="194"/>
        <v>https://m566.info/hsryn7k</v>
      </c>
      <c r="C977" s="1" t="str">
        <f>HYPERLINK("https://m566.info/hsryn7k","Cross Bred")</f>
        <v>Cross Bred</v>
      </c>
    </row>
    <row r="978">
      <c r="A978" s="1" t="str">
        <f t="shared" si="196"/>
        <v>Dog House Training</v>
      </c>
      <c r="B978" s="1" t="str">
        <f t="shared" si="194"/>
        <v>https://m566.info/hsryn7k</v>
      </c>
      <c r="C978" s="1" t="str">
        <f>HYPERLINK("https://m566.info/hsryn7k","Rotweiller")</f>
        <v>Rotweiller</v>
      </c>
    </row>
    <row r="979">
      <c r="A979" s="1" t="str">
        <f t="shared" ref="A979:A984" si="197">HYPERLINK("https://m566.info/hsryn7k","Dog Behaviour Training")</f>
        <v>Dog Behaviour Training</v>
      </c>
      <c r="B979" s="1" t="str">
        <f t="shared" si="194"/>
        <v>https://m566.info/hsryn7k</v>
      </c>
      <c r="C979" s="1" t="str">
        <f>HYPERLINK("https://m566.info/hsryn7k","Doberman")</f>
        <v>Doberman</v>
      </c>
    </row>
    <row r="980">
      <c r="A980" s="1" t="str">
        <f t="shared" si="197"/>
        <v>Dog Behaviour Training</v>
      </c>
      <c r="B980" s="1" t="str">
        <f t="shared" si="194"/>
        <v>https://m566.info/hsryn7k</v>
      </c>
      <c r="C980" s="1" t="str">
        <f>HYPERLINK("https://m566.info/hsryn7k","German Shepherd")</f>
        <v>German Shepherd</v>
      </c>
    </row>
    <row r="981">
      <c r="A981" s="1" t="str">
        <f t="shared" si="197"/>
        <v>Dog Behaviour Training</v>
      </c>
      <c r="B981" s="1" t="str">
        <f t="shared" si="194"/>
        <v>https://m566.info/hsryn7k</v>
      </c>
      <c r="C981" s="1" t="str">
        <f>HYPERLINK("https://m566.info/hsryn7k","Border Clollie")</f>
        <v>Border Clollie</v>
      </c>
    </row>
    <row r="982">
      <c r="A982" s="1" t="str">
        <f t="shared" si="197"/>
        <v>Dog Behaviour Training</v>
      </c>
      <c r="B982" s="1" t="str">
        <f t="shared" si="194"/>
        <v>https://m566.info/hsryn7k</v>
      </c>
      <c r="C982" s="1" t="str">
        <f>HYPERLINK("https://m566.info/hsryn7k","Rotwieller")</f>
        <v>Rotwieller</v>
      </c>
    </row>
    <row r="983">
      <c r="A983" s="1" t="str">
        <f t="shared" si="197"/>
        <v>Dog Behaviour Training</v>
      </c>
      <c r="B983" s="1" t="str">
        <f t="shared" si="194"/>
        <v>https://m566.info/hsryn7k</v>
      </c>
      <c r="C983" s="1" t="str">
        <f>HYPERLINK("https://m566.info/hsryn7k","Cross Bred")</f>
        <v>Cross Bred</v>
      </c>
    </row>
    <row r="984">
      <c r="A984" s="1" t="str">
        <f t="shared" si="197"/>
        <v>Dog Behaviour Training</v>
      </c>
      <c r="B984" s="1" t="str">
        <f t="shared" si="194"/>
        <v>https://m566.info/hsryn7k</v>
      </c>
      <c r="C984" s="1" t="str">
        <f>HYPERLINK("https://m566.info/hsryn7k","Rotweiller")</f>
        <v>Rotweiller</v>
      </c>
    </row>
    <row r="985">
      <c r="A985" s="1" t="str">
        <f t="shared" ref="A985:A990" si="198">HYPERLINK("https://m566.info/hsryn7k","Dog : Elite Training")</f>
        <v>Dog : Elite Training</v>
      </c>
      <c r="B985" s="1" t="str">
        <f t="shared" si="194"/>
        <v>https://m566.info/hsryn7k</v>
      </c>
      <c r="C985" s="1" t="str">
        <f>HYPERLINK("https://m566.info/hsryn7k","Doberman")</f>
        <v>Doberman</v>
      </c>
    </row>
    <row r="986">
      <c r="A986" s="1" t="str">
        <f t="shared" si="198"/>
        <v>Dog : Elite Training</v>
      </c>
      <c r="B986" s="1" t="str">
        <f t="shared" si="194"/>
        <v>https://m566.info/hsryn7k</v>
      </c>
      <c r="C986" s="1" t="str">
        <f>HYPERLINK("https://m566.info/hsryn7k","German Shepherd")</f>
        <v>German Shepherd</v>
      </c>
    </row>
    <row r="987">
      <c r="A987" s="1" t="str">
        <f t="shared" si="198"/>
        <v>Dog : Elite Training</v>
      </c>
      <c r="B987" s="1" t="str">
        <f t="shared" si="194"/>
        <v>https://m566.info/hsryn7k</v>
      </c>
      <c r="C987" s="1" t="str">
        <f>HYPERLINK("https://m566.info/hsryn7k","Border Clollie")</f>
        <v>Border Clollie</v>
      </c>
    </row>
    <row r="988">
      <c r="A988" s="1" t="str">
        <f t="shared" si="198"/>
        <v>Dog : Elite Training</v>
      </c>
      <c r="B988" s="1" t="str">
        <f t="shared" si="194"/>
        <v>https://m566.info/hsryn7k</v>
      </c>
      <c r="C988" s="1" t="str">
        <f>HYPERLINK("https://m566.info/hsryn7k","Rotwieller")</f>
        <v>Rotwieller</v>
      </c>
    </row>
    <row r="989">
      <c r="A989" s="1" t="str">
        <f t="shared" si="198"/>
        <v>Dog : Elite Training</v>
      </c>
      <c r="B989" s="1" t="str">
        <f t="shared" si="194"/>
        <v>https://m566.info/hsryn7k</v>
      </c>
      <c r="C989" s="1" t="str">
        <f>HYPERLINK("https://m566.info/hsryn7k","Cross Bred")</f>
        <v>Cross Bred</v>
      </c>
    </row>
    <row r="990">
      <c r="A990" s="1" t="str">
        <f t="shared" si="198"/>
        <v>Dog : Elite Training</v>
      </c>
      <c r="B990" s="1" t="str">
        <f t="shared" si="194"/>
        <v>https://m566.info/hsryn7k</v>
      </c>
      <c r="C990" s="1" t="str">
        <f>HYPERLINK("https://m566.info/hsryn7k","Rotweiller")</f>
        <v>Rotweiller</v>
      </c>
    </row>
    <row r="991">
      <c r="A991" s="1" t="str">
        <f t="shared" ref="A991:A996" si="199">HYPERLINK("https://m566.info/59tuq8u","Dog Aggression Training")</f>
        <v>Dog Aggression Training</v>
      </c>
      <c r="B991" s="1" t="str">
        <f t="shared" ref="B991:B1020" si="200">HYPERLINK("https://m566.info/59tuq8u","https://m566.info/59tuq8u")</f>
        <v>https://m566.info/59tuq8u</v>
      </c>
      <c r="C991" s="1" t="str">
        <f>HYPERLINK("https://m566.info/59tuq8u","Doberman")</f>
        <v>Doberman</v>
      </c>
    </row>
    <row r="992">
      <c r="A992" s="1" t="str">
        <f t="shared" si="199"/>
        <v>Dog Aggression Training</v>
      </c>
      <c r="B992" s="1" t="str">
        <f t="shared" si="200"/>
        <v>https://m566.info/59tuq8u</v>
      </c>
      <c r="C992" s="1" t="str">
        <f>HYPERLINK("https://m566.info/59tuq8u","German Shepherd")</f>
        <v>German Shepherd</v>
      </c>
    </row>
    <row r="993">
      <c r="A993" s="1" t="str">
        <f t="shared" si="199"/>
        <v>Dog Aggression Training</v>
      </c>
      <c r="B993" s="1" t="str">
        <f t="shared" si="200"/>
        <v>https://m566.info/59tuq8u</v>
      </c>
      <c r="C993" s="1" t="str">
        <f>HYPERLINK("https://m566.info/59tuq8u","Border Clollie")</f>
        <v>Border Clollie</v>
      </c>
    </row>
    <row r="994">
      <c r="A994" s="1" t="str">
        <f t="shared" si="199"/>
        <v>Dog Aggression Training</v>
      </c>
      <c r="B994" s="1" t="str">
        <f t="shared" si="200"/>
        <v>https://m566.info/59tuq8u</v>
      </c>
      <c r="C994" s="1" t="str">
        <f>HYPERLINK("https://m566.info/59tuq8u","Rotwieller")</f>
        <v>Rotwieller</v>
      </c>
    </row>
    <row r="995">
      <c r="A995" s="1" t="str">
        <f t="shared" si="199"/>
        <v>Dog Aggression Training</v>
      </c>
      <c r="B995" s="1" t="str">
        <f t="shared" si="200"/>
        <v>https://m566.info/59tuq8u</v>
      </c>
      <c r="C995" s="1" t="str">
        <f>HYPERLINK("https://m566.info/59tuq8u","Cross Bred")</f>
        <v>Cross Bred</v>
      </c>
    </row>
    <row r="996">
      <c r="A996" s="1" t="str">
        <f t="shared" si="199"/>
        <v>Dog Aggression Training</v>
      </c>
      <c r="B996" s="1" t="str">
        <f t="shared" si="200"/>
        <v>https://m566.info/59tuq8u</v>
      </c>
      <c r="C996" s="1" t="str">
        <f>HYPERLINK("https://m566.info/59tuq8u","Rotweiller")</f>
        <v>Rotweiller</v>
      </c>
    </row>
    <row r="997">
      <c r="A997" s="1" t="str">
        <f t="shared" ref="A997:A1002" si="201">HYPERLINK("https://m566.info/59tuq8u","Dog Obedience Training")</f>
        <v>Dog Obedience Training</v>
      </c>
      <c r="B997" s="1" t="str">
        <f t="shared" si="200"/>
        <v>https://m566.info/59tuq8u</v>
      </c>
      <c r="C997" s="1" t="str">
        <f>HYPERLINK("https://m566.info/59tuq8u","Doberman")</f>
        <v>Doberman</v>
      </c>
    </row>
    <row r="998">
      <c r="A998" s="1" t="str">
        <f t="shared" si="201"/>
        <v>Dog Obedience Training</v>
      </c>
      <c r="B998" s="1" t="str">
        <f t="shared" si="200"/>
        <v>https://m566.info/59tuq8u</v>
      </c>
      <c r="C998" s="1" t="str">
        <f>HYPERLINK("https://m566.info/59tuq8u","German Shepherd")</f>
        <v>German Shepherd</v>
      </c>
    </row>
    <row r="999">
      <c r="A999" s="1" t="str">
        <f t="shared" si="201"/>
        <v>Dog Obedience Training</v>
      </c>
      <c r="B999" s="1" t="str">
        <f t="shared" si="200"/>
        <v>https://m566.info/59tuq8u</v>
      </c>
      <c r="C999" s="1" t="str">
        <f>HYPERLINK("https://m566.info/59tuq8u","Border Clollie")</f>
        <v>Border Clollie</v>
      </c>
    </row>
    <row r="1000">
      <c r="A1000" s="1" t="str">
        <f t="shared" si="201"/>
        <v>Dog Obedience Training</v>
      </c>
      <c r="B1000" s="1" t="str">
        <f t="shared" si="200"/>
        <v>https://m566.info/59tuq8u</v>
      </c>
      <c r="C1000" s="1" t="str">
        <f>HYPERLINK("https://m566.info/59tuq8u","Rotwieller")</f>
        <v>Rotwieller</v>
      </c>
    </row>
    <row r="1001">
      <c r="A1001" s="1" t="str">
        <f t="shared" si="201"/>
        <v>Dog Obedience Training</v>
      </c>
      <c r="B1001" s="1" t="str">
        <f t="shared" si="200"/>
        <v>https://m566.info/59tuq8u</v>
      </c>
      <c r="C1001" s="1" t="str">
        <f>HYPERLINK("https://m566.info/59tuq8u","Cross Bred")</f>
        <v>Cross Bred</v>
      </c>
    </row>
    <row r="1002">
      <c r="A1002" s="1" t="str">
        <f t="shared" si="201"/>
        <v>Dog Obedience Training</v>
      </c>
      <c r="B1002" s="1" t="str">
        <f t="shared" si="200"/>
        <v>https://m566.info/59tuq8u</v>
      </c>
      <c r="C1002" s="1" t="str">
        <f>HYPERLINK("https://m566.info/59tuq8u","Rotweiller")</f>
        <v>Rotweiller</v>
      </c>
    </row>
    <row r="1003">
      <c r="A1003" s="1" t="str">
        <f t="shared" ref="A1003:A1008" si="202">HYPERLINK("https://m566.info/59tuq8u","Dog House Training")</f>
        <v>Dog House Training</v>
      </c>
      <c r="B1003" s="1" t="str">
        <f t="shared" si="200"/>
        <v>https://m566.info/59tuq8u</v>
      </c>
      <c r="C1003" s="1" t="str">
        <f>HYPERLINK("https://m566.info/59tuq8u","Doberman")</f>
        <v>Doberman</v>
      </c>
    </row>
    <row r="1004">
      <c r="A1004" s="1" t="str">
        <f t="shared" si="202"/>
        <v>Dog House Training</v>
      </c>
      <c r="B1004" s="1" t="str">
        <f t="shared" si="200"/>
        <v>https://m566.info/59tuq8u</v>
      </c>
      <c r="C1004" s="1" t="str">
        <f>HYPERLINK("https://m566.info/59tuq8u","German Shepherd")</f>
        <v>German Shepherd</v>
      </c>
    </row>
    <row r="1005">
      <c r="A1005" s="1" t="str">
        <f t="shared" si="202"/>
        <v>Dog House Training</v>
      </c>
      <c r="B1005" s="1" t="str">
        <f t="shared" si="200"/>
        <v>https://m566.info/59tuq8u</v>
      </c>
      <c r="C1005" s="1" t="str">
        <f>HYPERLINK("https://m566.info/59tuq8u","Border Clollie")</f>
        <v>Border Clollie</v>
      </c>
    </row>
    <row r="1006">
      <c r="A1006" s="1" t="str">
        <f t="shared" si="202"/>
        <v>Dog House Training</v>
      </c>
      <c r="B1006" s="1" t="str">
        <f t="shared" si="200"/>
        <v>https://m566.info/59tuq8u</v>
      </c>
      <c r="C1006" s="1" t="str">
        <f>HYPERLINK("https://m566.info/59tuq8u","Rotwieller")</f>
        <v>Rotwieller</v>
      </c>
    </row>
    <row r="1007">
      <c r="A1007" s="1" t="str">
        <f t="shared" si="202"/>
        <v>Dog House Training</v>
      </c>
      <c r="B1007" s="1" t="str">
        <f t="shared" si="200"/>
        <v>https://m566.info/59tuq8u</v>
      </c>
      <c r="C1007" s="1" t="str">
        <f>HYPERLINK("https://m566.info/59tuq8u","Cross Bred")</f>
        <v>Cross Bred</v>
      </c>
    </row>
    <row r="1008">
      <c r="A1008" s="1" t="str">
        <f t="shared" si="202"/>
        <v>Dog House Training</v>
      </c>
      <c r="B1008" s="1" t="str">
        <f t="shared" si="200"/>
        <v>https://m566.info/59tuq8u</v>
      </c>
      <c r="C1008" s="1" t="str">
        <f>HYPERLINK("https://m566.info/59tuq8u","Rotweiller")</f>
        <v>Rotweiller</v>
      </c>
    </row>
    <row r="1009">
      <c r="A1009" s="1" t="str">
        <f t="shared" ref="A1009:A1014" si="203">HYPERLINK("https://m566.info/59tuq8u","Dog Behaviour Training")</f>
        <v>Dog Behaviour Training</v>
      </c>
      <c r="B1009" s="1" t="str">
        <f t="shared" si="200"/>
        <v>https://m566.info/59tuq8u</v>
      </c>
      <c r="C1009" s="1" t="str">
        <f>HYPERLINK("https://m566.info/59tuq8u","Doberman")</f>
        <v>Doberman</v>
      </c>
    </row>
    <row r="1010">
      <c r="A1010" s="1" t="str">
        <f t="shared" si="203"/>
        <v>Dog Behaviour Training</v>
      </c>
      <c r="B1010" s="1" t="str">
        <f t="shared" si="200"/>
        <v>https://m566.info/59tuq8u</v>
      </c>
      <c r="C1010" s="1" t="str">
        <f>HYPERLINK("https://m566.info/59tuq8u","German Shepherd")</f>
        <v>German Shepherd</v>
      </c>
    </row>
    <row r="1011">
      <c r="A1011" s="1" t="str">
        <f t="shared" si="203"/>
        <v>Dog Behaviour Training</v>
      </c>
      <c r="B1011" s="1" t="str">
        <f t="shared" si="200"/>
        <v>https://m566.info/59tuq8u</v>
      </c>
      <c r="C1011" s="1" t="str">
        <f>HYPERLINK("https://m566.info/59tuq8u","Border Clollie")</f>
        <v>Border Clollie</v>
      </c>
    </row>
    <row r="1012">
      <c r="A1012" s="1" t="str">
        <f t="shared" si="203"/>
        <v>Dog Behaviour Training</v>
      </c>
      <c r="B1012" s="1" t="str">
        <f t="shared" si="200"/>
        <v>https://m566.info/59tuq8u</v>
      </c>
      <c r="C1012" s="1" t="str">
        <f>HYPERLINK("https://m566.info/59tuq8u","Rotwieller")</f>
        <v>Rotwieller</v>
      </c>
    </row>
    <row r="1013">
      <c r="A1013" s="1" t="str">
        <f t="shared" si="203"/>
        <v>Dog Behaviour Training</v>
      </c>
      <c r="B1013" s="1" t="str">
        <f t="shared" si="200"/>
        <v>https://m566.info/59tuq8u</v>
      </c>
      <c r="C1013" s="1" t="str">
        <f>HYPERLINK("https://m566.info/59tuq8u","Cross Bred")</f>
        <v>Cross Bred</v>
      </c>
    </row>
    <row r="1014">
      <c r="A1014" s="1" t="str">
        <f t="shared" si="203"/>
        <v>Dog Behaviour Training</v>
      </c>
      <c r="B1014" s="1" t="str">
        <f t="shared" si="200"/>
        <v>https://m566.info/59tuq8u</v>
      </c>
      <c r="C1014" s="1" t="str">
        <f>HYPERLINK("https://m566.info/59tuq8u","Rotweiller")</f>
        <v>Rotweiller</v>
      </c>
    </row>
    <row r="1015">
      <c r="A1015" s="1" t="str">
        <f t="shared" ref="A1015:A1020" si="204">HYPERLINK("https://m566.info/59tuq8u","Dog : Elite Training")</f>
        <v>Dog : Elite Training</v>
      </c>
      <c r="B1015" s="1" t="str">
        <f t="shared" si="200"/>
        <v>https://m566.info/59tuq8u</v>
      </c>
      <c r="C1015" s="1" t="str">
        <f>HYPERLINK("https://m566.info/59tuq8u","Doberman")</f>
        <v>Doberman</v>
      </c>
    </row>
    <row r="1016">
      <c r="A1016" s="1" t="str">
        <f t="shared" si="204"/>
        <v>Dog : Elite Training</v>
      </c>
      <c r="B1016" s="1" t="str">
        <f t="shared" si="200"/>
        <v>https://m566.info/59tuq8u</v>
      </c>
      <c r="C1016" s="1" t="str">
        <f>HYPERLINK("https://m566.info/59tuq8u","German Shepherd")</f>
        <v>German Shepherd</v>
      </c>
    </row>
    <row r="1017">
      <c r="A1017" s="1" t="str">
        <f t="shared" si="204"/>
        <v>Dog : Elite Training</v>
      </c>
      <c r="B1017" s="1" t="str">
        <f t="shared" si="200"/>
        <v>https://m566.info/59tuq8u</v>
      </c>
      <c r="C1017" s="1" t="str">
        <f>HYPERLINK("https://m566.info/59tuq8u","Border Clollie")</f>
        <v>Border Clollie</v>
      </c>
    </row>
    <row r="1018">
      <c r="A1018" s="1" t="str">
        <f t="shared" si="204"/>
        <v>Dog : Elite Training</v>
      </c>
      <c r="B1018" s="1" t="str">
        <f t="shared" si="200"/>
        <v>https://m566.info/59tuq8u</v>
      </c>
      <c r="C1018" s="1" t="str">
        <f>HYPERLINK("https://m566.info/59tuq8u","Rotwieller")</f>
        <v>Rotwieller</v>
      </c>
    </row>
    <row r="1019">
      <c r="A1019" s="1" t="str">
        <f t="shared" si="204"/>
        <v>Dog : Elite Training</v>
      </c>
      <c r="B1019" s="1" t="str">
        <f t="shared" si="200"/>
        <v>https://m566.info/59tuq8u</v>
      </c>
      <c r="C1019" s="1" t="str">
        <f>HYPERLINK("https://m566.info/59tuq8u","Cross Bred")</f>
        <v>Cross Bred</v>
      </c>
    </row>
    <row r="1020">
      <c r="A1020" s="1" t="str">
        <f t="shared" si="204"/>
        <v>Dog : Elite Training</v>
      </c>
      <c r="B1020" s="1" t="str">
        <f t="shared" si="200"/>
        <v>https://m566.info/59tuq8u</v>
      </c>
      <c r="C1020" s="1" t="str">
        <f>HYPERLINK("https://m566.info/59tuq8u","Rotweiller")</f>
        <v>Rotweiller</v>
      </c>
    </row>
    <row r="1021">
      <c r="A1021" s="1" t="str">
        <f t="shared" ref="A1021:A1026" si="205">HYPERLINK("https://m566.info/v73n6nz","Dog Aggression Training")</f>
        <v>Dog Aggression Training</v>
      </c>
      <c r="B1021" s="1" t="str">
        <f t="shared" ref="B1021:B1050" si="206">HYPERLINK("https://m566.info/v73n6nz","https://m566.info/v73n6nz")</f>
        <v>https://m566.info/v73n6nz</v>
      </c>
      <c r="C1021" s="1" t="str">
        <f>HYPERLINK("https://m566.info/v73n6nz","Doberman")</f>
        <v>Doberman</v>
      </c>
    </row>
    <row r="1022">
      <c r="A1022" s="1" t="str">
        <f t="shared" si="205"/>
        <v>Dog Aggression Training</v>
      </c>
      <c r="B1022" s="1" t="str">
        <f t="shared" si="206"/>
        <v>https://m566.info/v73n6nz</v>
      </c>
      <c r="C1022" s="1" t="str">
        <f>HYPERLINK("https://m566.info/v73n6nz","German Shepherd")</f>
        <v>German Shepherd</v>
      </c>
    </row>
    <row r="1023">
      <c r="A1023" s="1" t="str">
        <f t="shared" si="205"/>
        <v>Dog Aggression Training</v>
      </c>
      <c r="B1023" s="1" t="str">
        <f t="shared" si="206"/>
        <v>https://m566.info/v73n6nz</v>
      </c>
      <c r="C1023" s="1" t="str">
        <f>HYPERLINK("https://m566.info/v73n6nz","Border Clollie")</f>
        <v>Border Clollie</v>
      </c>
    </row>
    <row r="1024">
      <c r="A1024" s="1" t="str">
        <f t="shared" si="205"/>
        <v>Dog Aggression Training</v>
      </c>
      <c r="B1024" s="1" t="str">
        <f t="shared" si="206"/>
        <v>https://m566.info/v73n6nz</v>
      </c>
      <c r="C1024" s="1" t="str">
        <f>HYPERLINK("https://m566.info/v73n6nz","Rotwieller")</f>
        <v>Rotwieller</v>
      </c>
    </row>
    <row r="1025">
      <c r="A1025" s="1" t="str">
        <f t="shared" si="205"/>
        <v>Dog Aggression Training</v>
      </c>
      <c r="B1025" s="1" t="str">
        <f t="shared" si="206"/>
        <v>https://m566.info/v73n6nz</v>
      </c>
      <c r="C1025" s="1" t="str">
        <f>HYPERLINK("https://m566.info/v73n6nz","Cross Bred")</f>
        <v>Cross Bred</v>
      </c>
    </row>
    <row r="1026">
      <c r="A1026" s="1" t="str">
        <f t="shared" si="205"/>
        <v>Dog Aggression Training</v>
      </c>
      <c r="B1026" s="1" t="str">
        <f t="shared" si="206"/>
        <v>https://m566.info/v73n6nz</v>
      </c>
      <c r="C1026" s="1" t="str">
        <f>HYPERLINK("https://m566.info/v73n6nz","Rotweiller")</f>
        <v>Rotweiller</v>
      </c>
    </row>
    <row r="1027">
      <c r="A1027" s="1" t="str">
        <f t="shared" ref="A1027:A1032" si="207">HYPERLINK("https://m566.info/v73n6nz","Dog Obedience Training")</f>
        <v>Dog Obedience Training</v>
      </c>
      <c r="B1027" s="1" t="str">
        <f t="shared" si="206"/>
        <v>https://m566.info/v73n6nz</v>
      </c>
      <c r="C1027" s="1" t="str">
        <f>HYPERLINK("https://m566.info/v73n6nz","Doberman")</f>
        <v>Doberman</v>
      </c>
    </row>
    <row r="1028">
      <c r="A1028" s="1" t="str">
        <f t="shared" si="207"/>
        <v>Dog Obedience Training</v>
      </c>
      <c r="B1028" s="1" t="str">
        <f t="shared" si="206"/>
        <v>https://m566.info/v73n6nz</v>
      </c>
      <c r="C1028" s="1" t="str">
        <f>HYPERLINK("https://m566.info/v73n6nz","German Shepherd")</f>
        <v>German Shepherd</v>
      </c>
    </row>
    <row r="1029">
      <c r="A1029" s="1" t="str">
        <f t="shared" si="207"/>
        <v>Dog Obedience Training</v>
      </c>
      <c r="B1029" s="1" t="str">
        <f t="shared" si="206"/>
        <v>https://m566.info/v73n6nz</v>
      </c>
      <c r="C1029" s="1" t="str">
        <f>HYPERLINK("https://m566.info/v73n6nz","Border Clollie")</f>
        <v>Border Clollie</v>
      </c>
    </row>
    <row r="1030">
      <c r="A1030" s="1" t="str">
        <f t="shared" si="207"/>
        <v>Dog Obedience Training</v>
      </c>
      <c r="B1030" s="1" t="str">
        <f t="shared" si="206"/>
        <v>https://m566.info/v73n6nz</v>
      </c>
      <c r="C1030" s="1" t="str">
        <f>HYPERLINK("https://m566.info/v73n6nz","Rotwieller")</f>
        <v>Rotwieller</v>
      </c>
    </row>
    <row r="1031">
      <c r="A1031" s="1" t="str">
        <f t="shared" si="207"/>
        <v>Dog Obedience Training</v>
      </c>
      <c r="B1031" s="1" t="str">
        <f t="shared" si="206"/>
        <v>https://m566.info/v73n6nz</v>
      </c>
      <c r="C1031" s="1" t="str">
        <f>HYPERLINK("https://m566.info/v73n6nz","Cross Bred")</f>
        <v>Cross Bred</v>
      </c>
    </row>
    <row r="1032">
      <c r="A1032" s="1" t="str">
        <f t="shared" si="207"/>
        <v>Dog Obedience Training</v>
      </c>
      <c r="B1032" s="1" t="str">
        <f t="shared" si="206"/>
        <v>https://m566.info/v73n6nz</v>
      </c>
      <c r="C1032" s="1" t="str">
        <f>HYPERLINK("https://m566.info/v73n6nz","Rotweiller")</f>
        <v>Rotweiller</v>
      </c>
    </row>
    <row r="1033">
      <c r="A1033" s="1" t="str">
        <f t="shared" ref="A1033:A1038" si="208">HYPERLINK("https://m566.info/v73n6nz","Dog House Training")</f>
        <v>Dog House Training</v>
      </c>
      <c r="B1033" s="1" t="str">
        <f t="shared" si="206"/>
        <v>https://m566.info/v73n6nz</v>
      </c>
      <c r="C1033" s="1" t="str">
        <f>HYPERLINK("https://m566.info/v73n6nz","Doberman")</f>
        <v>Doberman</v>
      </c>
    </row>
    <row r="1034">
      <c r="A1034" s="1" t="str">
        <f t="shared" si="208"/>
        <v>Dog House Training</v>
      </c>
      <c r="B1034" s="1" t="str">
        <f t="shared" si="206"/>
        <v>https://m566.info/v73n6nz</v>
      </c>
      <c r="C1034" s="1" t="str">
        <f>HYPERLINK("https://m566.info/v73n6nz","German Shepherd")</f>
        <v>German Shepherd</v>
      </c>
    </row>
    <row r="1035">
      <c r="A1035" s="1" t="str">
        <f t="shared" si="208"/>
        <v>Dog House Training</v>
      </c>
      <c r="B1035" s="1" t="str">
        <f t="shared" si="206"/>
        <v>https://m566.info/v73n6nz</v>
      </c>
      <c r="C1035" s="1" t="str">
        <f>HYPERLINK("https://m566.info/v73n6nz","Border Clollie")</f>
        <v>Border Clollie</v>
      </c>
    </row>
    <row r="1036">
      <c r="A1036" s="1" t="str">
        <f t="shared" si="208"/>
        <v>Dog House Training</v>
      </c>
      <c r="B1036" s="1" t="str">
        <f t="shared" si="206"/>
        <v>https://m566.info/v73n6nz</v>
      </c>
      <c r="C1036" s="1" t="str">
        <f>HYPERLINK("https://m566.info/v73n6nz","Rotwieller")</f>
        <v>Rotwieller</v>
      </c>
    </row>
    <row r="1037">
      <c r="A1037" s="1" t="str">
        <f t="shared" si="208"/>
        <v>Dog House Training</v>
      </c>
      <c r="B1037" s="1" t="str">
        <f t="shared" si="206"/>
        <v>https://m566.info/v73n6nz</v>
      </c>
      <c r="C1037" s="1" t="str">
        <f>HYPERLINK("https://m566.info/v73n6nz","Cross Bred")</f>
        <v>Cross Bred</v>
      </c>
    </row>
    <row r="1038">
      <c r="A1038" s="1" t="str">
        <f t="shared" si="208"/>
        <v>Dog House Training</v>
      </c>
      <c r="B1038" s="1" t="str">
        <f t="shared" si="206"/>
        <v>https://m566.info/v73n6nz</v>
      </c>
      <c r="C1038" s="1" t="str">
        <f>HYPERLINK("https://m566.info/v73n6nz","Rotweiller")</f>
        <v>Rotweiller</v>
      </c>
    </row>
    <row r="1039">
      <c r="A1039" s="1" t="str">
        <f t="shared" ref="A1039:A1044" si="209">HYPERLINK("https://m566.info/v73n6nz","Dog Behaviour Training")</f>
        <v>Dog Behaviour Training</v>
      </c>
      <c r="B1039" s="1" t="str">
        <f t="shared" si="206"/>
        <v>https://m566.info/v73n6nz</v>
      </c>
      <c r="C1039" s="1" t="str">
        <f>HYPERLINK("https://m566.info/v73n6nz","Doberman")</f>
        <v>Doberman</v>
      </c>
    </row>
    <row r="1040">
      <c r="A1040" s="1" t="str">
        <f t="shared" si="209"/>
        <v>Dog Behaviour Training</v>
      </c>
      <c r="B1040" s="1" t="str">
        <f t="shared" si="206"/>
        <v>https://m566.info/v73n6nz</v>
      </c>
      <c r="C1040" s="1" t="str">
        <f>HYPERLINK("https://m566.info/v73n6nz","German Shepherd")</f>
        <v>German Shepherd</v>
      </c>
    </row>
    <row r="1041">
      <c r="A1041" s="1" t="str">
        <f t="shared" si="209"/>
        <v>Dog Behaviour Training</v>
      </c>
      <c r="B1041" s="1" t="str">
        <f t="shared" si="206"/>
        <v>https://m566.info/v73n6nz</v>
      </c>
      <c r="C1041" s="1" t="str">
        <f>HYPERLINK("https://m566.info/v73n6nz","Border Clollie")</f>
        <v>Border Clollie</v>
      </c>
    </row>
    <row r="1042">
      <c r="A1042" s="1" t="str">
        <f t="shared" si="209"/>
        <v>Dog Behaviour Training</v>
      </c>
      <c r="B1042" s="1" t="str">
        <f t="shared" si="206"/>
        <v>https://m566.info/v73n6nz</v>
      </c>
      <c r="C1042" s="1" t="str">
        <f>HYPERLINK("https://m566.info/v73n6nz","Rotwieller")</f>
        <v>Rotwieller</v>
      </c>
    </row>
    <row r="1043">
      <c r="A1043" s="1" t="str">
        <f t="shared" si="209"/>
        <v>Dog Behaviour Training</v>
      </c>
      <c r="B1043" s="1" t="str">
        <f t="shared" si="206"/>
        <v>https://m566.info/v73n6nz</v>
      </c>
      <c r="C1043" s="1" t="str">
        <f>HYPERLINK("https://m566.info/v73n6nz","Cross Bred")</f>
        <v>Cross Bred</v>
      </c>
    </row>
    <row r="1044">
      <c r="A1044" s="1" t="str">
        <f t="shared" si="209"/>
        <v>Dog Behaviour Training</v>
      </c>
      <c r="B1044" s="1" t="str">
        <f t="shared" si="206"/>
        <v>https://m566.info/v73n6nz</v>
      </c>
      <c r="C1044" s="1" t="str">
        <f>HYPERLINK("https://m566.info/v73n6nz","Rotweiller")</f>
        <v>Rotweiller</v>
      </c>
    </row>
    <row r="1045">
      <c r="A1045" s="1" t="str">
        <f t="shared" ref="A1045:A1050" si="210">HYPERLINK("https://m566.info/v73n6nz","Dog : Elite Training")</f>
        <v>Dog : Elite Training</v>
      </c>
      <c r="B1045" s="1" t="str">
        <f t="shared" si="206"/>
        <v>https://m566.info/v73n6nz</v>
      </c>
      <c r="C1045" s="1" t="str">
        <f>HYPERLINK("https://m566.info/v73n6nz","Doberman")</f>
        <v>Doberman</v>
      </c>
    </row>
    <row r="1046">
      <c r="A1046" s="1" t="str">
        <f t="shared" si="210"/>
        <v>Dog : Elite Training</v>
      </c>
      <c r="B1046" s="1" t="str">
        <f t="shared" si="206"/>
        <v>https://m566.info/v73n6nz</v>
      </c>
      <c r="C1046" s="1" t="str">
        <f>HYPERLINK("https://m566.info/v73n6nz","German Shepherd")</f>
        <v>German Shepherd</v>
      </c>
    </row>
    <row r="1047">
      <c r="A1047" s="1" t="str">
        <f t="shared" si="210"/>
        <v>Dog : Elite Training</v>
      </c>
      <c r="B1047" s="1" t="str">
        <f t="shared" si="206"/>
        <v>https://m566.info/v73n6nz</v>
      </c>
      <c r="C1047" s="1" t="str">
        <f>HYPERLINK("https://m566.info/v73n6nz","Border Clollie")</f>
        <v>Border Clollie</v>
      </c>
    </row>
    <row r="1048">
      <c r="A1048" s="1" t="str">
        <f t="shared" si="210"/>
        <v>Dog : Elite Training</v>
      </c>
      <c r="B1048" s="1" t="str">
        <f t="shared" si="206"/>
        <v>https://m566.info/v73n6nz</v>
      </c>
      <c r="C1048" s="1" t="str">
        <f>HYPERLINK("https://m566.info/v73n6nz","Rotwieller")</f>
        <v>Rotwieller</v>
      </c>
    </row>
    <row r="1049">
      <c r="A1049" s="1" t="str">
        <f t="shared" si="210"/>
        <v>Dog : Elite Training</v>
      </c>
      <c r="B1049" s="1" t="str">
        <f t="shared" si="206"/>
        <v>https://m566.info/v73n6nz</v>
      </c>
      <c r="C1049" s="1" t="str">
        <f>HYPERLINK("https://m566.info/v73n6nz","Cross Bred")</f>
        <v>Cross Bred</v>
      </c>
    </row>
    <row r="1050">
      <c r="A1050" s="1" t="str">
        <f t="shared" si="210"/>
        <v>Dog : Elite Training</v>
      </c>
      <c r="B1050" s="1" t="str">
        <f t="shared" si="206"/>
        <v>https://m566.info/v73n6nz</v>
      </c>
      <c r="C1050" s="1" t="str">
        <f>HYPERLINK("https://m566.info/v73n6nz","Rotweiller")</f>
        <v>Rotweiller</v>
      </c>
    </row>
    <row r="1051">
      <c r="A1051" s="1" t="str">
        <f t="shared" ref="A1051:A1056" si="211">HYPERLINK("https://m566.info/1xvgwo2","Dog Aggression Training")</f>
        <v>Dog Aggression Training</v>
      </c>
      <c r="B1051" s="1" t="str">
        <f t="shared" ref="B1051:B1080" si="212">HYPERLINK("https://m566.info/1xvgwo2","https://m566.info/1xvgwo2")</f>
        <v>https://m566.info/1xvgwo2</v>
      </c>
      <c r="C1051" s="1" t="str">
        <f>HYPERLINK("https://m566.info/1xvgwo2","Doberman")</f>
        <v>Doberman</v>
      </c>
    </row>
    <row r="1052">
      <c r="A1052" s="1" t="str">
        <f t="shared" si="211"/>
        <v>Dog Aggression Training</v>
      </c>
      <c r="B1052" s="1" t="str">
        <f t="shared" si="212"/>
        <v>https://m566.info/1xvgwo2</v>
      </c>
      <c r="C1052" s="1" t="str">
        <f>HYPERLINK("https://m566.info/1xvgwo2","German Shepherd")</f>
        <v>German Shepherd</v>
      </c>
    </row>
    <row r="1053">
      <c r="A1053" s="1" t="str">
        <f t="shared" si="211"/>
        <v>Dog Aggression Training</v>
      </c>
      <c r="B1053" s="1" t="str">
        <f t="shared" si="212"/>
        <v>https://m566.info/1xvgwo2</v>
      </c>
      <c r="C1053" s="1" t="str">
        <f>HYPERLINK("https://m566.info/1xvgwo2","Border Clollie")</f>
        <v>Border Clollie</v>
      </c>
    </row>
    <row r="1054">
      <c r="A1054" s="1" t="str">
        <f t="shared" si="211"/>
        <v>Dog Aggression Training</v>
      </c>
      <c r="B1054" s="1" t="str">
        <f t="shared" si="212"/>
        <v>https://m566.info/1xvgwo2</v>
      </c>
      <c r="C1054" s="1" t="str">
        <f>HYPERLINK("https://m566.info/1xvgwo2","Rotwieller")</f>
        <v>Rotwieller</v>
      </c>
    </row>
    <row r="1055">
      <c r="A1055" s="1" t="str">
        <f t="shared" si="211"/>
        <v>Dog Aggression Training</v>
      </c>
      <c r="B1055" s="1" t="str">
        <f t="shared" si="212"/>
        <v>https://m566.info/1xvgwo2</v>
      </c>
      <c r="C1055" s="1" t="str">
        <f>HYPERLINK("https://m566.info/1xvgwo2","Cross Bred")</f>
        <v>Cross Bred</v>
      </c>
    </row>
    <row r="1056">
      <c r="A1056" s="1" t="str">
        <f t="shared" si="211"/>
        <v>Dog Aggression Training</v>
      </c>
      <c r="B1056" s="1" t="str">
        <f t="shared" si="212"/>
        <v>https://m566.info/1xvgwo2</v>
      </c>
      <c r="C1056" s="1" t="str">
        <f>HYPERLINK("https://m566.info/1xvgwo2","Rotweiller")</f>
        <v>Rotweiller</v>
      </c>
    </row>
    <row r="1057">
      <c r="A1057" s="1" t="str">
        <f t="shared" ref="A1057:A1062" si="213">HYPERLINK("https://m566.info/1xvgwo2","Dog Obedience Training")</f>
        <v>Dog Obedience Training</v>
      </c>
      <c r="B1057" s="1" t="str">
        <f t="shared" si="212"/>
        <v>https://m566.info/1xvgwo2</v>
      </c>
      <c r="C1057" s="1" t="str">
        <f>HYPERLINK("https://m566.info/1xvgwo2","Doberman")</f>
        <v>Doberman</v>
      </c>
    </row>
    <row r="1058">
      <c r="A1058" s="1" t="str">
        <f t="shared" si="213"/>
        <v>Dog Obedience Training</v>
      </c>
      <c r="B1058" s="1" t="str">
        <f t="shared" si="212"/>
        <v>https://m566.info/1xvgwo2</v>
      </c>
      <c r="C1058" s="1" t="str">
        <f>HYPERLINK("https://m566.info/1xvgwo2","German Shepherd")</f>
        <v>German Shepherd</v>
      </c>
    </row>
    <row r="1059">
      <c r="A1059" s="1" t="str">
        <f t="shared" si="213"/>
        <v>Dog Obedience Training</v>
      </c>
      <c r="B1059" s="1" t="str">
        <f t="shared" si="212"/>
        <v>https://m566.info/1xvgwo2</v>
      </c>
      <c r="C1059" s="1" t="str">
        <f>HYPERLINK("https://m566.info/1xvgwo2","Border Clollie")</f>
        <v>Border Clollie</v>
      </c>
    </row>
    <row r="1060">
      <c r="A1060" s="1" t="str">
        <f t="shared" si="213"/>
        <v>Dog Obedience Training</v>
      </c>
      <c r="B1060" s="1" t="str">
        <f t="shared" si="212"/>
        <v>https://m566.info/1xvgwo2</v>
      </c>
      <c r="C1060" s="1" t="str">
        <f>HYPERLINK("https://m566.info/1xvgwo2","Rotwieller")</f>
        <v>Rotwieller</v>
      </c>
    </row>
    <row r="1061">
      <c r="A1061" s="1" t="str">
        <f t="shared" si="213"/>
        <v>Dog Obedience Training</v>
      </c>
      <c r="B1061" s="1" t="str">
        <f t="shared" si="212"/>
        <v>https://m566.info/1xvgwo2</v>
      </c>
      <c r="C1061" s="1" t="str">
        <f>HYPERLINK("https://m566.info/1xvgwo2","Cross Bred")</f>
        <v>Cross Bred</v>
      </c>
    </row>
    <row r="1062">
      <c r="A1062" s="1" t="str">
        <f t="shared" si="213"/>
        <v>Dog Obedience Training</v>
      </c>
      <c r="B1062" s="1" t="str">
        <f t="shared" si="212"/>
        <v>https://m566.info/1xvgwo2</v>
      </c>
      <c r="C1062" s="1" t="str">
        <f>HYPERLINK("https://m566.info/1xvgwo2","Rotweiller")</f>
        <v>Rotweiller</v>
      </c>
    </row>
    <row r="1063">
      <c r="A1063" s="1" t="str">
        <f t="shared" ref="A1063:A1068" si="214">HYPERLINK("https://m566.info/1xvgwo2","Dog House Training")</f>
        <v>Dog House Training</v>
      </c>
      <c r="B1063" s="1" t="str">
        <f t="shared" si="212"/>
        <v>https://m566.info/1xvgwo2</v>
      </c>
      <c r="C1063" s="1" t="str">
        <f>HYPERLINK("https://m566.info/1xvgwo2","Doberman")</f>
        <v>Doberman</v>
      </c>
    </row>
    <row r="1064">
      <c r="A1064" s="1" t="str">
        <f t="shared" si="214"/>
        <v>Dog House Training</v>
      </c>
      <c r="B1064" s="1" t="str">
        <f t="shared" si="212"/>
        <v>https://m566.info/1xvgwo2</v>
      </c>
      <c r="C1064" s="1" t="str">
        <f>HYPERLINK("https://m566.info/1xvgwo2","German Shepherd")</f>
        <v>German Shepherd</v>
      </c>
    </row>
    <row r="1065">
      <c r="A1065" s="1" t="str">
        <f t="shared" si="214"/>
        <v>Dog House Training</v>
      </c>
      <c r="B1065" s="1" t="str">
        <f t="shared" si="212"/>
        <v>https://m566.info/1xvgwo2</v>
      </c>
      <c r="C1065" s="1" t="str">
        <f>HYPERLINK("https://m566.info/1xvgwo2","Border Clollie")</f>
        <v>Border Clollie</v>
      </c>
    </row>
    <row r="1066">
      <c r="A1066" s="1" t="str">
        <f t="shared" si="214"/>
        <v>Dog House Training</v>
      </c>
      <c r="B1066" s="1" t="str">
        <f t="shared" si="212"/>
        <v>https://m566.info/1xvgwo2</v>
      </c>
      <c r="C1066" s="1" t="str">
        <f>HYPERLINK("https://m566.info/1xvgwo2","Rotwieller")</f>
        <v>Rotwieller</v>
      </c>
    </row>
    <row r="1067">
      <c r="A1067" s="1" t="str">
        <f t="shared" si="214"/>
        <v>Dog House Training</v>
      </c>
      <c r="B1067" s="1" t="str">
        <f t="shared" si="212"/>
        <v>https://m566.info/1xvgwo2</v>
      </c>
      <c r="C1067" s="1" t="str">
        <f>HYPERLINK("https://m566.info/1xvgwo2","Cross Bred")</f>
        <v>Cross Bred</v>
      </c>
    </row>
    <row r="1068">
      <c r="A1068" s="1" t="str">
        <f t="shared" si="214"/>
        <v>Dog House Training</v>
      </c>
      <c r="B1068" s="1" t="str">
        <f t="shared" si="212"/>
        <v>https://m566.info/1xvgwo2</v>
      </c>
      <c r="C1068" s="1" t="str">
        <f>HYPERLINK("https://m566.info/1xvgwo2","Rotweiller")</f>
        <v>Rotweiller</v>
      </c>
    </row>
    <row r="1069">
      <c r="A1069" s="1" t="str">
        <f t="shared" ref="A1069:A1074" si="215">HYPERLINK("https://m566.info/1xvgwo2","Dog Behaviour Training")</f>
        <v>Dog Behaviour Training</v>
      </c>
      <c r="B1069" s="1" t="str">
        <f t="shared" si="212"/>
        <v>https://m566.info/1xvgwo2</v>
      </c>
      <c r="C1069" s="1" t="str">
        <f>HYPERLINK("https://m566.info/1xvgwo2","Doberman")</f>
        <v>Doberman</v>
      </c>
    </row>
    <row r="1070">
      <c r="A1070" s="1" t="str">
        <f t="shared" si="215"/>
        <v>Dog Behaviour Training</v>
      </c>
      <c r="B1070" s="1" t="str">
        <f t="shared" si="212"/>
        <v>https://m566.info/1xvgwo2</v>
      </c>
      <c r="C1070" s="1" t="str">
        <f>HYPERLINK("https://m566.info/1xvgwo2","German Shepherd")</f>
        <v>German Shepherd</v>
      </c>
    </row>
    <row r="1071">
      <c r="A1071" s="1" t="str">
        <f t="shared" si="215"/>
        <v>Dog Behaviour Training</v>
      </c>
      <c r="B1071" s="1" t="str">
        <f t="shared" si="212"/>
        <v>https://m566.info/1xvgwo2</v>
      </c>
      <c r="C1071" s="1" t="str">
        <f>HYPERLINK("https://m566.info/1xvgwo2","Border Clollie")</f>
        <v>Border Clollie</v>
      </c>
    </row>
    <row r="1072">
      <c r="A1072" s="1" t="str">
        <f t="shared" si="215"/>
        <v>Dog Behaviour Training</v>
      </c>
      <c r="B1072" s="1" t="str">
        <f t="shared" si="212"/>
        <v>https://m566.info/1xvgwo2</v>
      </c>
      <c r="C1072" s="1" t="str">
        <f>HYPERLINK("https://m566.info/1xvgwo2","Rotwieller")</f>
        <v>Rotwieller</v>
      </c>
    </row>
    <row r="1073">
      <c r="A1073" s="1" t="str">
        <f t="shared" si="215"/>
        <v>Dog Behaviour Training</v>
      </c>
      <c r="B1073" s="1" t="str">
        <f t="shared" si="212"/>
        <v>https://m566.info/1xvgwo2</v>
      </c>
      <c r="C1073" s="1" t="str">
        <f>HYPERLINK("https://m566.info/1xvgwo2","Cross Bred")</f>
        <v>Cross Bred</v>
      </c>
    </row>
    <row r="1074">
      <c r="A1074" s="1" t="str">
        <f t="shared" si="215"/>
        <v>Dog Behaviour Training</v>
      </c>
      <c r="B1074" s="1" t="str">
        <f t="shared" si="212"/>
        <v>https://m566.info/1xvgwo2</v>
      </c>
      <c r="C1074" s="1" t="str">
        <f>HYPERLINK("https://m566.info/1xvgwo2","Rotweiller")</f>
        <v>Rotweiller</v>
      </c>
    </row>
    <row r="1075">
      <c r="A1075" s="1" t="str">
        <f t="shared" ref="A1075:A1080" si="216">HYPERLINK("https://m566.info/1xvgwo2","Dog : Elite Training")</f>
        <v>Dog : Elite Training</v>
      </c>
      <c r="B1075" s="1" t="str">
        <f t="shared" si="212"/>
        <v>https://m566.info/1xvgwo2</v>
      </c>
      <c r="C1075" s="1" t="str">
        <f>HYPERLINK("https://m566.info/1xvgwo2","Doberman")</f>
        <v>Doberman</v>
      </c>
    </row>
    <row r="1076">
      <c r="A1076" s="1" t="str">
        <f t="shared" si="216"/>
        <v>Dog : Elite Training</v>
      </c>
      <c r="B1076" s="1" t="str">
        <f t="shared" si="212"/>
        <v>https://m566.info/1xvgwo2</v>
      </c>
      <c r="C1076" s="1" t="str">
        <f>HYPERLINK("https://m566.info/1xvgwo2","German Shepherd")</f>
        <v>German Shepherd</v>
      </c>
    </row>
    <row r="1077">
      <c r="A1077" s="1" t="str">
        <f t="shared" si="216"/>
        <v>Dog : Elite Training</v>
      </c>
      <c r="B1077" s="1" t="str">
        <f t="shared" si="212"/>
        <v>https://m566.info/1xvgwo2</v>
      </c>
      <c r="C1077" s="1" t="str">
        <f>HYPERLINK("https://m566.info/1xvgwo2","Border Clollie")</f>
        <v>Border Clollie</v>
      </c>
    </row>
    <row r="1078">
      <c r="A1078" s="1" t="str">
        <f t="shared" si="216"/>
        <v>Dog : Elite Training</v>
      </c>
      <c r="B1078" s="1" t="str">
        <f t="shared" si="212"/>
        <v>https://m566.info/1xvgwo2</v>
      </c>
      <c r="C1078" s="1" t="str">
        <f>HYPERLINK("https://m566.info/1xvgwo2","Rotwieller")</f>
        <v>Rotwieller</v>
      </c>
    </row>
    <row r="1079">
      <c r="A1079" s="1" t="str">
        <f t="shared" si="216"/>
        <v>Dog : Elite Training</v>
      </c>
      <c r="B1079" s="1" t="str">
        <f t="shared" si="212"/>
        <v>https://m566.info/1xvgwo2</v>
      </c>
      <c r="C1079" s="1" t="str">
        <f>HYPERLINK("https://m566.info/1xvgwo2","Cross Bred")</f>
        <v>Cross Bred</v>
      </c>
    </row>
    <row r="1080">
      <c r="A1080" s="1" t="str">
        <f t="shared" si="216"/>
        <v>Dog : Elite Training</v>
      </c>
      <c r="B1080" s="1" t="str">
        <f t="shared" si="212"/>
        <v>https://m566.info/1xvgwo2</v>
      </c>
      <c r="C1080" s="1" t="str">
        <f>HYPERLINK("https://m566.info/1xvgwo2","Rotweiller")</f>
        <v>Rotweiller</v>
      </c>
    </row>
    <row r="1081">
      <c r="A1081" s="1" t="str">
        <f t="shared" ref="A1081:A1086" si="217">HYPERLINK("https://m566.info/hehvz5m","Dog Aggression Training")</f>
        <v>Dog Aggression Training</v>
      </c>
      <c r="B1081" s="1" t="str">
        <f t="shared" ref="B1081:B1110" si="218">HYPERLINK("https://m566.info/hehvz5m","https://m566.info/hehvz5m")</f>
        <v>https://m566.info/hehvz5m</v>
      </c>
      <c r="C1081" s="1" t="str">
        <f>HYPERLINK("https://m566.info/hehvz5m","Doberman")</f>
        <v>Doberman</v>
      </c>
    </row>
    <row r="1082">
      <c r="A1082" s="1" t="str">
        <f t="shared" si="217"/>
        <v>Dog Aggression Training</v>
      </c>
      <c r="B1082" s="1" t="str">
        <f t="shared" si="218"/>
        <v>https://m566.info/hehvz5m</v>
      </c>
      <c r="C1082" s="1" t="str">
        <f>HYPERLINK("https://m566.info/hehvz5m","German Shepherd")</f>
        <v>German Shepherd</v>
      </c>
    </row>
    <row r="1083">
      <c r="A1083" s="1" t="str">
        <f t="shared" si="217"/>
        <v>Dog Aggression Training</v>
      </c>
      <c r="B1083" s="1" t="str">
        <f t="shared" si="218"/>
        <v>https://m566.info/hehvz5m</v>
      </c>
      <c r="C1083" s="1" t="str">
        <f>HYPERLINK("https://m566.info/hehvz5m","Border Clollie")</f>
        <v>Border Clollie</v>
      </c>
    </row>
    <row r="1084">
      <c r="A1084" s="1" t="str">
        <f t="shared" si="217"/>
        <v>Dog Aggression Training</v>
      </c>
      <c r="B1084" s="1" t="str">
        <f t="shared" si="218"/>
        <v>https://m566.info/hehvz5m</v>
      </c>
      <c r="C1084" s="1" t="str">
        <f>HYPERLINK("https://m566.info/hehvz5m","Rotwieller")</f>
        <v>Rotwieller</v>
      </c>
    </row>
    <row r="1085">
      <c r="A1085" s="1" t="str">
        <f t="shared" si="217"/>
        <v>Dog Aggression Training</v>
      </c>
      <c r="B1085" s="1" t="str">
        <f t="shared" si="218"/>
        <v>https://m566.info/hehvz5m</v>
      </c>
      <c r="C1085" s="1" t="str">
        <f>HYPERLINK("https://m566.info/hehvz5m","Cross Bred")</f>
        <v>Cross Bred</v>
      </c>
    </row>
    <row r="1086">
      <c r="A1086" s="1" t="str">
        <f t="shared" si="217"/>
        <v>Dog Aggression Training</v>
      </c>
      <c r="B1086" s="1" t="str">
        <f t="shared" si="218"/>
        <v>https://m566.info/hehvz5m</v>
      </c>
      <c r="C1086" s="1" t="str">
        <f>HYPERLINK("https://m566.info/hehvz5m","Rotweiller")</f>
        <v>Rotweiller</v>
      </c>
    </row>
    <row r="1087">
      <c r="A1087" s="1" t="str">
        <f t="shared" ref="A1087:A1092" si="219">HYPERLINK("https://m566.info/hehvz5m","Dog Obedience Training")</f>
        <v>Dog Obedience Training</v>
      </c>
      <c r="B1087" s="1" t="str">
        <f t="shared" si="218"/>
        <v>https://m566.info/hehvz5m</v>
      </c>
      <c r="C1087" s="1" t="str">
        <f>HYPERLINK("https://m566.info/hehvz5m","Doberman")</f>
        <v>Doberman</v>
      </c>
    </row>
    <row r="1088">
      <c r="A1088" s="1" t="str">
        <f t="shared" si="219"/>
        <v>Dog Obedience Training</v>
      </c>
      <c r="B1088" s="1" t="str">
        <f t="shared" si="218"/>
        <v>https://m566.info/hehvz5m</v>
      </c>
      <c r="C1088" s="1" t="str">
        <f>HYPERLINK("https://m566.info/hehvz5m","German Shepherd")</f>
        <v>German Shepherd</v>
      </c>
    </row>
    <row r="1089">
      <c r="A1089" s="1" t="str">
        <f t="shared" si="219"/>
        <v>Dog Obedience Training</v>
      </c>
      <c r="B1089" s="1" t="str">
        <f t="shared" si="218"/>
        <v>https://m566.info/hehvz5m</v>
      </c>
      <c r="C1089" s="1" t="str">
        <f>HYPERLINK("https://m566.info/hehvz5m","Border Clollie")</f>
        <v>Border Clollie</v>
      </c>
    </row>
    <row r="1090">
      <c r="A1090" s="1" t="str">
        <f t="shared" si="219"/>
        <v>Dog Obedience Training</v>
      </c>
      <c r="B1090" s="1" t="str">
        <f t="shared" si="218"/>
        <v>https://m566.info/hehvz5m</v>
      </c>
      <c r="C1090" s="1" t="str">
        <f>HYPERLINK("https://m566.info/hehvz5m","Rotwieller")</f>
        <v>Rotwieller</v>
      </c>
    </row>
    <row r="1091">
      <c r="A1091" s="1" t="str">
        <f t="shared" si="219"/>
        <v>Dog Obedience Training</v>
      </c>
      <c r="B1091" s="1" t="str">
        <f t="shared" si="218"/>
        <v>https://m566.info/hehvz5m</v>
      </c>
      <c r="C1091" s="1" t="str">
        <f>HYPERLINK("https://m566.info/hehvz5m","Cross Bred")</f>
        <v>Cross Bred</v>
      </c>
    </row>
    <row r="1092">
      <c r="A1092" s="1" t="str">
        <f t="shared" si="219"/>
        <v>Dog Obedience Training</v>
      </c>
      <c r="B1092" s="1" t="str">
        <f t="shared" si="218"/>
        <v>https://m566.info/hehvz5m</v>
      </c>
      <c r="C1092" s="1" t="str">
        <f>HYPERLINK("https://m566.info/hehvz5m","Rotweiller")</f>
        <v>Rotweiller</v>
      </c>
    </row>
    <row r="1093">
      <c r="A1093" s="1" t="str">
        <f t="shared" ref="A1093:A1098" si="220">HYPERLINK("https://m566.info/hehvz5m","Dog House Training")</f>
        <v>Dog House Training</v>
      </c>
      <c r="B1093" s="1" t="str">
        <f t="shared" si="218"/>
        <v>https://m566.info/hehvz5m</v>
      </c>
      <c r="C1093" s="1" t="str">
        <f>HYPERLINK("https://m566.info/hehvz5m","Doberman")</f>
        <v>Doberman</v>
      </c>
    </row>
    <row r="1094">
      <c r="A1094" s="1" t="str">
        <f t="shared" si="220"/>
        <v>Dog House Training</v>
      </c>
      <c r="B1094" s="1" t="str">
        <f t="shared" si="218"/>
        <v>https://m566.info/hehvz5m</v>
      </c>
      <c r="C1094" s="1" t="str">
        <f>HYPERLINK("https://m566.info/hehvz5m","German Shepherd")</f>
        <v>German Shepherd</v>
      </c>
    </row>
    <row r="1095">
      <c r="A1095" s="1" t="str">
        <f t="shared" si="220"/>
        <v>Dog House Training</v>
      </c>
      <c r="B1095" s="1" t="str">
        <f t="shared" si="218"/>
        <v>https://m566.info/hehvz5m</v>
      </c>
      <c r="C1095" s="1" t="str">
        <f>HYPERLINK("https://m566.info/hehvz5m","Border Clollie")</f>
        <v>Border Clollie</v>
      </c>
    </row>
    <row r="1096">
      <c r="A1096" s="1" t="str">
        <f t="shared" si="220"/>
        <v>Dog House Training</v>
      </c>
      <c r="B1096" s="1" t="str">
        <f t="shared" si="218"/>
        <v>https://m566.info/hehvz5m</v>
      </c>
      <c r="C1096" s="1" t="str">
        <f>HYPERLINK("https://m566.info/hehvz5m","Rotwieller")</f>
        <v>Rotwieller</v>
      </c>
    </row>
    <row r="1097">
      <c r="A1097" s="1" t="str">
        <f t="shared" si="220"/>
        <v>Dog House Training</v>
      </c>
      <c r="B1097" s="1" t="str">
        <f t="shared" si="218"/>
        <v>https://m566.info/hehvz5m</v>
      </c>
      <c r="C1097" s="1" t="str">
        <f>HYPERLINK("https://m566.info/hehvz5m","Cross Bred")</f>
        <v>Cross Bred</v>
      </c>
    </row>
    <row r="1098">
      <c r="A1098" s="1" t="str">
        <f t="shared" si="220"/>
        <v>Dog House Training</v>
      </c>
      <c r="B1098" s="1" t="str">
        <f t="shared" si="218"/>
        <v>https://m566.info/hehvz5m</v>
      </c>
      <c r="C1098" s="1" t="str">
        <f>HYPERLINK("https://m566.info/hehvz5m","Rotweiller")</f>
        <v>Rotweiller</v>
      </c>
    </row>
    <row r="1099">
      <c r="A1099" s="1" t="str">
        <f t="shared" ref="A1099:A1104" si="221">HYPERLINK("https://m566.info/hehvz5m","Dog Behaviour Training")</f>
        <v>Dog Behaviour Training</v>
      </c>
      <c r="B1099" s="1" t="str">
        <f t="shared" si="218"/>
        <v>https://m566.info/hehvz5m</v>
      </c>
      <c r="C1099" s="1" t="str">
        <f>HYPERLINK("https://m566.info/hehvz5m","Doberman")</f>
        <v>Doberman</v>
      </c>
    </row>
    <row r="1100">
      <c r="A1100" s="1" t="str">
        <f t="shared" si="221"/>
        <v>Dog Behaviour Training</v>
      </c>
      <c r="B1100" s="1" t="str">
        <f t="shared" si="218"/>
        <v>https://m566.info/hehvz5m</v>
      </c>
      <c r="C1100" s="1" t="str">
        <f>HYPERLINK("https://m566.info/hehvz5m","German Shepherd")</f>
        <v>German Shepherd</v>
      </c>
    </row>
    <row r="1101">
      <c r="A1101" s="1" t="str">
        <f t="shared" si="221"/>
        <v>Dog Behaviour Training</v>
      </c>
      <c r="B1101" s="1" t="str">
        <f t="shared" si="218"/>
        <v>https://m566.info/hehvz5m</v>
      </c>
      <c r="C1101" s="1" t="str">
        <f>HYPERLINK("https://m566.info/hehvz5m","Border Clollie")</f>
        <v>Border Clollie</v>
      </c>
    </row>
    <row r="1102">
      <c r="A1102" s="1" t="str">
        <f t="shared" si="221"/>
        <v>Dog Behaviour Training</v>
      </c>
      <c r="B1102" s="1" t="str">
        <f t="shared" si="218"/>
        <v>https://m566.info/hehvz5m</v>
      </c>
      <c r="C1102" s="1" t="str">
        <f>HYPERLINK("https://m566.info/hehvz5m","Rotwieller")</f>
        <v>Rotwieller</v>
      </c>
    </row>
    <row r="1103">
      <c r="A1103" s="1" t="str">
        <f t="shared" si="221"/>
        <v>Dog Behaviour Training</v>
      </c>
      <c r="B1103" s="1" t="str">
        <f t="shared" si="218"/>
        <v>https://m566.info/hehvz5m</v>
      </c>
      <c r="C1103" s="1" t="str">
        <f>HYPERLINK("https://m566.info/hehvz5m","Cross Bred")</f>
        <v>Cross Bred</v>
      </c>
    </row>
    <row r="1104">
      <c r="A1104" s="1" t="str">
        <f t="shared" si="221"/>
        <v>Dog Behaviour Training</v>
      </c>
      <c r="B1104" s="1" t="str">
        <f t="shared" si="218"/>
        <v>https://m566.info/hehvz5m</v>
      </c>
      <c r="C1104" s="1" t="str">
        <f>HYPERLINK("https://m566.info/hehvz5m","Rotweiller")</f>
        <v>Rotweiller</v>
      </c>
    </row>
    <row r="1105">
      <c r="A1105" s="1" t="str">
        <f t="shared" ref="A1105:A1110" si="222">HYPERLINK("https://m566.info/hehvz5m","Dog : Elite Training")</f>
        <v>Dog : Elite Training</v>
      </c>
      <c r="B1105" s="1" t="str">
        <f t="shared" si="218"/>
        <v>https://m566.info/hehvz5m</v>
      </c>
      <c r="C1105" s="1" t="str">
        <f>HYPERLINK("https://m566.info/hehvz5m","Doberman")</f>
        <v>Doberman</v>
      </c>
    </row>
    <row r="1106">
      <c r="A1106" s="1" t="str">
        <f t="shared" si="222"/>
        <v>Dog : Elite Training</v>
      </c>
      <c r="B1106" s="1" t="str">
        <f t="shared" si="218"/>
        <v>https://m566.info/hehvz5m</v>
      </c>
      <c r="C1106" s="1" t="str">
        <f>HYPERLINK("https://m566.info/hehvz5m","German Shepherd")</f>
        <v>German Shepherd</v>
      </c>
    </row>
    <row r="1107">
      <c r="A1107" s="1" t="str">
        <f t="shared" si="222"/>
        <v>Dog : Elite Training</v>
      </c>
      <c r="B1107" s="1" t="str">
        <f t="shared" si="218"/>
        <v>https://m566.info/hehvz5m</v>
      </c>
      <c r="C1107" s="1" t="str">
        <f>HYPERLINK("https://m566.info/hehvz5m","Border Clollie")</f>
        <v>Border Clollie</v>
      </c>
    </row>
    <row r="1108">
      <c r="A1108" s="1" t="str">
        <f t="shared" si="222"/>
        <v>Dog : Elite Training</v>
      </c>
      <c r="B1108" s="1" t="str">
        <f t="shared" si="218"/>
        <v>https://m566.info/hehvz5m</v>
      </c>
      <c r="C1108" s="1" t="str">
        <f>HYPERLINK("https://m566.info/hehvz5m","Rotwieller")</f>
        <v>Rotwieller</v>
      </c>
    </row>
    <row r="1109">
      <c r="A1109" s="1" t="str">
        <f t="shared" si="222"/>
        <v>Dog : Elite Training</v>
      </c>
      <c r="B1109" s="1" t="str">
        <f t="shared" si="218"/>
        <v>https://m566.info/hehvz5m</v>
      </c>
      <c r="C1109" s="1" t="str">
        <f>HYPERLINK("https://m566.info/hehvz5m","Cross Bred")</f>
        <v>Cross Bred</v>
      </c>
    </row>
    <row r="1110">
      <c r="A1110" s="1" t="str">
        <f t="shared" si="222"/>
        <v>Dog : Elite Training</v>
      </c>
      <c r="B1110" s="1" t="str">
        <f t="shared" si="218"/>
        <v>https://m566.info/hehvz5m</v>
      </c>
      <c r="C1110" s="1" t="str">
        <f>HYPERLINK("https://m566.info/hehvz5m","Rotweiller")</f>
        <v>Rotweiller</v>
      </c>
    </row>
    <row r="1111">
      <c r="A1111" s="1" t="str">
        <f t="shared" ref="A1111:A1116" si="223">HYPERLINK("https://m566.info/p273gfe","Dog Aggression Training")</f>
        <v>Dog Aggression Training</v>
      </c>
      <c r="B1111" s="1" t="str">
        <f t="shared" ref="B1111:B1140" si="224">HYPERLINK("https://m566.info/p273gfe","https://m566.info/p273gfe")</f>
        <v>https://m566.info/p273gfe</v>
      </c>
      <c r="C1111" s="1" t="str">
        <f>HYPERLINK("https://m566.info/p273gfe","Doberman")</f>
        <v>Doberman</v>
      </c>
    </row>
    <row r="1112">
      <c r="A1112" s="1" t="str">
        <f t="shared" si="223"/>
        <v>Dog Aggression Training</v>
      </c>
      <c r="B1112" s="1" t="str">
        <f t="shared" si="224"/>
        <v>https://m566.info/p273gfe</v>
      </c>
      <c r="C1112" s="1" t="str">
        <f>HYPERLINK("https://m566.info/p273gfe","German Shepherd")</f>
        <v>German Shepherd</v>
      </c>
    </row>
    <row r="1113">
      <c r="A1113" s="1" t="str">
        <f t="shared" si="223"/>
        <v>Dog Aggression Training</v>
      </c>
      <c r="B1113" s="1" t="str">
        <f t="shared" si="224"/>
        <v>https://m566.info/p273gfe</v>
      </c>
      <c r="C1113" s="1" t="str">
        <f>HYPERLINK("https://m566.info/p273gfe","Border Clollie")</f>
        <v>Border Clollie</v>
      </c>
    </row>
    <row r="1114">
      <c r="A1114" s="1" t="str">
        <f t="shared" si="223"/>
        <v>Dog Aggression Training</v>
      </c>
      <c r="B1114" s="1" t="str">
        <f t="shared" si="224"/>
        <v>https://m566.info/p273gfe</v>
      </c>
      <c r="C1114" s="1" t="str">
        <f>HYPERLINK("https://m566.info/p273gfe","Rotwieller")</f>
        <v>Rotwieller</v>
      </c>
    </row>
    <row r="1115">
      <c r="A1115" s="1" t="str">
        <f t="shared" si="223"/>
        <v>Dog Aggression Training</v>
      </c>
      <c r="B1115" s="1" t="str">
        <f t="shared" si="224"/>
        <v>https://m566.info/p273gfe</v>
      </c>
      <c r="C1115" s="1" t="str">
        <f>HYPERLINK("https://m566.info/p273gfe","Cross Bred")</f>
        <v>Cross Bred</v>
      </c>
    </row>
    <row r="1116">
      <c r="A1116" s="1" t="str">
        <f t="shared" si="223"/>
        <v>Dog Aggression Training</v>
      </c>
      <c r="B1116" s="1" t="str">
        <f t="shared" si="224"/>
        <v>https://m566.info/p273gfe</v>
      </c>
      <c r="C1116" s="1" t="str">
        <f>HYPERLINK("https://m566.info/p273gfe","Rotweiller")</f>
        <v>Rotweiller</v>
      </c>
    </row>
    <row r="1117">
      <c r="A1117" s="1" t="str">
        <f t="shared" ref="A1117:A1122" si="225">HYPERLINK("https://m566.info/p273gfe","Dog Obedience Training")</f>
        <v>Dog Obedience Training</v>
      </c>
      <c r="B1117" s="1" t="str">
        <f t="shared" si="224"/>
        <v>https://m566.info/p273gfe</v>
      </c>
      <c r="C1117" s="1" t="str">
        <f>HYPERLINK("https://m566.info/p273gfe","Doberman")</f>
        <v>Doberman</v>
      </c>
    </row>
    <row r="1118">
      <c r="A1118" s="1" t="str">
        <f t="shared" si="225"/>
        <v>Dog Obedience Training</v>
      </c>
      <c r="B1118" s="1" t="str">
        <f t="shared" si="224"/>
        <v>https://m566.info/p273gfe</v>
      </c>
      <c r="C1118" s="1" t="str">
        <f>HYPERLINK("https://m566.info/p273gfe","German Shepherd")</f>
        <v>German Shepherd</v>
      </c>
    </row>
    <row r="1119">
      <c r="A1119" s="1" t="str">
        <f t="shared" si="225"/>
        <v>Dog Obedience Training</v>
      </c>
      <c r="B1119" s="1" t="str">
        <f t="shared" si="224"/>
        <v>https://m566.info/p273gfe</v>
      </c>
      <c r="C1119" s="1" t="str">
        <f>HYPERLINK("https://m566.info/p273gfe","Border Clollie")</f>
        <v>Border Clollie</v>
      </c>
    </row>
    <row r="1120">
      <c r="A1120" s="1" t="str">
        <f t="shared" si="225"/>
        <v>Dog Obedience Training</v>
      </c>
      <c r="B1120" s="1" t="str">
        <f t="shared" si="224"/>
        <v>https://m566.info/p273gfe</v>
      </c>
      <c r="C1120" s="1" t="str">
        <f>HYPERLINK("https://m566.info/p273gfe","Rotwieller")</f>
        <v>Rotwieller</v>
      </c>
    </row>
    <row r="1121">
      <c r="A1121" s="1" t="str">
        <f t="shared" si="225"/>
        <v>Dog Obedience Training</v>
      </c>
      <c r="B1121" s="1" t="str">
        <f t="shared" si="224"/>
        <v>https://m566.info/p273gfe</v>
      </c>
      <c r="C1121" s="1" t="str">
        <f>HYPERLINK("https://m566.info/p273gfe","Cross Bred")</f>
        <v>Cross Bred</v>
      </c>
    </row>
    <row r="1122">
      <c r="A1122" s="1" t="str">
        <f t="shared" si="225"/>
        <v>Dog Obedience Training</v>
      </c>
      <c r="B1122" s="1" t="str">
        <f t="shared" si="224"/>
        <v>https://m566.info/p273gfe</v>
      </c>
      <c r="C1122" s="1" t="str">
        <f>HYPERLINK("https://m566.info/p273gfe","Rotweiller")</f>
        <v>Rotweiller</v>
      </c>
    </row>
    <row r="1123">
      <c r="A1123" s="1" t="str">
        <f t="shared" ref="A1123:A1128" si="226">HYPERLINK("https://m566.info/p273gfe","Dog House Training")</f>
        <v>Dog House Training</v>
      </c>
      <c r="B1123" s="1" t="str">
        <f t="shared" si="224"/>
        <v>https://m566.info/p273gfe</v>
      </c>
      <c r="C1123" s="1" t="str">
        <f>HYPERLINK("https://m566.info/p273gfe","Doberman")</f>
        <v>Doberman</v>
      </c>
    </row>
    <row r="1124">
      <c r="A1124" s="1" t="str">
        <f t="shared" si="226"/>
        <v>Dog House Training</v>
      </c>
      <c r="B1124" s="1" t="str">
        <f t="shared" si="224"/>
        <v>https://m566.info/p273gfe</v>
      </c>
      <c r="C1124" s="1" t="str">
        <f>HYPERLINK("https://m566.info/p273gfe","German Shepherd")</f>
        <v>German Shepherd</v>
      </c>
    </row>
    <row r="1125">
      <c r="A1125" s="1" t="str">
        <f t="shared" si="226"/>
        <v>Dog House Training</v>
      </c>
      <c r="B1125" s="1" t="str">
        <f t="shared" si="224"/>
        <v>https://m566.info/p273gfe</v>
      </c>
      <c r="C1125" s="1" t="str">
        <f>HYPERLINK("https://m566.info/p273gfe","Border Clollie")</f>
        <v>Border Clollie</v>
      </c>
    </row>
    <row r="1126">
      <c r="A1126" s="1" t="str">
        <f t="shared" si="226"/>
        <v>Dog House Training</v>
      </c>
      <c r="B1126" s="1" t="str">
        <f t="shared" si="224"/>
        <v>https://m566.info/p273gfe</v>
      </c>
      <c r="C1126" s="1" t="str">
        <f>HYPERLINK("https://m566.info/p273gfe","Rotwieller")</f>
        <v>Rotwieller</v>
      </c>
    </row>
    <row r="1127">
      <c r="A1127" s="1" t="str">
        <f t="shared" si="226"/>
        <v>Dog House Training</v>
      </c>
      <c r="B1127" s="1" t="str">
        <f t="shared" si="224"/>
        <v>https://m566.info/p273gfe</v>
      </c>
      <c r="C1127" s="1" t="str">
        <f>HYPERLINK("https://m566.info/p273gfe","Cross Bred")</f>
        <v>Cross Bred</v>
      </c>
    </row>
    <row r="1128">
      <c r="A1128" s="1" t="str">
        <f t="shared" si="226"/>
        <v>Dog House Training</v>
      </c>
      <c r="B1128" s="1" t="str">
        <f t="shared" si="224"/>
        <v>https://m566.info/p273gfe</v>
      </c>
      <c r="C1128" s="1" t="str">
        <f>HYPERLINK("https://m566.info/p273gfe","Rotweiller")</f>
        <v>Rotweiller</v>
      </c>
    </row>
    <row r="1129">
      <c r="A1129" s="1" t="str">
        <f t="shared" ref="A1129:A1134" si="227">HYPERLINK("https://m566.info/p273gfe","Dog Behaviour Training")</f>
        <v>Dog Behaviour Training</v>
      </c>
      <c r="B1129" s="1" t="str">
        <f t="shared" si="224"/>
        <v>https://m566.info/p273gfe</v>
      </c>
      <c r="C1129" s="1" t="str">
        <f>HYPERLINK("https://m566.info/p273gfe","Doberman")</f>
        <v>Doberman</v>
      </c>
    </row>
    <row r="1130">
      <c r="A1130" s="1" t="str">
        <f t="shared" si="227"/>
        <v>Dog Behaviour Training</v>
      </c>
      <c r="B1130" s="1" t="str">
        <f t="shared" si="224"/>
        <v>https://m566.info/p273gfe</v>
      </c>
      <c r="C1130" s="1" t="str">
        <f>HYPERLINK("https://m566.info/p273gfe","German Shepherd")</f>
        <v>German Shepherd</v>
      </c>
    </row>
    <row r="1131">
      <c r="A1131" s="1" t="str">
        <f t="shared" si="227"/>
        <v>Dog Behaviour Training</v>
      </c>
      <c r="B1131" s="1" t="str">
        <f t="shared" si="224"/>
        <v>https://m566.info/p273gfe</v>
      </c>
      <c r="C1131" s="1" t="str">
        <f>HYPERLINK("https://m566.info/p273gfe","Border Clollie")</f>
        <v>Border Clollie</v>
      </c>
    </row>
    <row r="1132">
      <c r="A1132" s="1" t="str">
        <f t="shared" si="227"/>
        <v>Dog Behaviour Training</v>
      </c>
      <c r="B1132" s="1" t="str">
        <f t="shared" si="224"/>
        <v>https://m566.info/p273gfe</v>
      </c>
      <c r="C1132" s="1" t="str">
        <f>HYPERLINK("https://m566.info/p273gfe","Rotwieller")</f>
        <v>Rotwieller</v>
      </c>
    </row>
    <row r="1133">
      <c r="A1133" s="1" t="str">
        <f t="shared" si="227"/>
        <v>Dog Behaviour Training</v>
      </c>
      <c r="B1133" s="1" t="str">
        <f t="shared" si="224"/>
        <v>https://m566.info/p273gfe</v>
      </c>
      <c r="C1133" s="1" t="str">
        <f>HYPERLINK("https://m566.info/p273gfe","Cross Bred")</f>
        <v>Cross Bred</v>
      </c>
    </row>
    <row r="1134">
      <c r="A1134" s="1" t="str">
        <f t="shared" si="227"/>
        <v>Dog Behaviour Training</v>
      </c>
      <c r="B1134" s="1" t="str">
        <f t="shared" si="224"/>
        <v>https://m566.info/p273gfe</v>
      </c>
      <c r="C1134" s="1" t="str">
        <f>HYPERLINK("https://m566.info/p273gfe","Rotweiller")</f>
        <v>Rotweiller</v>
      </c>
    </row>
    <row r="1135">
      <c r="A1135" s="1" t="str">
        <f t="shared" ref="A1135:A1140" si="228">HYPERLINK("https://m566.info/p273gfe","Dog : Elite Training")</f>
        <v>Dog : Elite Training</v>
      </c>
      <c r="B1135" s="1" t="str">
        <f t="shared" si="224"/>
        <v>https://m566.info/p273gfe</v>
      </c>
      <c r="C1135" s="1" t="str">
        <f>HYPERLINK("https://m566.info/p273gfe","Doberman")</f>
        <v>Doberman</v>
      </c>
    </row>
    <row r="1136">
      <c r="A1136" s="1" t="str">
        <f t="shared" si="228"/>
        <v>Dog : Elite Training</v>
      </c>
      <c r="B1136" s="1" t="str">
        <f t="shared" si="224"/>
        <v>https://m566.info/p273gfe</v>
      </c>
      <c r="C1136" s="1" t="str">
        <f>HYPERLINK("https://m566.info/p273gfe","German Shepherd")</f>
        <v>German Shepherd</v>
      </c>
    </row>
    <row r="1137">
      <c r="A1137" s="1" t="str">
        <f t="shared" si="228"/>
        <v>Dog : Elite Training</v>
      </c>
      <c r="B1137" s="1" t="str">
        <f t="shared" si="224"/>
        <v>https://m566.info/p273gfe</v>
      </c>
      <c r="C1137" s="1" t="str">
        <f>HYPERLINK("https://m566.info/p273gfe","Border Clollie")</f>
        <v>Border Clollie</v>
      </c>
    </row>
    <row r="1138">
      <c r="A1138" s="1" t="str">
        <f t="shared" si="228"/>
        <v>Dog : Elite Training</v>
      </c>
      <c r="B1138" s="1" t="str">
        <f t="shared" si="224"/>
        <v>https://m566.info/p273gfe</v>
      </c>
      <c r="C1138" s="1" t="str">
        <f>HYPERLINK("https://m566.info/p273gfe","Rotwieller")</f>
        <v>Rotwieller</v>
      </c>
    </row>
    <row r="1139">
      <c r="A1139" s="1" t="str">
        <f t="shared" si="228"/>
        <v>Dog : Elite Training</v>
      </c>
      <c r="B1139" s="1" t="str">
        <f t="shared" si="224"/>
        <v>https://m566.info/p273gfe</v>
      </c>
      <c r="C1139" s="1" t="str">
        <f>HYPERLINK("https://m566.info/p273gfe","Cross Bred")</f>
        <v>Cross Bred</v>
      </c>
    </row>
    <row r="1140">
      <c r="A1140" s="1" t="str">
        <f t="shared" si="228"/>
        <v>Dog : Elite Training</v>
      </c>
      <c r="B1140" s="1" t="str">
        <f t="shared" si="224"/>
        <v>https://m566.info/p273gfe</v>
      </c>
      <c r="C1140" s="1" t="str">
        <f>HYPERLINK("https://m566.info/p273gfe","Rotweiller")</f>
        <v>Rotweiller</v>
      </c>
    </row>
    <row r="1141">
      <c r="A1141" s="1" t="str">
        <f t="shared" ref="A1141:A1146" si="229">HYPERLINK("https://m566.info/ukvui3z","Dog Aggression Training")</f>
        <v>Dog Aggression Training</v>
      </c>
      <c r="B1141" s="1" t="str">
        <f t="shared" ref="B1141:B1170" si="230">HYPERLINK("https://m566.info/ukvui3z","https://m566.info/ukvui3z")</f>
        <v>https://m566.info/ukvui3z</v>
      </c>
      <c r="C1141" s="1" t="str">
        <f>HYPERLINK("https://m566.info/ukvui3z","Doberman")</f>
        <v>Doberman</v>
      </c>
    </row>
    <row r="1142">
      <c r="A1142" s="1" t="str">
        <f t="shared" si="229"/>
        <v>Dog Aggression Training</v>
      </c>
      <c r="B1142" s="1" t="str">
        <f t="shared" si="230"/>
        <v>https://m566.info/ukvui3z</v>
      </c>
      <c r="C1142" s="1" t="str">
        <f>HYPERLINK("https://m566.info/ukvui3z","German Shepherd")</f>
        <v>German Shepherd</v>
      </c>
    </row>
    <row r="1143">
      <c r="A1143" s="1" t="str">
        <f t="shared" si="229"/>
        <v>Dog Aggression Training</v>
      </c>
      <c r="B1143" s="1" t="str">
        <f t="shared" si="230"/>
        <v>https://m566.info/ukvui3z</v>
      </c>
      <c r="C1143" s="1" t="str">
        <f>HYPERLINK("https://m566.info/ukvui3z","Border Clollie")</f>
        <v>Border Clollie</v>
      </c>
    </row>
    <row r="1144">
      <c r="A1144" s="1" t="str">
        <f t="shared" si="229"/>
        <v>Dog Aggression Training</v>
      </c>
      <c r="B1144" s="1" t="str">
        <f t="shared" si="230"/>
        <v>https://m566.info/ukvui3z</v>
      </c>
      <c r="C1144" s="1" t="str">
        <f>HYPERLINK("https://m566.info/ukvui3z","Rotwieller")</f>
        <v>Rotwieller</v>
      </c>
    </row>
    <row r="1145">
      <c r="A1145" s="1" t="str">
        <f t="shared" si="229"/>
        <v>Dog Aggression Training</v>
      </c>
      <c r="B1145" s="1" t="str">
        <f t="shared" si="230"/>
        <v>https://m566.info/ukvui3z</v>
      </c>
      <c r="C1145" s="1" t="str">
        <f>HYPERLINK("https://m566.info/ukvui3z","Cross Bred")</f>
        <v>Cross Bred</v>
      </c>
    </row>
    <row r="1146">
      <c r="A1146" s="1" t="str">
        <f t="shared" si="229"/>
        <v>Dog Aggression Training</v>
      </c>
      <c r="B1146" s="1" t="str">
        <f t="shared" si="230"/>
        <v>https://m566.info/ukvui3z</v>
      </c>
      <c r="C1146" s="1" t="str">
        <f>HYPERLINK("https://m566.info/ukvui3z","Rotweiller")</f>
        <v>Rotweiller</v>
      </c>
    </row>
    <row r="1147">
      <c r="A1147" s="1" t="str">
        <f t="shared" ref="A1147:A1152" si="231">HYPERLINK("https://m566.info/ukvui3z","Dog Obedience Training")</f>
        <v>Dog Obedience Training</v>
      </c>
      <c r="B1147" s="1" t="str">
        <f t="shared" si="230"/>
        <v>https://m566.info/ukvui3z</v>
      </c>
      <c r="C1147" s="1" t="str">
        <f>HYPERLINK("https://m566.info/ukvui3z","Doberman")</f>
        <v>Doberman</v>
      </c>
    </row>
    <row r="1148">
      <c r="A1148" s="1" t="str">
        <f t="shared" si="231"/>
        <v>Dog Obedience Training</v>
      </c>
      <c r="B1148" s="1" t="str">
        <f t="shared" si="230"/>
        <v>https://m566.info/ukvui3z</v>
      </c>
      <c r="C1148" s="1" t="str">
        <f>HYPERLINK("https://m566.info/ukvui3z","German Shepherd")</f>
        <v>German Shepherd</v>
      </c>
    </row>
    <row r="1149">
      <c r="A1149" s="1" t="str">
        <f t="shared" si="231"/>
        <v>Dog Obedience Training</v>
      </c>
      <c r="B1149" s="1" t="str">
        <f t="shared" si="230"/>
        <v>https://m566.info/ukvui3z</v>
      </c>
      <c r="C1149" s="1" t="str">
        <f>HYPERLINK("https://m566.info/ukvui3z","Border Clollie")</f>
        <v>Border Clollie</v>
      </c>
    </row>
    <row r="1150">
      <c r="A1150" s="1" t="str">
        <f t="shared" si="231"/>
        <v>Dog Obedience Training</v>
      </c>
      <c r="B1150" s="1" t="str">
        <f t="shared" si="230"/>
        <v>https://m566.info/ukvui3z</v>
      </c>
      <c r="C1150" s="1" t="str">
        <f>HYPERLINK("https://m566.info/ukvui3z","Rotwieller")</f>
        <v>Rotwieller</v>
      </c>
    </row>
    <row r="1151">
      <c r="A1151" s="1" t="str">
        <f t="shared" si="231"/>
        <v>Dog Obedience Training</v>
      </c>
      <c r="B1151" s="1" t="str">
        <f t="shared" si="230"/>
        <v>https://m566.info/ukvui3z</v>
      </c>
      <c r="C1151" s="1" t="str">
        <f>HYPERLINK("https://m566.info/ukvui3z","Cross Bred")</f>
        <v>Cross Bred</v>
      </c>
    </row>
    <row r="1152">
      <c r="A1152" s="1" t="str">
        <f t="shared" si="231"/>
        <v>Dog Obedience Training</v>
      </c>
      <c r="B1152" s="1" t="str">
        <f t="shared" si="230"/>
        <v>https://m566.info/ukvui3z</v>
      </c>
      <c r="C1152" s="1" t="str">
        <f>HYPERLINK("https://m566.info/ukvui3z","Rotweiller")</f>
        <v>Rotweiller</v>
      </c>
    </row>
    <row r="1153">
      <c r="A1153" s="1" t="str">
        <f t="shared" ref="A1153:A1158" si="232">HYPERLINK("https://m566.info/ukvui3z","Dog House Training")</f>
        <v>Dog House Training</v>
      </c>
      <c r="B1153" s="1" t="str">
        <f t="shared" si="230"/>
        <v>https://m566.info/ukvui3z</v>
      </c>
      <c r="C1153" s="1" t="str">
        <f>HYPERLINK("https://m566.info/ukvui3z","Doberman")</f>
        <v>Doberman</v>
      </c>
    </row>
    <row r="1154">
      <c r="A1154" s="1" t="str">
        <f t="shared" si="232"/>
        <v>Dog House Training</v>
      </c>
      <c r="B1154" s="1" t="str">
        <f t="shared" si="230"/>
        <v>https://m566.info/ukvui3z</v>
      </c>
      <c r="C1154" s="1" t="str">
        <f>HYPERLINK("https://m566.info/ukvui3z","German Shepherd")</f>
        <v>German Shepherd</v>
      </c>
    </row>
    <row r="1155">
      <c r="A1155" s="1" t="str">
        <f t="shared" si="232"/>
        <v>Dog House Training</v>
      </c>
      <c r="B1155" s="1" t="str">
        <f t="shared" si="230"/>
        <v>https://m566.info/ukvui3z</v>
      </c>
      <c r="C1155" s="1" t="str">
        <f>HYPERLINK("https://m566.info/ukvui3z","Border Clollie")</f>
        <v>Border Clollie</v>
      </c>
    </row>
    <row r="1156">
      <c r="A1156" s="1" t="str">
        <f t="shared" si="232"/>
        <v>Dog House Training</v>
      </c>
      <c r="B1156" s="1" t="str">
        <f t="shared" si="230"/>
        <v>https://m566.info/ukvui3z</v>
      </c>
      <c r="C1156" s="1" t="str">
        <f>HYPERLINK("https://m566.info/ukvui3z","Rotwieller")</f>
        <v>Rotwieller</v>
      </c>
    </row>
    <row r="1157">
      <c r="A1157" s="1" t="str">
        <f t="shared" si="232"/>
        <v>Dog House Training</v>
      </c>
      <c r="B1157" s="1" t="str">
        <f t="shared" si="230"/>
        <v>https://m566.info/ukvui3z</v>
      </c>
      <c r="C1157" s="1" t="str">
        <f>HYPERLINK("https://m566.info/ukvui3z","Cross Bred")</f>
        <v>Cross Bred</v>
      </c>
    </row>
    <row r="1158">
      <c r="A1158" s="1" t="str">
        <f t="shared" si="232"/>
        <v>Dog House Training</v>
      </c>
      <c r="B1158" s="1" t="str">
        <f t="shared" si="230"/>
        <v>https://m566.info/ukvui3z</v>
      </c>
      <c r="C1158" s="1" t="str">
        <f>HYPERLINK("https://m566.info/ukvui3z","Rotweiller")</f>
        <v>Rotweiller</v>
      </c>
    </row>
    <row r="1159">
      <c r="A1159" s="1" t="str">
        <f t="shared" ref="A1159:A1164" si="233">HYPERLINK("https://m566.info/ukvui3z","Dog Behaviour Training")</f>
        <v>Dog Behaviour Training</v>
      </c>
      <c r="B1159" s="1" t="str">
        <f t="shared" si="230"/>
        <v>https://m566.info/ukvui3z</v>
      </c>
      <c r="C1159" s="1" t="str">
        <f>HYPERLINK("https://m566.info/ukvui3z","Doberman")</f>
        <v>Doberman</v>
      </c>
    </row>
    <row r="1160">
      <c r="A1160" s="1" t="str">
        <f t="shared" si="233"/>
        <v>Dog Behaviour Training</v>
      </c>
      <c r="B1160" s="1" t="str">
        <f t="shared" si="230"/>
        <v>https://m566.info/ukvui3z</v>
      </c>
      <c r="C1160" s="1" t="str">
        <f>HYPERLINK("https://m566.info/ukvui3z","German Shepherd")</f>
        <v>German Shepherd</v>
      </c>
    </row>
    <row r="1161">
      <c r="A1161" s="1" t="str">
        <f t="shared" si="233"/>
        <v>Dog Behaviour Training</v>
      </c>
      <c r="B1161" s="1" t="str">
        <f t="shared" si="230"/>
        <v>https://m566.info/ukvui3z</v>
      </c>
      <c r="C1161" s="1" t="str">
        <f>HYPERLINK("https://m566.info/ukvui3z","Border Clollie")</f>
        <v>Border Clollie</v>
      </c>
    </row>
    <row r="1162">
      <c r="A1162" s="1" t="str">
        <f t="shared" si="233"/>
        <v>Dog Behaviour Training</v>
      </c>
      <c r="B1162" s="1" t="str">
        <f t="shared" si="230"/>
        <v>https://m566.info/ukvui3z</v>
      </c>
      <c r="C1162" s="1" t="str">
        <f>HYPERLINK("https://m566.info/ukvui3z","Rotwieller")</f>
        <v>Rotwieller</v>
      </c>
    </row>
    <row r="1163">
      <c r="A1163" s="1" t="str">
        <f t="shared" si="233"/>
        <v>Dog Behaviour Training</v>
      </c>
      <c r="B1163" s="1" t="str">
        <f t="shared" si="230"/>
        <v>https://m566.info/ukvui3z</v>
      </c>
      <c r="C1163" s="1" t="str">
        <f>HYPERLINK("https://m566.info/ukvui3z","Cross Bred")</f>
        <v>Cross Bred</v>
      </c>
    </row>
    <row r="1164">
      <c r="A1164" s="1" t="str">
        <f t="shared" si="233"/>
        <v>Dog Behaviour Training</v>
      </c>
      <c r="B1164" s="1" t="str">
        <f t="shared" si="230"/>
        <v>https://m566.info/ukvui3z</v>
      </c>
      <c r="C1164" s="1" t="str">
        <f>HYPERLINK("https://m566.info/ukvui3z","Rotweiller")</f>
        <v>Rotweiller</v>
      </c>
    </row>
    <row r="1165">
      <c r="A1165" s="1" t="str">
        <f t="shared" ref="A1165:A1170" si="234">HYPERLINK("https://m566.info/ukvui3z","Dog : Elite Training")</f>
        <v>Dog : Elite Training</v>
      </c>
      <c r="B1165" s="1" t="str">
        <f t="shared" si="230"/>
        <v>https://m566.info/ukvui3z</v>
      </c>
      <c r="C1165" s="1" t="str">
        <f>HYPERLINK("https://m566.info/ukvui3z","Doberman")</f>
        <v>Doberman</v>
      </c>
    </row>
    <row r="1166">
      <c r="A1166" s="1" t="str">
        <f t="shared" si="234"/>
        <v>Dog : Elite Training</v>
      </c>
      <c r="B1166" s="1" t="str">
        <f t="shared" si="230"/>
        <v>https://m566.info/ukvui3z</v>
      </c>
      <c r="C1166" s="1" t="str">
        <f>HYPERLINK("https://m566.info/ukvui3z","German Shepherd")</f>
        <v>German Shepherd</v>
      </c>
    </row>
    <row r="1167">
      <c r="A1167" s="1" t="str">
        <f t="shared" si="234"/>
        <v>Dog : Elite Training</v>
      </c>
      <c r="B1167" s="1" t="str">
        <f t="shared" si="230"/>
        <v>https://m566.info/ukvui3z</v>
      </c>
      <c r="C1167" s="1" t="str">
        <f>HYPERLINK("https://m566.info/ukvui3z","Border Clollie")</f>
        <v>Border Clollie</v>
      </c>
    </row>
    <row r="1168">
      <c r="A1168" s="1" t="str">
        <f t="shared" si="234"/>
        <v>Dog : Elite Training</v>
      </c>
      <c r="B1168" s="1" t="str">
        <f t="shared" si="230"/>
        <v>https://m566.info/ukvui3z</v>
      </c>
      <c r="C1168" s="1" t="str">
        <f>HYPERLINK("https://m566.info/ukvui3z","Rotwieller")</f>
        <v>Rotwieller</v>
      </c>
    </row>
    <row r="1169">
      <c r="A1169" s="1" t="str">
        <f t="shared" si="234"/>
        <v>Dog : Elite Training</v>
      </c>
      <c r="B1169" s="1" t="str">
        <f t="shared" si="230"/>
        <v>https://m566.info/ukvui3z</v>
      </c>
      <c r="C1169" s="1" t="str">
        <f>HYPERLINK("https://m566.info/ukvui3z","Cross Bred")</f>
        <v>Cross Bred</v>
      </c>
    </row>
    <row r="1170">
      <c r="A1170" s="1" t="str">
        <f t="shared" si="234"/>
        <v>Dog : Elite Training</v>
      </c>
      <c r="B1170" s="1" t="str">
        <f t="shared" si="230"/>
        <v>https://m566.info/ukvui3z</v>
      </c>
      <c r="C1170" s="1" t="str">
        <f>HYPERLINK("https://m566.info/ukvui3z","Rotweiller")</f>
        <v>Rotweiller</v>
      </c>
    </row>
    <row r="1171">
      <c r="A1171" s="1" t="str">
        <f t="shared" ref="A1171:A1176" si="235">HYPERLINK("https://m566.info/r727u0h","Dog Aggression Training")</f>
        <v>Dog Aggression Training</v>
      </c>
      <c r="B1171" s="1" t="str">
        <f t="shared" ref="B1171:B1200" si="236">HYPERLINK("https://m566.info/r727u0h","https://m566.info/r727u0h")</f>
        <v>https://m566.info/r727u0h</v>
      </c>
      <c r="C1171" s="1" t="str">
        <f>HYPERLINK("https://m566.info/r727u0h","Doberman")</f>
        <v>Doberman</v>
      </c>
    </row>
    <row r="1172">
      <c r="A1172" s="1" t="str">
        <f t="shared" si="235"/>
        <v>Dog Aggression Training</v>
      </c>
      <c r="B1172" s="1" t="str">
        <f t="shared" si="236"/>
        <v>https://m566.info/r727u0h</v>
      </c>
      <c r="C1172" s="1" t="str">
        <f>HYPERLINK("https://m566.info/r727u0h","German Shepherd")</f>
        <v>German Shepherd</v>
      </c>
    </row>
    <row r="1173">
      <c r="A1173" s="1" t="str">
        <f t="shared" si="235"/>
        <v>Dog Aggression Training</v>
      </c>
      <c r="B1173" s="1" t="str">
        <f t="shared" si="236"/>
        <v>https://m566.info/r727u0h</v>
      </c>
      <c r="C1173" s="1" t="str">
        <f>HYPERLINK("https://m566.info/r727u0h","Border Clollie")</f>
        <v>Border Clollie</v>
      </c>
    </row>
    <row r="1174">
      <c r="A1174" s="1" t="str">
        <f t="shared" si="235"/>
        <v>Dog Aggression Training</v>
      </c>
      <c r="B1174" s="1" t="str">
        <f t="shared" si="236"/>
        <v>https://m566.info/r727u0h</v>
      </c>
      <c r="C1174" s="1" t="str">
        <f>HYPERLINK("https://m566.info/r727u0h","Rotwieller")</f>
        <v>Rotwieller</v>
      </c>
    </row>
    <row r="1175">
      <c r="A1175" s="1" t="str">
        <f t="shared" si="235"/>
        <v>Dog Aggression Training</v>
      </c>
      <c r="B1175" s="1" t="str">
        <f t="shared" si="236"/>
        <v>https://m566.info/r727u0h</v>
      </c>
      <c r="C1175" s="1" t="str">
        <f>HYPERLINK("https://m566.info/r727u0h","Cross Bred")</f>
        <v>Cross Bred</v>
      </c>
    </row>
    <row r="1176">
      <c r="A1176" s="1" t="str">
        <f t="shared" si="235"/>
        <v>Dog Aggression Training</v>
      </c>
      <c r="B1176" s="1" t="str">
        <f t="shared" si="236"/>
        <v>https://m566.info/r727u0h</v>
      </c>
      <c r="C1176" s="1" t="str">
        <f>HYPERLINK("https://m566.info/r727u0h","Rotweiller")</f>
        <v>Rotweiller</v>
      </c>
    </row>
    <row r="1177">
      <c r="A1177" s="1" t="str">
        <f t="shared" ref="A1177:A1182" si="237">HYPERLINK("https://m566.info/r727u0h","Dog Obedience Training")</f>
        <v>Dog Obedience Training</v>
      </c>
      <c r="B1177" s="1" t="str">
        <f t="shared" si="236"/>
        <v>https://m566.info/r727u0h</v>
      </c>
      <c r="C1177" s="1" t="str">
        <f>HYPERLINK("https://m566.info/r727u0h","Doberman")</f>
        <v>Doberman</v>
      </c>
    </row>
    <row r="1178">
      <c r="A1178" s="1" t="str">
        <f t="shared" si="237"/>
        <v>Dog Obedience Training</v>
      </c>
      <c r="B1178" s="1" t="str">
        <f t="shared" si="236"/>
        <v>https://m566.info/r727u0h</v>
      </c>
      <c r="C1178" s="1" t="str">
        <f>HYPERLINK("https://m566.info/r727u0h","German Shepherd")</f>
        <v>German Shepherd</v>
      </c>
    </row>
    <row r="1179">
      <c r="A1179" s="1" t="str">
        <f t="shared" si="237"/>
        <v>Dog Obedience Training</v>
      </c>
      <c r="B1179" s="1" t="str">
        <f t="shared" si="236"/>
        <v>https://m566.info/r727u0h</v>
      </c>
      <c r="C1179" s="1" t="str">
        <f>HYPERLINK("https://m566.info/r727u0h","Border Clollie")</f>
        <v>Border Clollie</v>
      </c>
    </row>
    <row r="1180">
      <c r="A1180" s="1" t="str">
        <f t="shared" si="237"/>
        <v>Dog Obedience Training</v>
      </c>
      <c r="B1180" s="1" t="str">
        <f t="shared" si="236"/>
        <v>https://m566.info/r727u0h</v>
      </c>
      <c r="C1180" s="1" t="str">
        <f>HYPERLINK("https://m566.info/r727u0h","Rotwieller")</f>
        <v>Rotwieller</v>
      </c>
    </row>
    <row r="1181">
      <c r="A1181" s="1" t="str">
        <f t="shared" si="237"/>
        <v>Dog Obedience Training</v>
      </c>
      <c r="B1181" s="1" t="str">
        <f t="shared" si="236"/>
        <v>https://m566.info/r727u0h</v>
      </c>
      <c r="C1181" s="1" t="str">
        <f>HYPERLINK("https://m566.info/r727u0h","Cross Bred")</f>
        <v>Cross Bred</v>
      </c>
    </row>
    <row r="1182">
      <c r="A1182" s="1" t="str">
        <f t="shared" si="237"/>
        <v>Dog Obedience Training</v>
      </c>
      <c r="B1182" s="1" t="str">
        <f t="shared" si="236"/>
        <v>https://m566.info/r727u0h</v>
      </c>
      <c r="C1182" s="1" t="str">
        <f>HYPERLINK("https://m566.info/r727u0h","Rotweiller")</f>
        <v>Rotweiller</v>
      </c>
    </row>
    <row r="1183">
      <c r="A1183" s="1" t="str">
        <f t="shared" ref="A1183:A1188" si="238">HYPERLINK("https://m566.info/r727u0h","Dog House Training")</f>
        <v>Dog House Training</v>
      </c>
      <c r="B1183" s="1" t="str">
        <f t="shared" si="236"/>
        <v>https://m566.info/r727u0h</v>
      </c>
      <c r="C1183" s="1" t="str">
        <f>HYPERLINK("https://m566.info/r727u0h","Doberman")</f>
        <v>Doberman</v>
      </c>
    </row>
    <row r="1184">
      <c r="A1184" s="1" t="str">
        <f t="shared" si="238"/>
        <v>Dog House Training</v>
      </c>
      <c r="B1184" s="1" t="str">
        <f t="shared" si="236"/>
        <v>https://m566.info/r727u0h</v>
      </c>
      <c r="C1184" s="1" t="str">
        <f>HYPERLINK("https://m566.info/r727u0h","German Shepherd")</f>
        <v>German Shepherd</v>
      </c>
    </row>
    <row r="1185">
      <c r="A1185" s="1" t="str">
        <f t="shared" si="238"/>
        <v>Dog House Training</v>
      </c>
      <c r="B1185" s="1" t="str">
        <f t="shared" si="236"/>
        <v>https://m566.info/r727u0h</v>
      </c>
      <c r="C1185" s="1" t="str">
        <f>HYPERLINK("https://m566.info/r727u0h","Border Clollie")</f>
        <v>Border Clollie</v>
      </c>
    </row>
    <row r="1186">
      <c r="A1186" s="1" t="str">
        <f t="shared" si="238"/>
        <v>Dog House Training</v>
      </c>
      <c r="B1186" s="1" t="str">
        <f t="shared" si="236"/>
        <v>https://m566.info/r727u0h</v>
      </c>
      <c r="C1186" s="1" t="str">
        <f>HYPERLINK("https://m566.info/r727u0h","Rotwieller")</f>
        <v>Rotwieller</v>
      </c>
    </row>
    <row r="1187">
      <c r="A1187" s="1" t="str">
        <f t="shared" si="238"/>
        <v>Dog House Training</v>
      </c>
      <c r="B1187" s="1" t="str">
        <f t="shared" si="236"/>
        <v>https://m566.info/r727u0h</v>
      </c>
      <c r="C1187" s="1" t="str">
        <f>HYPERLINK("https://m566.info/r727u0h","Cross Bred")</f>
        <v>Cross Bred</v>
      </c>
    </row>
    <row r="1188">
      <c r="A1188" s="1" t="str">
        <f t="shared" si="238"/>
        <v>Dog House Training</v>
      </c>
      <c r="B1188" s="1" t="str">
        <f t="shared" si="236"/>
        <v>https://m566.info/r727u0h</v>
      </c>
      <c r="C1188" s="1" t="str">
        <f>HYPERLINK("https://m566.info/r727u0h","Rotweiller")</f>
        <v>Rotweiller</v>
      </c>
    </row>
    <row r="1189">
      <c r="A1189" s="1" t="str">
        <f t="shared" ref="A1189:A1194" si="239">HYPERLINK("https://m566.info/r727u0h","Dog Behaviour Training")</f>
        <v>Dog Behaviour Training</v>
      </c>
      <c r="B1189" s="1" t="str">
        <f t="shared" si="236"/>
        <v>https://m566.info/r727u0h</v>
      </c>
      <c r="C1189" s="1" t="str">
        <f>HYPERLINK("https://m566.info/r727u0h","Doberman")</f>
        <v>Doberman</v>
      </c>
    </row>
    <row r="1190">
      <c r="A1190" s="1" t="str">
        <f t="shared" si="239"/>
        <v>Dog Behaviour Training</v>
      </c>
      <c r="B1190" s="1" t="str">
        <f t="shared" si="236"/>
        <v>https://m566.info/r727u0h</v>
      </c>
      <c r="C1190" s="1" t="str">
        <f>HYPERLINK("https://m566.info/r727u0h","German Shepherd")</f>
        <v>German Shepherd</v>
      </c>
    </row>
    <row r="1191">
      <c r="A1191" s="1" t="str">
        <f t="shared" si="239"/>
        <v>Dog Behaviour Training</v>
      </c>
      <c r="B1191" s="1" t="str">
        <f t="shared" si="236"/>
        <v>https://m566.info/r727u0h</v>
      </c>
      <c r="C1191" s="1" t="str">
        <f>HYPERLINK("https://m566.info/r727u0h","Border Clollie")</f>
        <v>Border Clollie</v>
      </c>
    </row>
    <row r="1192">
      <c r="A1192" s="1" t="str">
        <f t="shared" si="239"/>
        <v>Dog Behaviour Training</v>
      </c>
      <c r="B1192" s="1" t="str">
        <f t="shared" si="236"/>
        <v>https://m566.info/r727u0h</v>
      </c>
      <c r="C1192" s="1" t="str">
        <f>HYPERLINK("https://m566.info/r727u0h","Rotwieller")</f>
        <v>Rotwieller</v>
      </c>
    </row>
    <row r="1193">
      <c r="A1193" s="1" t="str">
        <f t="shared" si="239"/>
        <v>Dog Behaviour Training</v>
      </c>
      <c r="B1193" s="1" t="str">
        <f t="shared" si="236"/>
        <v>https://m566.info/r727u0h</v>
      </c>
      <c r="C1193" s="1" t="str">
        <f>HYPERLINK("https://m566.info/r727u0h","Cross Bred")</f>
        <v>Cross Bred</v>
      </c>
    </row>
    <row r="1194">
      <c r="A1194" s="1" t="str">
        <f t="shared" si="239"/>
        <v>Dog Behaviour Training</v>
      </c>
      <c r="B1194" s="1" t="str">
        <f t="shared" si="236"/>
        <v>https://m566.info/r727u0h</v>
      </c>
      <c r="C1194" s="1" t="str">
        <f>HYPERLINK("https://m566.info/r727u0h","Rotweiller")</f>
        <v>Rotweiller</v>
      </c>
    </row>
    <row r="1195">
      <c r="A1195" s="1" t="str">
        <f t="shared" ref="A1195:A1200" si="240">HYPERLINK("https://m566.info/r727u0h","Dog : Elite Training")</f>
        <v>Dog : Elite Training</v>
      </c>
      <c r="B1195" s="1" t="str">
        <f t="shared" si="236"/>
        <v>https://m566.info/r727u0h</v>
      </c>
      <c r="C1195" s="1" t="str">
        <f>HYPERLINK("https://m566.info/r727u0h","Doberman")</f>
        <v>Doberman</v>
      </c>
    </row>
    <row r="1196">
      <c r="A1196" s="1" t="str">
        <f t="shared" si="240"/>
        <v>Dog : Elite Training</v>
      </c>
      <c r="B1196" s="1" t="str">
        <f t="shared" si="236"/>
        <v>https://m566.info/r727u0h</v>
      </c>
      <c r="C1196" s="1" t="str">
        <f>HYPERLINK("https://m566.info/r727u0h","German Shepherd")</f>
        <v>German Shepherd</v>
      </c>
    </row>
    <row r="1197">
      <c r="A1197" s="1" t="str">
        <f t="shared" si="240"/>
        <v>Dog : Elite Training</v>
      </c>
      <c r="B1197" s="1" t="str">
        <f t="shared" si="236"/>
        <v>https://m566.info/r727u0h</v>
      </c>
      <c r="C1197" s="1" t="str">
        <f>HYPERLINK("https://m566.info/r727u0h","Border Clollie")</f>
        <v>Border Clollie</v>
      </c>
    </row>
    <row r="1198">
      <c r="A1198" s="1" t="str">
        <f t="shared" si="240"/>
        <v>Dog : Elite Training</v>
      </c>
      <c r="B1198" s="1" t="str">
        <f t="shared" si="236"/>
        <v>https://m566.info/r727u0h</v>
      </c>
      <c r="C1198" s="1" t="str">
        <f>HYPERLINK("https://m566.info/r727u0h","Rotwieller")</f>
        <v>Rotwieller</v>
      </c>
    </row>
    <row r="1199">
      <c r="A1199" s="1" t="str">
        <f t="shared" si="240"/>
        <v>Dog : Elite Training</v>
      </c>
      <c r="B1199" s="1" t="str">
        <f t="shared" si="236"/>
        <v>https://m566.info/r727u0h</v>
      </c>
      <c r="C1199" s="1" t="str">
        <f>HYPERLINK("https://m566.info/r727u0h","Cross Bred")</f>
        <v>Cross Bred</v>
      </c>
    </row>
    <row r="1200">
      <c r="A1200" s="1" t="str">
        <f t="shared" si="240"/>
        <v>Dog : Elite Training</v>
      </c>
      <c r="B1200" s="1" t="str">
        <f t="shared" si="236"/>
        <v>https://m566.info/r727u0h</v>
      </c>
      <c r="C1200" s="1" t="str">
        <f>HYPERLINK("https://m566.info/r727u0h","Rotweiller")</f>
        <v>Rotweiller</v>
      </c>
    </row>
    <row r="1201">
      <c r="A1201" s="1" t="str">
        <f t="shared" ref="A1201:A1206" si="241">HYPERLINK("https://m566.info/uwqfjuy","Dog Aggression Training")</f>
        <v>Dog Aggression Training</v>
      </c>
      <c r="B1201" s="1" t="str">
        <f t="shared" ref="B1201:B1230" si="242">HYPERLINK("https://m566.info/uwqfjuy","https://m566.info/uwqfjuy")</f>
        <v>https://m566.info/uwqfjuy</v>
      </c>
      <c r="C1201" s="1" t="str">
        <f>HYPERLINK("https://m566.info/uwqfjuy","Doberman")</f>
        <v>Doberman</v>
      </c>
    </row>
    <row r="1202">
      <c r="A1202" s="1" t="str">
        <f t="shared" si="241"/>
        <v>Dog Aggression Training</v>
      </c>
      <c r="B1202" s="1" t="str">
        <f t="shared" si="242"/>
        <v>https://m566.info/uwqfjuy</v>
      </c>
      <c r="C1202" s="1" t="str">
        <f>HYPERLINK("https://m566.info/uwqfjuy","German Shepherd")</f>
        <v>German Shepherd</v>
      </c>
    </row>
    <row r="1203">
      <c r="A1203" s="1" t="str">
        <f t="shared" si="241"/>
        <v>Dog Aggression Training</v>
      </c>
      <c r="B1203" s="1" t="str">
        <f t="shared" si="242"/>
        <v>https://m566.info/uwqfjuy</v>
      </c>
      <c r="C1203" s="1" t="str">
        <f>HYPERLINK("https://m566.info/uwqfjuy","Border Clollie")</f>
        <v>Border Clollie</v>
      </c>
    </row>
    <row r="1204">
      <c r="A1204" s="1" t="str">
        <f t="shared" si="241"/>
        <v>Dog Aggression Training</v>
      </c>
      <c r="B1204" s="1" t="str">
        <f t="shared" si="242"/>
        <v>https://m566.info/uwqfjuy</v>
      </c>
      <c r="C1204" s="1" t="str">
        <f>HYPERLINK("https://m566.info/uwqfjuy","Rotwieller")</f>
        <v>Rotwieller</v>
      </c>
    </row>
    <row r="1205">
      <c r="A1205" s="1" t="str">
        <f t="shared" si="241"/>
        <v>Dog Aggression Training</v>
      </c>
      <c r="B1205" s="1" t="str">
        <f t="shared" si="242"/>
        <v>https://m566.info/uwqfjuy</v>
      </c>
      <c r="C1205" s="1" t="str">
        <f>HYPERLINK("https://m566.info/uwqfjuy","Cross Bred")</f>
        <v>Cross Bred</v>
      </c>
    </row>
    <row r="1206">
      <c r="A1206" s="1" t="str">
        <f t="shared" si="241"/>
        <v>Dog Aggression Training</v>
      </c>
      <c r="B1206" s="1" t="str">
        <f t="shared" si="242"/>
        <v>https://m566.info/uwqfjuy</v>
      </c>
      <c r="C1206" s="1" t="str">
        <f>HYPERLINK("https://m566.info/uwqfjuy","Rotweiller")</f>
        <v>Rotweiller</v>
      </c>
    </row>
    <row r="1207">
      <c r="A1207" s="1" t="str">
        <f t="shared" ref="A1207:A1212" si="243">HYPERLINK("https://m566.info/uwqfjuy","Dog Obedience Training")</f>
        <v>Dog Obedience Training</v>
      </c>
      <c r="B1207" s="1" t="str">
        <f t="shared" si="242"/>
        <v>https://m566.info/uwqfjuy</v>
      </c>
      <c r="C1207" s="1" t="str">
        <f>HYPERLINK("https://m566.info/uwqfjuy","Doberman")</f>
        <v>Doberman</v>
      </c>
    </row>
    <row r="1208">
      <c r="A1208" s="1" t="str">
        <f t="shared" si="243"/>
        <v>Dog Obedience Training</v>
      </c>
      <c r="B1208" s="1" t="str">
        <f t="shared" si="242"/>
        <v>https://m566.info/uwqfjuy</v>
      </c>
      <c r="C1208" s="1" t="str">
        <f>HYPERLINK("https://m566.info/uwqfjuy","German Shepherd")</f>
        <v>German Shepherd</v>
      </c>
    </row>
    <row r="1209">
      <c r="A1209" s="1" t="str">
        <f t="shared" si="243"/>
        <v>Dog Obedience Training</v>
      </c>
      <c r="B1209" s="1" t="str">
        <f t="shared" si="242"/>
        <v>https://m566.info/uwqfjuy</v>
      </c>
      <c r="C1209" s="1" t="str">
        <f>HYPERLINK("https://m566.info/uwqfjuy","Border Clollie")</f>
        <v>Border Clollie</v>
      </c>
    </row>
    <row r="1210">
      <c r="A1210" s="1" t="str">
        <f t="shared" si="243"/>
        <v>Dog Obedience Training</v>
      </c>
      <c r="B1210" s="1" t="str">
        <f t="shared" si="242"/>
        <v>https://m566.info/uwqfjuy</v>
      </c>
      <c r="C1210" s="1" t="str">
        <f>HYPERLINK("https://m566.info/uwqfjuy","Rotwieller")</f>
        <v>Rotwieller</v>
      </c>
    </row>
    <row r="1211">
      <c r="A1211" s="1" t="str">
        <f t="shared" si="243"/>
        <v>Dog Obedience Training</v>
      </c>
      <c r="B1211" s="1" t="str">
        <f t="shared" si="242"/>
        <v>https://m566.info/uwqfjuy</v>
      </c>
      <c r="C1211" s="1" t="str">
        <f>HYPERLINK("https://m566.info/uwqfjuy","Cross Bred")</f>
        <v>Cross Bred</v>
      </c>
    </row>
    <row r="1212">
      <c r="A1212" s="1" t="str">
        <f t="shared" si="243"/>
        <v>Dog Obedience Training</v>
      </c>
      <c r="B1212" s="1" t="str">
        <f t="shared" si="242"/>
        <v>https://m566.info/uwqfjuy</v>
      </c>
      <c r="C1212" s="1" t="str">
        <f>HYPERLINK("https://m566.info/uwqfjuy","Rotweiller")</f>
        <v>Rotweiller</v>
      </c>
    </row>
    <row r="1213">
      <c r="A1213" s="1" t="str">
        <f t="shared" ref="A1213:A1218" si="244">HYPERLINK("https://m566.info/uwqfjuy","Dog House Training")</f>
        <v>Dog House Training</v>
      </c>
      <c r="B1213" s="1" t="str">
        <f t="shared" si="242"/>
        <v>https://m566.info/uwqfjuy</v>
      </c>
      <c r="C1213" s="1" t="str">
        <f>HYPERLINK("https://m566.info/uwqfjuy","Doberman")</f>
        <v>Doberman</v>
      </c>
    </row>
    <row r="1214">
      <c r="A1214" s="1" t="str">
        <f t="shared" si="244"/>
        <v>Dog House Training</v>
      </c>
      <c r="B1214" s="1" t="str">
        <f t="shared" si="242"/>
        <v>https://m566.info/uwqfjuy</v>
      </c>
      <c r="C1214" s="1" t="str">
        <f>HYPERLINK("https://m566.info/uwqfjuy","German Shepherd")</f>
        <v>German Shepherd</v>
      </c>
    </row>
    <row r="1215">
      <c r="A1215" s="1" t="str">
        <f t="shared" si="244"/>
        <v>Dog House Training</v>
      </c>
      <c r="B1215" s="1" t="str">
        <f t="shared" si="242"/>
        <v>https://m566.info/uwqfjuy</v>
      </c>
      <c r="C1215" s="1" t="str">
        <f>HYPERLINK("https://m566.info/uwqfjuy","Border Clollie")</f>
        <v>Border Clollie</v>
      </c>
    </row>
    <row r="1216">
      <c r="A1216" s="1" t="str">
        <f t="shared" si="244"/>
        <v>Dog House Training</v>
      </c>
      <c r="B1216" s="1" t="str">
        <f t="shared" si="242"/>
        <v>https://m566.info/uwqfjuy</v>
      </c>
      <c r="C1216" s="1" t="str">
        <f>HYPERLINK("https://m566.info/uwqfjuy","Rotwieller")</f>
        <v>Rotwieller</v>
      </c>
    </row>
    <row r="1217">
      <c r="A1217" s="1" t="str">
        <f t="shared" si="244"/>
        <v>Dog House Training</v>
      </c>
      <c r="B1217" s="1" t="str">
        <f t="shared" si="242"/>
        <v>https://m566.info/uwqfjuy</v>
      </c>
      <c r="C1217" s="1" t="str">
        <f>HYPERLINK("https://m566.info/uwqfjuy","Cross Bred")</f>
        <v>Cross Bred</v>
      </c>
    </row>
    <row r="1218">
      <c r="A1218" s="1" t="str">
        <f t="shared" si="244"/>
        <v>Dog House Training</v>
      </c>
      <c r="B1218" s="1" t="str">
        <f t="shared" si="242"/>
        <v>https://m566.info/uwqfjuy</v>
      </c>
      <c r="C1218" s="1" t="str">
        <f>HYPERLINK("https://m566.info/uwqfjuy","Rotweiller")</f>
        <v>Rotweiller</v>
      </c>
    </row>
    <row r="1219">
      <c r="A1219" s="1" t="str">
        <f t="shared" ref="A1219:A1224" si="245">HYPERLINK("https://m566.info/uwqfjuy","Dog Behaviour Training")</f>
        <v>Dog Behaviour Training</v>
      </c>
      <c r="B1219" s="1" t="str">
        <f t="shared" si="242"/>
        <v>https://m566.info/uwqfjuy</v>
      </c>
      <c r="C1219" s="1" t="str">
        <f>HYPERLINK("https://m566.info/uwqfjuy","Doberman")</f>
        <v>Doberman</v>
      </c>
    </row>
    <row r="1220">
      <c r="A1220" s="1" t="str">
        <f t="shared" si="245"/>
        <v>Dog Behaviour Training</v>
      </c>
      <c r="B1220" s="1" t="str">
        <f t="shared" si="242"/>
        <v>https://m566.info/uwqfjuy</v>
      </c>
      <c r="C1220" s="1" t="str">
        <f>HYPERLINK("https://m566.info/uwqfjuy","German Shepherd")</f>
        <v>German Shepherd</v>
      </c>
    </row>
    <row r="1221">
      <c r="A1221" s="1" t="str">
        <f t="shared" si="245"/>
        <v>Dog Behaviour Training</v>
      </c>
      <c r="B1221" s="1" t="str">
        <f t="shared" si="242"/>
        <v>https://m566.info/uwqfjuy</v>
      </c>
      <c r="C1221" s="1" t="str">
        <f>HYPERLINK("https://m566.info/uwqfjuy","Border Clollie")</f>
        <v>Border Clollie</v>
      </c>
    </row>
    <row r="1222">
      <c r="A1222" s="1" t="str">
        <f t="shared" si="245"/>
        <v>Dog Behaviour Training</v>
      </c>
      <c r="B1222" s="1" t="str">
        <f t="shared" si="242"/>
        <v>https://m566.info/uwqfjuy</v>
      </c>
      <c r="C1222" s="1" t="str">
        <f>HYPERLINK("https://m566.info/uwqfjuy","Rotwieller")</f>
        <v>Rotwieller</v>
      </c>
    </row>
    <row r="1223">
      <c r="A1223" s="1" t="str">
        <f t="shared" si="245"/>
        <v>Dog Behaviour Training</v>
      </c>
      <c r="B1223" s="1" t="str">
        <f t="shared" si="242"/>
        <v>https://m566.info/uwqfjuy</v>
      </c>
      <c r="C1223" s="1" t="str">
        <f>HYPERLINK("https://m566.info/uwqfjuy","Cross Bred")</f>
        <v>Cross Bred</v>
      </c>
    </row>
    <row r="1224">
      <c r="A1224" s="1" t="str">
        <f t="shared" si="245"/>
        <v>Dog Behaviour Training</v>
      </c>
      <c r="B1224" s="1" t="str">
        <f t="shared" si="242"/>
        <v>https://m566.info/uwqfjuy</v>
      </c>
      <c r="C1224" s="1" t="str">
        <f>HYPERLINK("https://m566.info/uwqfjuy","Rotweiller")</f>
        <v>Rotweiller</v>
      </c>
    </row>
    <row r="1225">
      <c r="A1225" s="1" t="str">
        <f t="shared" ref="A1225:A1230" si="246">HYPERLINK("https://m566.info/uwqfjuy","Dog : Elite Training")</f>
        <v>Dog : Elite Training</v>
      </c>
      <c r="B1225" s="1" t="str">
        <f t="shared" si="242"/>
        <v>https://m566.info/uwqfjuy</v>
      </c>
      <c r="C1225" s="1" t="str">
        <f>HYPERLINK("https://m566.info/uwqfjuy","Doberman")</f>
        <v>Doberman</v>
      </c>
    </row>
    <row r="1226">
      <c r="A1226" s="1" t="str">
        <f t="shared" si="246"/>
        <v>Dog : Elite Training</v>
      </c>
      <c r="B1226" s="1" t="str">
        <f t="shared" si="242"/>
        <v>https://m566.info/uwqfjuy</v>
      </c>
      <c r="C1226" s="1" t="str">
        <f>HYPERLINK("https://m566.info/uwqfjuy","German Shepherd")</f>
        <v>German Shepherd</v>
      </c>
    </row>
    <row r="1227">
      <c r="A1227" s="1" t="str">
        <f t="shared" si="246"/>
        <v>Dog : Elite Training</v>
      </c>
      <c r="B1227" s="1" t="str">
        <f t="shared" si="242"/>
        <v>https://m566.info/uwqfjuy</v>
      </c>
      <c r="C1227" s="1" t="str">
        <f>HYPERLINK("https://m566.info/uwqfjuy","Border Clollie")</f>
        <v>Border Clollie</v>
      </c>
    </row>
    <row r="1228">
      <c r="A1228" s="1" t="str">
        <f t="shared" si="246"/>
        <v>Dog : Elite Training</v>
      </c>
      <c r="B1228" s="1" t="str">
        <f t="shared" si="242"/>
        <v>https://m566.info/uwqfjuy</v>
      </c>
      <c r="C1228" s="1" t="str">
        <f>HYPERLINK("https://m566.info/uwqfjuy","Rotwieller")</f>
        <v>Rotwieller</v>
      </c>
    </row>
    <row r="1229">
      <c r="A1229" s="1" t="str">
        <f t="shared" si="246"/>
        <v>Dog : Elite Training</v>
      </c>
      <c r="B1229" s="1" t="str">
        <f t="shared" si="242"/>
        <v>https://m566.info/uwqfjuy</v>
      </c>
      <c r="C1229" s="1" t="str">
        <f>HYPERLINK("https://m566.info/uwqfjuy","Cross Bred")</f>
        <v>Cross Bred</v>
      </c>
    </row>
    <row r="1230">
      <c r="A1230" s="1" t="str">
        <f t="shared" si="246"/>
        <v>Dog : Elite Training</v>
      </c>
      <c r="B1230" s="1" t="str">
        <f t="shared" si="242"/>
        <v>https://m566.info/uwqfjuy</v>
      </c>
      <c r="C1230" s="1" t="str">
        <f>HYPERLINK("https://m566.info/uwqfjuy","Rotweiller")</f>
        <v>Rotweiller</v>
      </c>
    </row>
    <row r="1231">
      <c r="A1231" s="1" t="str">
        <f t="shared" ref="A1231:A1236" si="247">HYPERLINK("https://m566.info/usoqbxc","Dog Aggression Training")</f>
        <v>Dog Aggression Training</v>
      </c>
      <c r="B1231" s="1" t="str">
        <f t="shared" ref="B1231:B1260" si="248">HYPERLINK("https://m566.info/usoqbxc","https://m566.info/usoqbxc")</f>
        <v>https://m566.info/usoqbxc</v>
      </c>
      <c r="C1231" s="1" t="str">
        <f>HYPERLINK("https://m566.info/usoqbxc","Doberman")</f>
        <v>Doberman</v>
      </c>
    </row>
    <row r="1232">
      <c r="A1232" s="1" t="str">
        <f t="shared" si="247"/>
        <v>Dog Aggression Training</v>
      </c>
      <c r="B1232" s="1" t="str">
        <f t="shared" si="248"/>
        <v>https://m566.info/usoqbxc</v>
      </c>
      <c r="C1232" s="1" t="str">
        <f>HYPERLINK("https://m566.info/usoqbxc","German Shepherd")</f>
        <v>German Shepherd</v>
      </c>
    </row>
    <row r="1233">
      <c r="A1233" s="1" t="str">
        <f t="shared" si="247"/>
        <v>Dog Aggression Training</v>
      </c>
      <c r="B1233" s="1" t="str">
        <f t="shared" si="248"/>
        <v>https://m566.info/usoqbxc</v>
      </c>
      <c r="C1233" s="1" t="str">
        <f>HYPERLINK("https://m566.info/usoqbxc","Border Clollie")</f>
        <v>Border Clollie</v>
      </c>
    </row>
    <row r="1234">
      <c r="A1234" s="1" t="str">
        <f t="shared" si="247"/>
        <v>Dog Aggression Training</v>
      </c>
      <c r="B1234" s="1" t="str">
        <f t="shared" si="248"/>
        <v>https://m566.info/usoqbxc</v>
      </c>
      <c r="C1234" s="1" t="str">
        <f>HYPERLINK("https://m566.info/usoqbxc","Rotwieller")</f>
        <v>Rotwieller</v>
      </c>
    </row>
    <row r="1235">
      <c r="A1235" s="1" t="str">
        <f t="shared" si="247"/>
        <v>Dog Aggression Training</v>
      </c>
      <c r="B1235" s="1" t="str">
        <f t="shared" si="248"/>
        <v>https://m566.info/usoqbxc</v>
      </c>
      <c r="C1235" s="1" t="str">
        <f>HYPERLINK("https://m566.info/usoqbxc","Cross Bred")</f>
        <v>Cross Bred</v>
      </c>
    </row>
    <row r="1236">
      <c r="A1236" s="1" t="str">
        <f t="shared" si="247"/>
        <v>Dog Aggression Training</v>
      </c>
      <c r="B1236" s="1" t="str">
        <f t="shared" si="248"/>
        <v>https://m566.info/usoqbxc</v>
      </c>
      <c r="C1236" s="1" t="str">
        <f>HYPERLINK("https://m566.info/usoqbxc","Rotweiller")</f>
        <v>Rotweiller</v>
      </c>
    </row>
    <row r="1237">
      <c r="A1237" s="1" t="str">
        <f t="shared" ref="A1237:A1242" si="249">HYPERLINK("https://m566.info/usoqbxc","Dog Obedience Training")</f>
        <v>Dog Obedience Training</v>
      </c>
      <c r="B1237" s="1" t="str">
        <f t="shared" si="248"/>
        <v>https://m566.info/usoqbxc</v>
      </c>
      <c r="C1237" s="1" t="str">
        <f>HYPERLINK("https://m566.info/usoqbxc","Doberman")</f>
        <v>Doberman</v>
      </c>
    </row>
    <row r="1238">
      <c r="A1238" s="1" t="str">
        <f t="shared" si="249"/>
        <v>Dog Obedience Training</v>
      </c>
      <c r="B1238" s="1" t="str">
        <f t="shared" si="248"/>
        <v>https://m566.info/usoqbxc</v>
      </c>
      <c r="C1238" s="1" t="str">
        <f>HYPERLINK("https://m566.info/usoqbxc","German Shepherd")</f>
        <v>German Shepherd</v>
      </c>
    </row>
    <row r="1239">
      <c r="A1239" s="1" t="str">
        <f t="shared" si="249"/>
        <v>Dog Obedience Training</v>
      </c>
      <c r="B1239" s="1" t="str">
        <f t="shared" si="248"/>
        <v>https://m566.info/usoqbxc</v>
      </c>
      <c r="C1239" s="1" t="str">
        <f>HYPERLINK("https://m566.info/usoqbxc","Border Clollie")</f>
        <v>Border Clollie</v>
      </c>
    </row>
    <row r="1240">
      <c r="A1240" s="1" t="str">
        <f t="shared" si="249"/>
        <v>Dog Obedience Training</v>
      </c>
      <c r="B1240" s="1" t="str">
        <f t="shared" si="248"/>
        <v>https://m566.info/usoqbxc</v>
      </c>
      <c r="C1240" s="1" t="str">
        <f>HYPERLINK("https://m566.info/usoqbxc","Rotwieller")</f>
        <v>Rotwieller</v>
      </c>
    </row>
    <row r="1241">
      <c r="A1241" s="1" t="str">
        <f t="shared" si="249"/>
        <v>Dog Obedience Training</v>
      </c>
      <c r="B1241" s="1" t="str">
        <f t="shared" si="248"/>
        <v>https://m566.info/usoqbxc</v>
      </c>
      <c r="C1241" s="1" t="str">
        <f>HYPERLINK("https://m566.info/usoqbxc","Cross Bred")</f>
        <v>Cross Bred</v>
      </c>
    </row>
    <row r="1242">
      <c r="A1242" s="1" t="str">
        <f t="shared" si="249"/>
        <v>Dog Obedience Training</v>
      </c>
      <c r="B1242" s="1" t="str">
        <f t="shared" si="248"/>
        <v>https://m566.info/usoqbxc</v>
      </c>
      <c r="C1242" s="1" t="str">
        <f>HYPERLINK("https://m566.info/usoqbxc","Rotweiller")</f>
        <v>Rotweiller</v>
      </c>
    </row>
    <row r="1243">
      <c r="A1243" s="1" t="str">
        <f t="shared" ref="A1243:A1248" si="250">HYPERLINK("https://m566.info/usoqbxc","Dog House Training")</f>
        <v>Dog House Training</v>
      </c>
      <c r="B1243" s="1" t="str">
        <f t="shared" si="248"/>
        <v>https://m566.info/usoqbxc</v>
      </c>
      <c r="C1243" s="1" t="str">
        <f>HYPERLINK("https://m566.info/usoqbxc","Doberman")</f>
        <v>Doberman</v>
      </c>
    </row>
    <row r="1244">
      <c r="A1244" s="1" t="str">
        <f t="shared" si="250"/>
        <v>Dog House Training</v>
      </c>
      <c r="B1244" s="1" t="str">
        <f t="shared" si="248"/>
        <v>https://m566.info/usoqbxc</v>
      </c>
      <c r="C1244" s="1" t="str">
        <f>HYPERLINK("https://m566.info/usoqbxc","German Shepherd")</f>
        <v>German Shepherd</v>
      </c>
    </row>
    <row r="1245">
      <c r="A1245" s="1" t="str">
        <f t="shared" si="250"/>
        <v>Dog House Training</v>
      </c>
      <c r="B1245" s="1" t="str">
        <f t="shared" si="248"/>
        <v>https://m566.info/usoqbxc</v>
      </c>
      <c r="C1245" s="1" t="str">
        <f>HYPERLINK("https://m566.info/usoqbxc","Border Clollie")</f>
        <v>Border Clollie</v>
      </c>
    </row>
    <row r="1246">
      <c r="A1246" s="1" t="str">
        <f t="shared" si="250"/>
        <v>Dog House Training</v>
      </c>
      <c r="B1246" s="1" t="str">
        <f t="shared" si="248"/>
        <v>https://m566.info/usoqbxc</v>
      </c>
      <c r="C1246" s="1" t="str">
        <f>HYPERLINK("https://m566.info/usoqbxc","Rotwieller")</f>
        <v>Rotwieller</v>
      </c>
    </row>
    <row r="1247">
      <c r="A1247" s="1" t="str">
        <f t="shared" si="250"/>
        <v>Dog House Training</v>
      </c>
      <c r="B1247" s="1" t="str">
        <f t="shared" si="248"/>
        <v>https://m566.info/usoqbxc</v>
      </c>
      <c r="C1247" s="1" t="str">
        <f>HYPERLINK("https://m566.info/usoqbxc","Cross Bred")</f>
        <v>Cross Bred</v>
      </c>
    </row>
    <row r="1248">
      <c r="A1248" s="1" t="str">
        <f t="shared" si="250"/>
        <v>Dog House Training</v>
      </c>
      <c r="B1248" s="1" t="str">
        <f t="shared" si="248"/>
        <v>https://m566.info/usoqbxc</v>
      </c>
      <c r="C1248" s="1" t="str">
        <f>HYPERLINK("https://m566.info/usoqbxc","Rotweiller")</f>
        <v>Rotweiller</v>
      </c>
    </row>
    <row r="1249">
      <c r="A1249" s="1" t="str">
        <f t="shared" ref="A1249:A1254" si="251">HYPERLINK("https://m566.info/usoqbxc","Dog Behaviour Training")</f>
        <v>Dog Behaviour Training</v>
      </c>
      <c r="B1249" s="1" t="str">
        <f t="shared" si="248"/>
        <v>https://m566.info/usoqbxc</v>
      </c>
      <c r="C1249" s="1" t="str">
        <f>HYPERLINK("https://m566.info/usoqbxc","Doberman")</f>
        <v>Doberman</v>
      </c>
    </row>
    <row r="1250">
      <c r="A1250" s="1" t="str">
        <f t="shared" si="251"/>
        <v>Dog Behaviour Training</v>
      </c>
      <c r="B1250" s="1" t="str">
        <f t="shared" si="248"/>
        <v>https://m566.info/usoqbxc</v>
      </c>
      <c r="C1250" s="1" t="str">
        <f>HYPERLINK("https://m566.info/usoqbxc","German Shepherd")</f>
        <v>German Shepherd</v>
      </c>
    </row>
    <row r="1251">
      <c r="A1251" s="1" t="str">
        <f t="shared" si="251"/>
        <v>Dog Behaviour Training</v>
      </c>
      <c r="B1251" s="1" t="str">
        <f t="shared" si="248"/>
        <v>https://m566.info/usoqbxc</v>
      </c>
      <c r="C1251" s="1" t="str">
        <f>HYPERLINK("https://m566.info/usoqbxc","Border Clollie")</f>
        <v>Border Clollie</v>
      </c>
    </row>
    <row r="1252">
      <c r="A1252" s="1" t="str">
        <f t="shared" si="251"/>
        <v>Dog Behaviour Training</v>
      </c>
      <c r="B1252" s="1" t="str">
        <f t="shared" si="248"/>
        <v>https://m566.info/usoqbxc</v>
      </c>
      <c r="C1252" s="1" t="str">
        <f>HYPERLINK("https://m566.info/usoqbxc","Rotwieller")</f>
        <v>Rotwieller</v>
      </c>
    </row>
    <row r="1253">
      <c r="A1253" s="1" t="str">
        <f t="shared" si="251"/>
        <v>Dog Behaviour Training</v>
      </c>
      <c r="B1253" s="1" t="str">
        <f t="shared" si="248"/>
        <v>https://m566.info/usoqbxc</v>
      </c>
      <c r="C1253" s="1" t="str">
        <f>HYPERLINK("https://m566.info/usoqbxc","Cross Bred")</f>
        <v>Cross Bred</v>
      </c>
    </row>
    <row r="1254">
      <c r="A1254" s="1" t="str">
        <f t="shared" si="251"/>
        <v>Dog Behaviour Training</v>
      </c>
      <c r="B1254" s="1" t="str">
        <f t="shared" si="248"/>
        <v>https://m566.info/usoqbxc</v>
      </c>
      <c r="C1254" s="1" t="str">
        <f>HYPERLINK("https://m566.info/usoqbxc","Rotweiller")</f>
        <v>Rotweiller</v>
      </c>
    </row>
    <row r="1255">
      <c r="A1255" s="1" t="str">
        <f t="shared" ref="A1255:A1260" si="252">HYPERLINK("https://m566.info/usoqbxc","Dog : Elite Training")</f>
        <v>Dog : Elite Training</v>
      </c>
      <c r="B1255" s="1" t="str">
        <f t="shared" si="248"/>
        <v>https://m566.info/usoqbxc</v>
      </c>
      <c r="C1255" s="1" t="str">
        <f>HYPERLINK("https://m566.info/usoqbxc","Doberman")</f>
        <v>Doberman</v>
      </c>
    </row>
    <row r="1256">
      <c r="A1256" s="1" t="str">
        <f t="shared" si="252"/>
        <v>Dog : Elite Training</v>
      </c>
      <c r="B1256" s="1" t="str">
        <f t="shared" si="248"/>
        <v>https://m566.info/usoqbxc</v>
      </c>
      <c r="C1256" s="1" t="str">
        <f>HYPERLINK("https://m566.info/usoqbxc","German Shepherd")</f>
        <v>German Shepherd</v>
      </c>
    </row>
    <row r="1257">
      <c r="A1257" s="1" t="str">
        <f t="shared" si="252"/>
        <v>Dog : Elite Training</v>
      </c>
      <c r="B1257" s="1" t="str">
        <f t="shared" si="248"/>
        <v>https://m566.info/usoqbxc</v>
      </c>
      <c r="C1257" s="1" t="str">
        <f>HYPERLINK("https://m566.info/usoqbxc","Border Clollie")</f>
        <v>Border Clollie</v>
      </c>
    </row>
    <row r="1258">
      <c r="A1258" s="1" t="str">
        <f t="shared" si="252"/>
        <v>Dog : Elite Training</v>
      </c>
      <c r="B1258" s="1" t="str">
        <f t="shared" si="248"/>
        <v>https://m566.info/usoqbxc</v>
      </c>
      <c r="C1258" s="1" t="str">
        <f>HYPERLINK("https://m566.info/usoqbxc","Rotwieller")</f>
        <v>Rotwieller</v>
      </c>
    </row>
    <row r="1259">
      <c r="A1259" s="1" t="str">
        <f t="shared" si="252"/>
        <v>Dog : Elite Training</v>
      </c>
      <c r="B1259" s="1" t="str">
        <f t="shared" si="248"/>
        <v>https://m566.info/usoqbxc</v>
      </c>
      <c r="C1259" s="1" t="str">
        <f>HYPERLINK("https://m566.info/usoqbxc","Cross Bred")</f>
        <v>Cross Bred</v>
      </c>
    </row>
    <row r="1260">
      <c r="A1260" s="1" t="str">
        <f t="shared" si="252"/>
        <v>Dog : Elite Training</v>
      </c>
      <c r="B1260" s="1" t="str">
        <f t="shared" si="248"/>
        <v>https://m566.info/usoqbxc</v>
      </c>
      <c r="C1260" s="1" t="str">
        <f>HYPERLINK("https://m566.info/usoqbxc","Rotweiller")</f>
        <v>Rotweiller</v>
      </c>
    </row>
    <row r="1261">
      <c r="A1261" s="1" t="str">
        <f t="shared" ref="A1261:A1266" si="253">HYPERLINK("https://m566.info/bz20yce","Dog Aggression Training")</f>
        <v>Dog Aggression Training</v>
      </c>
      <c r="B1261" s="1" t="str">
        <f t="shared" ref="B1261:B1290" si="254">HYPERLINK("https://m566.info/bz20yce","https://m566.info/bz20yce")</f>
        <v>https://m566.info/bz20yce</v>
      </c>
      <c r="C1261" s="1" t="str">
        <f>HYPERLINK("https://m566.info/bz20yce","Doberman")</f>
        <v>Doberman</v>
      </c>
    </row>
    <row r="1262">
      <c r="A1262" s="1" t="str">
        <f t="shared" si="253"/>
        <v>Dog Aggression Training</v>
      </c>
      <c r="B1262" s="1" t="str">
        <f t="shared" si="254"/>
        <v>https://m566.info/bz20yce</v>
      </c>
      <c r="C1262" s="1" t="str">
        <f>HYPERLINK("https://m566.info/bz20yce","German Shepherd")</f>
        <v>German Shepherd</v>
      </c>
    </row>
    <row r="1263">
      <c r="A1263" s="1" t="str">
        <f t="shared" si="253"/>
        <v>Dog Aggression Training</v>
      </c>
      <c r="B1263" s="1" t="str">
        <f t="shared" si="254"/>
        <v>https://m566.info/bz20yce</v>
      </c>
      <c r="C1263" s="1" t="str">
        <f>HYPERLINK("https://m566.info/bz20yce","Border Clollie")</f>
        <v>Border Clollie</v>
      </c>
    </row>
    <row r="1264">
      <c r="A1264" s="1" t="str">
        <f t="shared" si="253"/>
        <v>Dog Aggression Training</v>
      </c>
      <c r="B1264" s="1" t="str">
        <f t="shared" si="254"/>
        <v>https://m566.info/bz20yce</v>
      </c>
      <c r="C1264" s="1" t="str">
        <f>HYPERLINK("https://m566.info/bz20yce","Rotwieller")</f>
        <v>Rotwieller</v>
      </c>
    </row>
    <row r="1265">
      <c r="A1265" s="1" t="str">
        <f t="shared" si="253"/>
        <v>Dog Aggression Training</v>
      </c>
      <c r="B1265" s="1" t="str">
        <f t="shared" si="254"/>
        <v>https://m566.info/bz20yce</v>
      </c>
      <c r="C1265" s="1" t="str">
        <f>HYPERLINK("https://m566.info/bz20yce","Cross Bred")</f>
        <v>Cross Bred</v>
      </c>
    </row>
    <row r="1266">
      <c r="A1266" s="1" t="str">
        <f t="shared" si="253"/>
        <v>Dog Aggression Training</v>
      </c>
      <c r="B1266" s="1" t="str">
        <f t="shared" si="254"/>
        <v>https://m566.info/bz20yce</v>
      </c>
      <c r="C1266" s="1" t="str">
        <f>HYPERLINK("https://m566.info/bz20yce","Rotweiller")</f>
        <v>Rotweiller</v>
      </c>
    </row>
    <row r="1267">
      <c r="A1267" s="1" t="str">
        <f t="shared" ref="A1267:A1272" si="255">HYPERLINK("https://m566.info/bz20yce","Dog Obedience Training")</f>
        <v>Dog Obedience Training</v>
      </c>
      <c r="B1267" s="1" t="str">
        <f t="shared" si="254"/>
        <v>https://m566.info/bz20yce</v>
      </c>
      <c r="C1267" s="1" t="str">
        <f>HYPERLINK("https://m566.info/bz20yce","Doberman")</f>
        <v>Doberman</v>
      </c>
    </row>
    <row r="1268">
      <c r="A1268" s="1" t="str">
        <f t="shared" si="255"/>
        <v>Dog Obedience Training</v>
      </c>
      <c r="B1268" s="1" t="str">
        <f t="shared" si="254"/>
        <v>https://m566.info/bz20yce</v>
      </c>
      <c r="C1268" s="1" t="str">
        <f>HYPERLINK("https://m566.info/bz20yce","German Shepherd")</f>
        <v>German Shepherd</v>
      </c>
    </row>
    <row r="1269">
      <c r="A1269" s="1" t="str">
        <f t="shared" si="255"/>
        <v>Dog Obedience Training</v>
      </c>
      <c r="B1269" s="1" t="str">
        <f t="shared" si="254"/>
        <v>https://m566.info/bz20yce</v>
      </c>
      <c r="C1269" s="1" t="str">
        <f>HYPERLINK("https://m566.info/bz20yce","Border Clollie")</f>
        <v>Border Clollie</v>
      </c>
    </row>
    <row r="1270">
      <c r="A1270" s="1" t="str">
        <f t="shared" si="255"/>
        <v>Dog Obedience Training</v>
      </c>
      <c r="B1270" s="1" t="str">
        <f t="shared" si="254"/>
        <v>https://m566.info/bz20yce</v>
      </c>
      <c r="C1270" s="1" t="str">
        <f>HYPERLINK("https://m566.info/bz20yce","Rotwieller")</f>
        <v>Rotwieller</v>
      </c>
    </row>
    <row r="1271">
      <c r="A1271" s="1" t="str">
        <f t="shared" si="255"/>
        <v>Dog Obedience Training</v>
      </c>
      <c r="B1271" s="1" t="str">
        <f t="shared" si="254"/>
        <v>https://m566.info/bz20yce</v>
      </c>
      <c r="C1271" s="1" t="str">
        <f>HYPERLINK("https://m566.info/bz20yce","Cross Bred")</f>
        <v>Cross Bred</v>
      </c>
    </row>
    <row r="1272">
      <c r="A1272" s="1" t="str">
        <f t="shared" si="255"/>
        <v>Dog Obedience Training</v>
      </c>
      <c r="B1272" s="1" t="str">
        <f t="shared" si="254"/>
        <v>https://m566.info/bz20yce</v>
      </c>
      <c r="C1272" s="1" t="str">
        <f>HYPERLINK("https://m566.info/bz20yce","Rotweiller")</f>
        <v>Rotweiller</v>
      </c>
    </row>
    <row r="1273">
      <c r="A1273" s="1" t="str">
        <f t="shared" ref="A1273:A1278" si="256">HYPERLINK("https://m566.info/bz20yce","Dog House Training")</f>
        <v>Dog House Training</v>
      </c>
      <c r="B1273" s="1" t="str">
        <f t="shared" si="254"/>
        <v>https://m566.info/bz20yce</v>
      </c>
      <c r="C1273" s="1" t="str">
        <f>HYPERLINK("https://m566.info/bz20yce","Doberman")</f>
        <v>Doberman</v>
      </c>
    </row>
    <row r="1274">
      <c r="A1274" s="1" t="str">
        <f t="shared" si="256"/>
        <v>Dog House Training</v>
      </c>
      <c r="B1274" s="1" t="str">
        <f t="shared" si="254"/>
        <v>https://m566.info/bz20yce</v>
      </c>
      <c r="C1274" s="1" t="str">
        <f>HYPERLINK("https://m566.info/bz20yce","German Shepherd")</f>
        <v>German Shepherd</v>
      </c>
    </row>
    <row r="1275">
      <c r="A1275" s="1" t="str">
        <f t="shared" si="256"/>
        <v>Dog House Training</v>
      </c>
      <c r="B1275" s="1" t="str">
        <f t="shared" si="254"/>
        <v>https://m566.info/bz20yce</v>
      </c>
      <c r="C1275" s="1" t="str">
        <f>HYPERLINK("https://m566.info/bz20yce","Border Clollie")</f>
        <v>Border Clollie</v>
      </c>
    </row>
    <row r="1276">
      <c r="A1276" s="1" t="str">
        <f t="shared" si="256"/>
        <v>Dog House Training</v>
      </c>
      <c r="B1276" s="1" t="str">
        <f t="shared" si="254"/>
        <v>https://m566.info/bz20yce</v>
      </c>
      <c r="C1276" s="1" t="str">
        <f>HYPERLINK("https://m566.info/bz20yce","Rotwieller")</f>
        <v>Rotwieller</v>
      </c>
    </row>
    <row r="1277">
      <c r="A1277" s="1" t="str">
        <f t="shared" si="256"/>
        <v>Dog House Training</v>
      </c>
      <c r="B1277" s="1" t="str">
        <f t="shared" si="254"/>
        <v>https://m566.info/bz20yce</v>
      </c>
      <c r="C1277" s="1" t="str">
        <f>HYPERLINK("https://m566.info/bz20yce","Cross Bred")</f>
        <v>Cross Bred</v>
      </c>
    </row>
    <row r="1278">
      <c r="A1278" s="1" t="str">
        <f t="shared" si="256"/>
        <v>Dog House Training</v>
      </c>
      <c r="B1278" s="1" t="str">
        <f t="shared" si="254"/>
        <v>https://m566.info/bz20yce</v>
      </c>
      <c r="C1278" s="1" t="str">
        <f>HYPERLINK("https://m566.info/bz20yce","Rotweiller")</f>
        <v>Rotweiller</v>
      </c>
    </row>
    <row r="1279">
      <c r="A1279" s="1" t="str">
        <f t="shared" ref="A1279:A1284" si="257">HYPERLINK("https://m566.info/bz20yce","Dog Behaviour Training")</f>
        <v>Dog Behaviour Training</v>
      </c>
      <c r="B1279" s="1" t="str">
        <f t="shared" si="254"/>
        <v>https://m566.info/bz20yce</v>
      </c>
      <c r="C1279" s="1" t="str">
        <f>HYPERLINK("https://m566.info/bz20yce","Doberman")</f>
        <v>Doberman</v>
      </c>
    </row>
    <row r="1280">
      <c r="A1280" s="1" t="str">
        <f t="shared" si="257"/>
        <v>Dog Behaviour Training</v>
      </c>
      <c r="B1280" s="1" t="str">
        <f t="shared" si="254"/>
        <v>https://m566.info/bz20yce</v>
      </c>
      <c r="C1280" s="1" t="str">
        <f>HYPERLINK("https://m566.info/bz20yce","German Shepherd")</f>
        <v>German Shepherd</v>
      </c>
    </row>
    <row r="1281">
      <c r="A1281" s="1" t="str">
        <f t="shared" si="257"/>
        <v>Dog Behaviour Training</v>
      </c>
      <c r="B1281" s="1" t="str">
        <f t="shared" si="254"/>
        <v>https://m566.info/bz20yce</v>
      </c>
      <c r="C1281" s="1" t="str">
        <f>HYPERLINK("https://m566.info/bz20yce","Border Clollie")</f>
        <v>Border Clollie</v>
      </c>
    </row>
    <row r="1282">
      <c r="A1282" s="1" t="str">
        <f t="shared" si="257"/>
        <v>Dog Behaviour Training</v>
      </c>
      <c r="B1282" s="1" t="str">
        <f t="shared" si="254"/>
        <v>https://m566.info/bz20yce</v>
      </c>
      <c r="C1282" s="1" t="str">
        <f>HYPERLINK("https://m566.info/bz20yce","Rotwieller")</f>
        <v>Rotwieller</v>
      </c>
    </row>
    <row r="1283">
      <c r="A1283" s="1" t="str">
        <f t="shared" si="257"/>
        <v>Dog Behaviour Training</v>
      </c>
      <c r="B1283" s="1" t="str">
        <f t="shared" si="254"/>
        <v>https://m566.info/bz20yce</v>
      </c>
      <c r="C1283" s="1" t="str">
        <f>HYPERLINK("https://m566.info/bz20yce","Cross Bred")</f>
        <v>Cross Bred</v>
      </c>
    </row>
    <row r="1284">
      <c r="A1284" s="1" t="str">
        <f t="shared" si="257"/>
        <v>Dog Behaviour Training</v>
      </c>
      <c r="B1284" s="1" t="str">
        <f t="shared" si="254"/>
        <v>https://m566.info/bz20yce</v>
      </c>
      <c r="C1284" s="1" t="str">
        <f>HYPERLINK("https://m566.info/bz20yce","Rotweiller")</f>
        <v>Rotweiller</v>
      </c>
    </row>
    <row r="1285">
      <c r="A1285" s="1" t="str">
        <f t="shared" ref="A1285:A1290" si="258">HYPERLINK("https://m566.info/bz20yce","Dog : Elite Training")</f>
        <v>Dog : Elite Training</v>
      </c>
      <c r="B1285" s="1" t="str">
        <f t="shared" si="254"/>
        <v>https://m566.info/bz20yce</v>
      </c>
      <c r="C1285" s="1" t="str">
        <f>HYPERLINK("https://m566.info/bz20yce","Doberman")</f>
        <v>Doberman</v>
      </c>
    </row>
    <row r="1286">
      <c r="A1286" s="1" t="str">
        <f t="shared" si="258"/>
        <v>Dog : Elite Training</v>
      </c>
      <c r="B1286" s="1" t="str">
        <f t="shared" si="254"/>
        <v>https://m566.info/bz20yce</v>
      </c>
      <c r="C1286" s="1" t="str">
        <f>HYPERLINK("https://m566.info/bz20yce","German Shepherd")</f>
        <v>German Shepherd</v>
      </c>
    </row>
    <row r="1287">
      <c r="A1287" s="1" t="str">
        <f t="shared" si="258"/>
        <v>Dog : Elite Training</v>
      </c>
      <c r="B1287" s="1" t="str">
        <f t="shared" si="254"/>
        <v>https://m566.info/bz20yce</v>
      </c>
      <c r="C1287" s="1" t="str">
        <f>HYPERLINK("https://m566.info/bz20yce","Border Clollie")</f>
        <v>Border Clollie</v>
      </c>
    </row>
    <row r="1288">
      <c r="A1288" s="1" t="str">
        <f t="shared" si="258"/>
        <v>Dog : Elite Training</v>
      </c>
      <c r="B1288" s="1" t="str">
        <f t="shared" si="254"/>
        <v>https://m566.info/bz20yce</v>
      </c>
      <c r="C1288" s="1" t="str">
        <f>HYPERLINK("https://m566.info/bz20yce","Rotwieller")</f>
        <v>Rotwieller</v>
      </c>
    </row>
    <row r="1289">
      <c r="A1289" s="1" t="str">
        <f t="shared" si="258"/>
        <v>Dog : Elite Training</v>
      </c>
      <c r="B1289" s="1" t="str">
        <f t="shared" si="254"/>
        <v>https://m566.info/bz20yce</v>
      </c>
      <c r="C1289" s="1" t="str">
        <f>HYPERLINK("https://m566.info/bz20yce","Cross Bred")</f>
        <v>Cross Bred</v>
      </c>
    </row>
    <row r="1290">
      <c r="A1290" s="1" t="str">
        <f t="shared" si="258"/>
        <v>Dog : Elite Training</v>
      </c>
      <c r="B1290" s="1" t="str">
        <f t="shared" si="254"/>
        <v>https://m566.info/bz20yce</v>
      </c>
      <c r="C1290" s="1" t="str">
        <f>HYPERLINK("https://m566.info/bz20yce","Rotweiller")</f>
        <v>Rotweiller</v>
      </c>
    </row>
    <row r="1291">
      <c r="A1291" s="1" t="str">
        <f t="shared" ref="A1291:A1296" si="259">HYPERLINK("https://m566.info/qb6c8mn","Dog Aggression Training")</f>
        <v>Dog Aggression Training</v>
      </c>
      <c r="B1291" s="1" t="str">
        <f t="shared" ref="B1291:B1320" si="260">HYPERLINK("https://m566.info/qb6c8mn","https://m566.info/qb6c8mn")</f>
        <v>https://m566.info/qb6c8mn</v>
      </c>
      <c r="C1291" s="1" t="str">
        <f>HYPERLINK("https://m566.info/qb6c8mn","Doberman")</f>
        <v>Doberman</v>
      </c>
    </row>
    <row r="1292">
      <c r="A1292" s="1" t="str">
        <f t="shared" si="259"/>
        <v>Dog Aggression Training</v>
      </c>
      <c r="B1292" s="1" t="str">
        <f t="shared" si="260"/>
        <v>https://m566.info/qb6c8mn</v>
      </c>
      <c r="C1292" s="1" t="str">
        <f>HYPERLINK("https://m566.info/qb6c8mn","German Shepherd")</f>
        <v>German Shepherd</v>
      </c>
    </row>
    <row r="1293">
      <c r="A1293" s="1" t="str">
        <f t="shared" si="259"/>
        <v>Dog Aggression Training</v>
      </c>
      <c r="B1293" s="1" t="str">
        <f t="shared" si="260"/>
        <v>https://m566.info/qb6c8mn</v>
      </c>
      <c r="C1293" s="1" t="str">
        <f>HYPERLINK("https://m566.info/qb6c8mn","Border Clollie")</f>
        <v>Border Clollie</v>
      </c>
    </row>
    <row r="1294">
      <c r="A1294" s="1" t="str">
        <f t="shared" si="259"/>
        <v>Dog Aggression Training</v>
      </c>
      <c r="B1294" s="1" t="str">
        <f t="shared" si="260"/>
        <v>https://m566.info/qb6c8mn</v>
      </c>
      <c r="C1294" s="1" t="str">
        <f>HYPERLINK("https://m566.info/qb6c8mn","Rotwieller")</f>
        <v>Rotwieller</v>
      </c>
    </row>
    <row r="1295">
      <c r="A1295" s="1" t="str">
        <f t="shared" si="259"/>
        <v>Dog Aggression Training</v>
      </c>
      <c r="B1295" s="1" t="str">
        <f t="shared" si="260"/>
        <v>https://m566.info/qb6c8mn</v>
      </c>
      <c r="C1295" s="1" t="str">
        <f>HYPERLINK("https://m566.info/qb6c8mn","Cross Bred")</f>
        <v>Cross Bred</v>
      </c>
    </row>
    <row r="1296">
      <c r="A1296" s="1" t="str">
        <f t="shared" si="259"/>
        <v>Dog Aggression Training</v>
      </c>
      <c r="B1296" s="1" t="str">
        <f t="shared" si="260"/>
        <v>https://m566.info/qb6c8mn</v>
      </c>
      <c r="C1296" s="1" t="str">
        <f>HYPERLINK("https://m566.info/qb6c8mn","Rotweiller")</f>
        <v>Rotweiller</v>
      </c>
    </row>
    <row r="1297">
      <c r="A1297" s="1" t="str">
        <f t="shared" ref="A1297:A1302" si="261">HYPERLINK("https://m566.info/qb6c8mn","Dog Obedience Training")</f>
        <v>Dog Obedience Training</v>
      </c>
      <c r="B1297" s="1" t="str">
        <f t="shared" si="260"/>
        <v>https://m566.info/qb6c8mn</v>
      </c>
      <c r="C1297" s="1" t="str">
        <f>HYPERLINK("https://m566.info/qb6c8mn","Doberman")</f>
        <v>Doberman</v>
      </c>
    </row>
    <row r="1298">
      <c r="A1298" s="1" t="str">
        <f t="shared" si="261"/>
        <v>Dog Obedience Training</v>
      </c>
      <c r="B1298" s="1" t="str">
        <f t="shared" si="260"/>
        <v>https://m566.info/qb6c8mn</v>
      </c>
      <c r="C1298" s="1" t="str">
        <f>HYPERLINK("https://m566.info/qb6c8mn","German Shepherd")</f>
        <v>German Shepherd</v>
      </c>
    </row>
    <row r="1299">
      <c r="A1299" s="1" t="str">
        <f t="shared" si="261"/>
        <v>Dog Obedience Training</v>
      </c>
      <c r="B1299" s="1" t="str">
        <f t="shared" si="260"/>
        <v>https://m566.info/qb6c8mn</v>
      </c>
      <c r="C1299" s="1" t="str">
        <f>HYPERLINK("https://m566.info/qb6c8mn","Border Clollie")</f>
        <v>Border Clollie</v>
      </c>
    </row>
    <row r="1300">
      <c r="A1300" s="1" t="str">
        <f t="shared" si="261"/>
        <v>Dog Obedience Training</v>
      </c>
      <c r="B1300" s="1" t="str">
        <f t="shared" si="260"/>
        <v>https://m566.info/qb6c8mn</v>
      </c>
      <c r="C1300" s="1" t="str">
        <f>HYPERLINK("https://m566.info/qb6c8mn","Rotwieller")</f>
        <v>Rotwieller</v>
      </c>
    </row>
    <row r="1301">
      <c r="A1301" s="1" t="str">
        <f t="shared" si="261"/>
        <v>Dog Obedience Training</v>
      </c>
      <c r="B1301" s="1" t="str">
        <f t="shared" si="260"/>
        <v>https://m566.info/qb6c8mn</v>
      </c>
      <c r="C1301" s="1" t="str">
        <f>HYPERLINK("https://m566.info/qb6c8mn","Cross Bred")</f>
        <v>Cross Bred</v>
      </c>
    </row>
    <row r="1302">
      <c r="A1302" s="1" t="str">
        <f t="shared" si="261"/>
        <v>Dog Obedience Training</v>
      </c>
      <c r="B1302" s="1" t="str">
        <f t="shared" si="260"/>
        <v>https://m566.info/qb6c8mn</v>
      </c>
      <c r="C1302" s="1" t="str">
        <f>HYPERLINK("https://m566.info/qb6c8mn","Rotweiller")</f>
        <v>Rotweiller</v>
      </c>
    </row>
    <row r="1303">
      <c r="A1303" s="1" t="str">
        <f t="shared" ref="A1303:A1308" si="262">HYPERLINK("https://m566.info/qb6c8mn","Dog House Training")</f>
        <v>Dog House Training</v>
      </c>
      <c r="B1303" s="1" t="str">
        <f t="shared" si="260"/>
        <v>https://m566.info/qb6c8mn</v>
      </c>
      <c r="C1303" s="1" t="str">
        <f>HYPERLINK("https://m566.info/qb6c8mn","Doberman")</f>
        <v>Doberman</v>
      </c>
    </row>
    <row r="1304">
      <c r="A1304" s="1" t="str">
        <f t="shared" si="262"/>
        <v>Dog House Training</v>
      </c>
      <c r="B1304" s="1" t="str">
        <f t="shared" si="260"/>
        <v>https://m566.info/qb6c8mn</v>
      </c>
      <c r="C1304" s="1" t="str">
        <f>HYPERLINK("https://m566.info/qb6c8mn","German Shepherd")</f>
        <v>German Shepherd</v>
      </c>
    </row>
    <row r="1305">
      <c r="A1305" s="1" t="str">
        <f t="shared" si="262"/>
        <v>Dog House Training</v>
      </c>
      <c r="B1305" s="1" t="str">
        <f t="shared" si="260"/>
        <v>https://m566.info/qb6c8mn</v>
      </c>
      <c r="C1305" s="1" t="str">
        <f>HYPERLINK("https://m566.info/qb6c8mn","Border Clollie")</f>
        <v>Border Clollie</v>
      </c>
    </row>
    <row r="1306">
      <c r="A1306" s="1" t="str">
        <f t="shared" si="262"/>
        <v>Dog House Training</v>
      </c>
      <c r="B1306" s="1" t="str">
        <f t="shared" si="260"/>
        <v>https://m566.info/qb6c8mn</v>
      </c>
      <c r="C1306" s="1" t="str">
        <f>HYPERLINK("https://m566.info/qb6c8mn","Rotwieller")</f>
        <v>Rotwieller</v>
      </c>
    </row>
    <row r="1307">
      <c r="A1307" s="1" t="str">
        <f t="shared" si="262"/>
        <v>Dog House Training</v>
      </c>
      <c r="B1307" s="1" t="str">
        <f t="shared" si="260"/>
        <v>https://m566.info/qb6c8mn</v>
      </c>
      <c r="C1307" s="1" t="str">
        <f>HYPERLINK("https://m566.info/qb6c8mn","Cross Bred")</f>
        <v>Cross Bred</v>
      </c>
    </row>
    <row r="1308">
      <c r="A1308" s="1" t="str">
        <f t="shared" si="262"/>
        <v>Dog House Training</v>
      </c>
      <c r="B1308" s="1" t="str">
        <f t="shared" si="260"/>
        <v>https://m566.info/qb6c8mn</v>
      </c>
      <c r="C1308" s="1" t="str">
        <f>HYPERLINK("https://m566.info/qb6c8mn","Rotweiller")</f>
        <v>Rotweiller</v>
      </c>
    </row>
    <row r="1309">
      <c r="A1309" s="1" t="str">
        <f t="shared" ref="A1309:A1314" si="263">HYPERLINK("https://m566.info/qb6c8mn","Dog Behaviour Training")</f>
        <v>Dog Behaviour Training</v>
      </c>
      <c r="B1309" s="1" t="str">
        <f t="shared" si="260"/>
        <v>https://m566.info/qb6c8mn</v>
      </c>
      <c r="C1309" s="1" t="str">
        <f>HYPERLINK("https://m566.info/qb6c8mn","Doberman")</f>
        <v>Doberman</v>
      </c>
    </row>
    <row r="1310">
      <c r="A1310" s="1" t="str">
        <f t="shared" si="263"/>
        <v>Dog Behaviour Training</v>
      </c>
      <c r="B1310" s="1" t="str">
        <f t="shared" si="260"/>
        <v>https://m566.info/qb6c8mn</v>
      </c>
      <c r="C1310" s="1" t="str">
        <f>HYPERLINK("https://m566.info/qb6c8mn","German Shepherd")</f>
        <v>German Shepherd</v>
      </c>
    </row>
    <row r="1311">
      <c r="A1311" s="1" t="str">
        <f t="shared" si="263"/>
        <v>Dog Behaviour Training</v>
      </c>
      <c r="B1311" s="1" t="str">
        <f t="shared" si="260"/>
        <v>https://m566.info/qb6c8mn</v>
      </c>
      <c r="C1311" s="1" t="str">
        <f>HYPERLINK("https://m566.info/qb6c8mn","Border Clollie")</f>
        <v>Border Clollie</v>
      </c>
    </row>
    <row r="1312">
      <c r="A1312" s="1" t="str">
        <f t="shared" si="263"/>
        <v>Dog Behaviour Training</v>
      </c>
      <c r="B1312" s="1" t="str">
        <f t="shared" si="260"/>
        <v>https://m566.info/qb6c8mn</v>
      </c>
      <c r="C1312" s="1" t="str">
        <f>HYPERLINK("https://m566.info/qb6c8mn","Rotwieller")</f>
        <v>Rotwieller</v>
      </c>
    </row>
    <row r="1313">
      <c r="A1313" s="1" t="str">
        <f t="shared" si="263"/>
        <v>Dog Behaviour Training</v>
      </c>
      <c r="B1313" s="1" t="str">
        <f t="shared" si="260"/>
        <v>https://m566.info/qb6c8mn</v>
      </c>
      <c r="C1313" s="1" t="str">
        <f>HYPERLINK("https://m566.info/qb6c8mn","Cross Bred")</f>
        <v>Cross Bred</v>
      </c>
    </row>
    <row r="1314">
      <c r="A1314" s="1" t="str">
        <f t="shared" si="263"/>
        <v>Dog Behaviour Training</v>
      </c>
      <c r="B1314" s="1" t="str">
        <f t="shared" si="260"/>
        <v>https://m566.info/qb6c8mn</v>
      </c>
      <c r="C1314" s="1" t="str">
        <f>HYPERLINK("https://m566.info/qb6c8mn","Rotweiller")</f>
        <v>Rotweiller</v>
      </c>
    </row>
    <row r="1315">
      <c r="A1315" s="1" t="str">
        <f t="shared" ref="A1315:A1320" si="264">HYPERLINK("https://m566.info/qb6c8mn","Dog : Elite Training")</f>
        <v>Dog : Elite Training</v>
      </c>
      <c r="B1315" s="1" t="str">
        <f t="shared" si="260"/>
        <v>https://m566.info/qb6c8mn</v>
      </c>
      <c r="C1315" s="1" t="str">
        <f>HYPERLINK("https://m566.info/qb6c8mn","Doberman")</f>
        <v>Doberman</v>
      </c>
    </row>
    <row r="1316">
      <c r="A1316" s="1" t="str">
        <f t="shared" si="264"/>
        <v>Dog : Elite Training</v>
      </c>
      <c r="B1316" s="1" t="str">
        <f t="shared" si="260"/>
        <v>https://m566.info/qb6c8mn</v>
      </c>
      <c r="C1316" s="1" t="str">
        <f>HYPERLINK("https://m566.info/qb6c8mn","German Shepherd")</f>
        <v>German Shepherd</v>
      </c>
    </row>
    <row r="1317">
      <c r="A1317" s="1" t="str">
        <f t="shared" si="264"/>
        <v>Dog : Elite Training</v>
      </c>
      <c r="B1317" s="1" t="str">
        <f t="shared" si="260"/>
        <v>https://m566.info/qb6c8mn</v>
      </c>
      <c r="C1317" s="1" t="str">
        <f>HYPERLINK("https://m566.info/qb6c8mn","Border Clollie")</f>
        <v>Border Clollie</v>
      </c>
    </row>
    <row r="1318">
      <c r="A1318" s="1" t="str">
        <f t="shared" si="264"/>
        <v>Dog : Elite Training</v>
      </c>
      <c r="B1318" s="1" t="str">
        <f t="shared" si="260"/>
        <v>https://m566.info/qb6c8mn</v>
      </c>
      <c r="C1318" s="1" t="str">
        <f>HYPERLINK("https://m566.info/qb6c8mn","Rotwieller")</f>
        <v>Rotwieller</v>
      </c>
    </row>
    <row r="1319">
      <c r="A1319" s="1" t="str">
        <f t="shared" si="264"/>
        <v>Dog : Elite Training</v>
      </c>
      <c r="B1319" s="1" t="str">
        <f t="shared" si="260"/>
        <v>https://m566.info/qb6c8mn</v>
      </c>
      <c r="C1319" s="1" t="str">
        <f>HYPERLINK("https://m566.info/qb6c8mn","Cross Bred")</f>
        <v>Cross Bred</v>
      </c>
    </row>
    <row r="1320">
      <c r="A1320" s="1" t="str">
        <f t="shared" si="264"/>
        <v>Dog : Elite Training</v>
      </c>
      <c r="B1320" s="1" t="str">
        <f t="shared" si="260"/>
        <v>https://m566.info/qb6c8mn</v>
      </c>
      <c r="C1320" s="1" t="str">
        <f>HYPERLINK("https://m566.info/qb6c8mn","Rotweiller")</f>
        <v>Rotweiller</v>
      </c>
    </row>
    <row r="1321">
      <c r="A1321" s="1" t="str">
        <f t="shared" ref="A1321:A1326" si="265">HYPERLINK("https://m566.info/sde6d09","Dog Aggression Training")</f>
        <v>Dog Aggression Training</v>
      </c>
      <c r="B1321" s="1" t="str">
        <f t="shared" ref="B1321:B1350" si="266">HYPERLINK("https://m566.info/sde6d09","https://m566.info/sde6d09")</f>
        <v>https://m566.info/sde6d09</v>
      </c>
      <c r="C1321" s="1" t="str">
        <f>HYPERLINK("https://m566.info/sde6d09","Doberman")</f>
        <v>Doberman</v>
      </c>
    </row>
    <row r="1322">
      <c r="A1322" s="1" t="str">
        <f t="shared" si="265"/>
        <v>Dog Aggression Training</v>
      </c>
      <c r="B1322" s="1" t="str">
        <f t="shared" si="266"/>
        <v>https://m566.info/sde6d09</v>
      </c>
      <c r="C1322" s="1" t="str">
        <f>HYPERLINK("https://m566.info/sde6d09","German Shepherd")</f>
        <v>German Shepherd</v>
      </c>
    </row>
    <row r="1323">
      <c r="A1323" s="1" t="str">
        <f t="shared" si="265"/>
        <v>Dog Aggression Training</v>
      </c>
      <c r="B1323" s="1" t="str">
        <f t="shared" si="266"/>
        <v>https://m566.info/sde6d09</v>
      </c>
      <c r="C1323" s="1" t="str">
        <f>HYPERLINK("https://m566.info/sde6d09","Border Clollie")</f>
        <v>Border Clollie</v>
      </c>
    </row>
    <row r="1324">
      <c r="A1324" s="1" t="str">
        <f t="shared" si="265"/>
        <v>Dog Aggression Training</v>
      </c>
      <c r="B1324" s="1" t="str">
        <f t="shared" si="266"/>
        <v>https://m566.info/sde6d09</v>
      </c>
      <c r="C1324" s="1" t="str">
        <f>HYPERLINK("https://m566.info/sde6d09","Rotwieller")</f>
        <v>Rotwieller</v>
      </c>
    </row>
    <row r="1325">
      <c r="A1325" s="1" t="str">
        <f t="shared" si="265"/>
        <v>Dog Aggression Training</v>
      </c>
      <c r="B1325" s="1" t="str">
        <f t="shared" si="266"/>
        <v>https://m566.info/sde6d09</v>
      </c>
      <c r="C1325" s="1" t="str">
        <f>HYPERLINK("https://m566.info/sde6d09","Cross Bred")</f>
        <v>Cross Bred</v>
      </c>
    </row>
    <row r="1326">
      <c r="A1326" s="1" t="str">
        <f t="shared" si="265"/>
        <v>Dog Aggression Training</v>
      </c>
      <c r="B1326" s="1" t="str">
        <f t="shared" si="266"/>
        <v>https://m566.info/sde6d09</v>
      </c>
      <c r="C1326" s="1" t="str">
        <f>HYPERLINK("https://m566.info/sde6d09","Rotweiller")</f>
        <v>Rotweiller</v>
      </c>
    </row>
    <row r="1327">
      <c r="A1327" s="1" t="str">
        <f t="shared" ref="A1327:A1332" si="267">HYPERLINK("https://m566.info/sde6d09","Dog Obedience Training")</f>
        <v>Dog Obedience Training</v>
      </c>
      <c r="B1327" s="1" t="str">
        <f t="shared" si="266"/>
        <v>https://m566.info/sde6d09</v>
      </c>
      <c r="C1327" s="1" t="str">
        <f>HYPERLINK("https://m566.info/sde6d09","Doberman")</f>
        <v>Doberman</v>
      </c>
    </row>
    <row r="1328">
      <c r="A1328" s="1" t="str">
        <f t="shared" si="267"/>
        <v>Dog Obedience Training</v>
      </c>
      <c r="B1328" s="1" t="str">
        <f t="shared" si="266"/>
        <v>https://m566.info/sde6d09</v>
      </c>
      <c r="C1328" s="1" t="str">
        <f>HYPERLINK("https://m566.info/sde6d09","German Shepherd")</f>
        <v>German Shepherd</v>
      </c>
    </row>
    <row r="1329">
      <c r="A1329" s="1" t="str">
        <f t="shared" si="267"/>
        <v>Dog Obedience Training</v>
      </c>
      <c r="B1329" s="1" t="str">
        <f t="shared" si="266"/>
        <v>https://m566.info/sde6d09</v>
      </c>
      <c r="C1329" s="1" t="str">
        <f>HYPERLINK("https://m566.info/sde6d09","Border Clollie")</f>
        <v>Border Clollie</v>
      </c>
    </row>
    <row r="1330">
      <c r="A1330" s="1" t="str">
        <f t="shared" si="267"/>
        <v>Dog Obedience Training</v>
      </c>
      <c r="B1330" s="1" t="str">
        <f t="shared" si="266"/>
        <v>https://m566.info/sde6d09</v>
      </c>
      <c r="C1330" s="1" t="str">
        <f>HYPERLINK("https://m566.info/sde6d09","Rotwieller")</f>
        <v>Rotwieller</v>
      </c>
    </row>
    <row r="1331">
      <c r="A1331" s="1" t="str">
        <f t="shared" si="267"/>
        <v>Dog Obedience Training</v>
      </c>
      <c r="B1331" s="1" t="str">
        <f t="shared" si="266"/>
        <v>https://m566.info/sde6d09</v>
      </c>
      <c r="C1331" s="1" t="str">
        <f>HYPERLINK("https://m566.info/sde6d09","Cross Bred")</f>
        <v>Cross Bred</v>
      </c>
    </row>
    <row r="1332">
      <c r="A1332" s="1" t="str">
        <f t="shared" si="267"/>
        <v>Dog Obedience Training</v>
      </c>
      <c r="B1332" s="1" t="str">
        <f t="shared" si="266"/>
        <v>https://m566.info/sde6d09</v>
      </c>
      <c r="C1332" s="1" t="str">
        <f>HYPERLINK("https://m566.info/sde6d09","Rotweiller")</f>
        <v>Rotweiller</v>
      </c>
    </row>
    <row r="1333">
      <c r="A1333" s="1" t="str">
        <f t="shared" ref="A1333:A1338" si="268">HYPERLINK("https://m566.info/sde6d09","Dog House Training")</f>
        <v>Dog House Training</v>
      </c>
      <c r="B1333" s="1" t="str">
        <f t="shared" si="266"/>
        <v>https://m566.info/sde6d09</v>
      </c>
      <c r="C1333" s="1" t="str">
        <f>HYPERLINK("https://m566.info/sde6d09","Doberman")</f>
        <v>Doberman</v>
      </c>
    </row>
    <row r="1334">
      <c r="A1334" s="1" t="str">
        <f t="shared" si="268"/>
        <v>Dog House Training</v>
      </c>
      <c r="B1334" s="1" t="str">
        <f t="shared" si="266"/>
        <v>https://m566.info/sde6d09</v>
      </c>
      <c r="C1334" s="1" t="str">
        <f>HYPERLINK("https://m566.info/sde6d09","German Shepherd")</f>
        <v>German Shepherd</v>
      </c>
    </row>
    <row r="1335">
      <c r="A1335" s="1" t="str">
        <f t="shared" si="268"/>
        <v>Dog House Training</v>
      </c>
      <c r="B1335" s="1" t="str">
        <f t="shared" si="266"/>
        <v>https://m566.info/sde6d09</v>
      </c>
      <c r="C1335" s="1" t="str">
        <f>HYPERLINK("https://m566.info/sde6d09","Border Clollie")</f>
        <v>Border Clollie</v>
      </c>
    </row>
    <row r="1336">
      <c r="A1336" s="1" t="str">
        <f t="shared" si="268"/>
        <v>Dog House Training</v>
      </c>
      <c r="B1336" s="1" t="str">
        <f t="shared" si="266"/>
        <v>https://m566.info/sde6d09</v>
      </c>
      <c r="C1336" s="1" t="str">
        <f>HYPERLINK("https://m566.info/sde6d09","Rotwieller")</f>
        <v>Rotwieller</v>
      </c>
    </row>
    <row r="1337">
      <c r="A1337" s="1" t="str">
        <f t="shared" si="268"/>
        <v>Dog House Training</v>
      </c>
      <c r="B1337" s="1" t="str">
        <f t="shared" si="266"/>
        <v>https://m566.info/sde6d09</v>
      </c>
      <c r="C1337" s="1" t="str">
        <f>HYPERLINK("https://m566.info/sde6d09","Cross Bred")</f>
        <v>Cross Bred</v>
      </c>
    </row>
    <row r="1338">
      <c r="A1338" s="1" t="str">
        <f t="shared" si="268"/>
        <v>Dog House Training</v>
      </c>
      <c r="B1338" s="1" t="str">
        <f t="shared" si="266"/>
        <v>https://m566.info/sde6d09</v>
      </c>
      <c r="C1338" s="1" t="str">
        <f>HYPERLINK("https://m566.info/sde6d09","Rotweiller")</f>
        <v>Rotweiller</v>
      </c>
    </row>
    <row r="1339">
      <c r="A1339" s="1" t="str">
        <f t="shared" ref="A1339:A1344" si="269">HYPERLINK("https://m566.info/sde6d09","Dog Behaviour Training")</f>
        <v>Dog Behaviour Training</v>
      </c>
      <c r="B1339" s="1" t="str">
        <f t="shared" si="266"/>
        <v>https://m566.info/sde6d09</v>
      </c>
      <c r="C1339" s="1" t="str">
        <f>HYPERLINK("https://m566.info/sde6d09","Doberman")</f>
        <v>Doberman</v>
      </c>
    </row>
    <row r="1340">
      <c r="A1340" s="1" t="str">
        <f t="shared" si="269"/>
        <v>Dog Behaviour Training</v>
      </c>
      <c r="B1340" s="1" t="str">
        <f t="shared" si="266"/>
        <v>https://m566.info/sde6d09</v>
      </c>
      <c r="C1340" s="1" t="str">
        <f>HYPERLINK("https://m566.info/sde6d09","German Shepherd")</f>
        <v>German Shepherd</v>
      </c>
    </row>
    <row r="1341">
      <c r="A1341" s="1" t="str">
        <f t="shared" si="269"/>
        <v>Dog Behaviour Training</v>
      </c>
      <c r="B1341" s="1" t="str">
        <f t="shared" si="266"/>
        <v>https://m566.info/sde6d09</v>
      </c>
      <c r="C1341" s="1" t="str">
        <f>HYPERLINK("https://m566.info/sde6d09","Border Clollie")</f>
        <v>Border Clollie</v>
      </c>
    </row>
    <row r="1342">
      <c r="A1342" s="1" t="str">
        <f t="shared" si="269"/>
        <v>Dog Behaviour Training</v>
      </c>
      <c r="B1342" s="1" t="str">
        <f t="shared" si="266"/>
        <v>https://m566.info/sde6d09</v>
      </c>
      <c r="C1342" s="1" t="str">
        <f>HYPERLINK("https://m566.info/sde6d09","Rotwieller")</f>
        <v>Rotwieller</v>
      </c>
    </row>
    <row r="1343">
      <c r="A1343" s="1" t="str">
        <f t="shared" si="269"/>
        <v>Dog Behaviour Training</v>
      </c>
      <c r="B1343" s="1" t="str">
        <f t="shared" si="266"/>
        <v>https://m566.info/sde6d09</v>
      </c>
      <c r="C1343" s="1" t="str">
        <f>HYPERLINK("https://m566.info/sde6d09","Cross Bred")</f>
        <v>Cross Bred</v>
      </c>
    </row>
    <row r="1344">
      <c r="A1344" s="1" t="str">
        <f t="shared" si="269"/>
        <v>Dog Behaviour Training</v>
      </c>
      <c r="B1344" s="1" t="str">
        <f t="shared" si="266"/>
        <v>https://m566.info/sde6d09</v>
      </c>
      <c r="C1344" s="1" t="str">
        <f>HYPERLINK("https://m566.info/sde6d09","Rotweiller")</f>
        <v>Rotweiller</v>
      </c>
    </row>
    <row r="1345">
      <c r="A1345" s="1" t="str">
        <f t="shared" ref="A1345:A1350" si="270">HYPERLINK("https://m566.info/sde6d09","Dog : Elite Training")</f>
        <v>Dog : Elite Training</v>
      </c>
      <c r="B1345" s="1" t="str">
        <f t="shared" si="266"/>
        <v>https://m566.info/sde6d09</v>
      </c>
      <c r="C1345" s="1" t="str">
        <f>HYPERLINK("https://m566.info/sde6d09","Doberman")</f>
        <v>Doberman</v>
      </c>
    </row>
    <row r="1346">
      <c r="A1346" s="1" t="str">
        <f t="shared" si="270"/>
        <v>Dog : Elite Training</v>
      </c>
      <c r="B1346" s="1" t="str">
        <f t="shared" si="266"/>
        <v>https://m566.info/sde6d09</v>
      </c>
      <c r="C1346" s="1" t="str">
        <f>HYPERLINK("https://m566.info/sde6d09","German Shepherd")</f>
        <v>German Shepherd</v>
      </c>
    </row>
    <row r="1347">
      <c r="A1347" s="1" t="str">
        <f t="shared" si="270"/>
        <v>Dog : Elite Training</v>
      </c>
      <c r="B1347" s="1" t="str">
        <f t="shared" si="266"/>
        <v>https://m566.info/sde6d09</v>
      </c>
      <c r="C1347" s="1" t="str">
        <f>HYPERLINK("https://m566.info/sde6d09","Border Clollie")</f>
        <v>Border Clollie</v>
      </c>
    </row>
    <row r="1348">
      <c r="A1348" s="1" t="str">
        <f t="shared" si="270"/>
        <v>Dog : Elite Training</v>
      </c>
      <c r="B1348" s="1" t="str">
        <f t="shared" si="266"/>
        <v>https://m566.info/sde6d09</v>
      </c>
      <c r="C1348" s="1" t="str">
        <f>HYPERLINK("https://m566.info/sde6d09","Rotwieller")</f>
        <v>Rotwieller</v>
      </c>
    </row>
    <row r="1349">
      <c r="A1349" s="1" t="str">
        <f t="shared" si="270"/>
        <v>Dog : Elite Training</v>
      </c>
      <c r="B1349" s="1" t="str">
        <f t="shared" si="266"/>
        <v>https://m566.info/sde6d09</v>
      </c>
      <c r="C1349" s="1" t="str">
        <f>HYPERLINK("https://m566.info/sde6d09","Cross Bred")</f>
        <v>Cross Bred</v>
      </c>
    </row>
    <row r="1350">
      <c r="A1350" s="1" t="str">
        <f t="shared" si="270"/>
        <v>Dog : Elite Training</v>
      </c>
      <c r="B1350" s="1" t="str">
        <f t="shared" si="266"/>
        <v>https://m566.info/sde6d09</v>
      </c>
      <c r="C1350" s="1" t="str">
        <f>HYPERLINK("https://m566.info/sde6d09","Rotweiller")</f>
        <v>Rotweiller</v>
      </c>
    </row>
    <row r="1351">
      <c r="A1351" s="1" t="str">
        <f t="shared" ref="A1351:A1356" si="271">HYPERLINK("https://m566.info/s50ttmo","Dog Aggression Training")</f>
        <v>Dog Aggression Training</v>
      </c>
      <c r="B1351" s="1" t="str">
        <f t="shared" ref="B1351:B1380" si="272">HYPERLINK("https://m566.info/s50ttmo","https://m566.info/s50ttmo")</f>
        <v>https://m566.info/s50ttmo</v>
      </c>
      <c r="C1351" s="1" t="str">
        <f>HYPERLINK("https://m566.info/s50ttmo","Doberman")</f>
        <v>Doberman</v>
      </c>
    </row>
    <row r="1352">
      <c r="A1352" s="1" t="str">
        <f t="shared" si="271"/>
        <v>Dog Aggression Training</v>
      </c>
      <c r="B1352" s="1" t="str">
        <f t="shared" si="272"/>
        <v>https://m566.info/s50ttmo</v>
      </c>
      <c r="C1352" s="1" t="str">
        <f>HYPERLINK("https://m566.info/s50ttmo","German Shepherd")</f>
        <v>German Shepherd</v>
      </c>
    </row>
    <row r="1353">
      <c r="A1353" s="1" t="str">
        <f t="shared" si="271"/>
        <v>Dog Aggression Training</v>
      </c>
      <c r="B1353" s="1" t="str">
        <f t="shared" si="272"/>
        <v>https://m566.info/s50ttmo</v>
      </c>
      <c r="C1353" s="1" t="str">
        <f>HYPERLINK("https://m566.info/s50ttmo","Border Clollie")</f>
        <v>Border Clollie</v>
      </c>
    </row>
    <row r="1354">
      <c r="A1354" s="1" t="str">
        <f t="shared" si="271"/>
        <v>Dog Aggression Training</v>
      </c>
      <c r="B1354" s="1" t="str">
        <f t="shared" si="272"/>
        <v>https://m566.info/s50ttmo</v>
      </c>
      <c r="C1354" s="1" t="str">
        <f>HYPERLINK("https://m566.info/s50ttmo","Rotwieller")</f>
        <v>Rotwieller</v>
      </c>
    </row>
    <row r="1355">
      <c r="A1355" s="1" t="str">
        <f t="shared" si="271"/>
        <v>Dog Aggression Training</v>
      </c>
      <c r="B1355" s="1" t="str">
        <f t="shared" si="272"/>
        <v>https://m566.info/s50ttmo</v>
      </c>
      <c r="C1355" s="1" t="str">
        <f>HYPERLINK("https://m566.info/s50ttmo","Cross Bred")</f>
        <v>Cross Bred</v>
      </c>
    </row>
    <row r="1356">
      <c r="A1356" s="1" t="str">
        <f t="shared" si="271"/>
        <v>Dog Aggression Training</v>
      </c>
      <c r="B1356" s="1" t="str">
        <f t="shared" si="272"/>
        <v>https://m566.info/s50ttmo</v>
      </c>
      <c r="C1356" s="1" t="str">
        <f>HYPERLINK("https://m566.info/s50ttmo","Rotweiller")</f>
        <v>Rotweiller</v>
      </c>
    </row>
    <row r="1357">
      <c r="A1357" s="1" t="str">
        <f t="shared" ref="A1357:A1362" si="273">HYPERLINK("https://m566.info/s50ttmo","Dog Obedience Training")</f>
        <v>Dog Obedience Training</v>
      </c>
      <c r="B1357" s="1" t="str">
        <f t="shared" si="272"/>
        <v>https://m566.info/s50ttmo</v>
      </c>
      <c r="C1357" s="1" t="str">
        <f>HYPERLINK("https://m566.info/s50ttmo","Doberman")</f>
        <v>Doberman</v>
      </c>
    </row>
    <row r="1358">
      <c r="A1358" s="1" t="str">
        <f t="shared" si="273"/>
        <v>Dog Obedience Training</v>
      </c>
      <c r="B1358" s="1" t="str">
        <f t="shared" si="272"/>
        <v>https://m566.info/s50ttmo</v>
      </c>
      <c r="C1358" s="1" t="str">
        <f>HYPERLINK("https://m566.info/s50ttmo","German Shepherd")</f>
        <v>German Shepherd</v>
      </c>
    </row>
    <row r="1359">
      <c r="A1359" s="1" t="str">
        <f t="shared" si="273"/>
        <v>Dog Obedience Training</v>
      </c>
      <c r="B1359" s="1" t="str">
        <f t="shared" si="272"/>
        <v>https://m566.info/s50ttmo</v>
      </c>
      <c r="C1359" s="1" t="str">
        <f>HYPERLINK("https://m566.info/s50ttmo","Border Clollie")</f>
        <v>Border Clollie</v>
      </c>
    </row>
    <row r="1360">
      <c r="A1360" s="1" t="str">
        <f t="shared" si="273"/>
        <v>Dog Obedience Training</v>
      </c>
      <c r="B1360" s="1" t="str">
        <f t="shared" si="272"/>
        <v>https://m566.info/s50ttmo</v>
      </c>
      <c r="C1360" s="1" t="str">
        <f>HYPERLINK("https://m566.info/s50ttmo","Rotwieller")</f>
        <v>Rotwieller</v>
      </c>
    </row>
    <row r="1361">
      <c r="A1361" s="1" t="str">
        <f t="shared" si="273"/>
        <v>Dog Obedience Training</v>
      </c>
      <c r="B1361" s="1" t="str">
        <f t="shared" si="272"/>
        <v>https://m566.info/s50ttmo</v>
      </c>
      <c r="C1361" s="1" t="str">
        <f>HYPERLINK("https://m566.info/s50ttmo","Cross Bred")</f>
        <v>Cross Bred</v>
      </c>
    </row>
    <row r="1362">
      <c r="A1362" s="1" t="str">
        <f t="shared" si="273"/>
        <v>Dog Obedience Training</v>
      </c>
      <c r="B1362" s="1" t="str">
        <f t="shared" si="272"/>
        <v>https://m566.info/s50ttmo</v>
      </c>
      <c r="C1362" s="1" t="str">
        <f>HYPERLINK("https://m566.info/s50ttmo","Rotweiller")</f>
        <v>Rotweiller</v>
      </c>
    </row>
    <row r="1363">
      <c r="A1363" s="1" t="str">
        <f t="shared" ref="A1363:A1368" si="274">HYPERLINK("https://m566.info/s50ttmo","Dog House Training")</f>
        <v>Dog House Training</v>
      </c>
      <c r="B1363" s="1" t="str">
        <f t="shared" si="272"/>
        <v>https://m566.info/s50ttmo</v>
      </c>
      <c r="C1363" s="1" t="str">
        <f>HYPERLINK("https://m566.info/s50ttmo","Doberman")</f>
        <v>Doberman</v>
      </c>
    </row>
    <row r="1364">
      <c r="A1364" s="1" t="str">
        <f t="shared" si="274"/>
        <v>Dog House Training</v>
      </c>
      <c r="B1364" s="1" t="str">
        <f t="shared" si="272"/>
        <v>https://m566.info/s50ttmo</v>
      </c>
      <c r="C1364" s="1" t="str">
        <f>HYPERLINK("https://m566.info/s50ttmo","German Shepherd")</f>
        <v>German Shepherd</v>
      </c>
    </row>
    <row r="1365">
      <c r="A1365" s="1" t="str">
        <f t="shared" si="274"/>
        <v>Dog House Training</v>
      </c>
      <c r="B1365" s="1" t="str">
        <f t="shared" si="272"/>
        <v>https://m566.info/s50ttmo</v>
      </c>
      <c r="C1365" s="1" t="str">
        <f>HYPERLINK("https://m566.info/s50ttmo","Border Clollie")</f>
        <v>Border Clollie</v>
      </c>
    </row>
    <row r="1366">
      <c r="A1366" s="1" t="str">
        <f t="shared" si="274"/>
        <v>Dog House Training</v>
      </c>
      <c r="B1366" s="1" t="str">
        <f t="shared" si="272"/>
        <v>https://m566.info/s50ttmo</v>
      </c>
      <c r="C1366" s="1" t="str">
        <f>HYPERLINK("https://m566.info/s50ttmo","Rotwieller")</f>
        <v>Rotwieller</v>
      </c>
    </row>
    <row r="1367">
      <c r="A1367" s="1" t="str">
        <f t="shared" si="274"/>
        <v>Dog House Training</v>
      </c>
      <c r="B1367" s="1" t="str">
        <f t="shared" si="272"/>
        <v>https://m566.info/s50ttmo</v>
      </c>
      <c r="C1367" s="1" t="str">
        <f>HYPERLINK("https://m566.info/s50ttmo","Cross Bred")</f>
        <v>Cross Bred</v>
      </c>
    </row>
    <row r="1368">
      <c r="A1368" s="1" t="str">
        <f t="shared" si="274"/>
        <v>Dog House Training</v>
      </c>
      <c r="B1368" s="1" t="str">
        <f t="shared" si="272"/>
        <v>https://m566.info/s50ttmo</v>
      </c>
      <c r="C1368" s="1" t="str">
        <f>HYPERLINK("https://m566.info/s50ttmo","Rotweiller")</f>
        <v>Rotweiller</v>
      </c>
    </row>
    <row r="1369">
      <c r="A1369" s="1" t="str">
        <f t="shared" ref="A1369:A1374" si="275">HYPERLINK("https://m566.info/s50ttmo","Dog Behaviour Training")</f>
        <v>Dog Behaviour Training</v>
      </c>
      <c r="B1369" s="1" t="str">
        <f t="shared" si="272"/>
        <v>https://m566.info/s50ttmo</v>
      </c>
      <c r="C1369" s="1" t="str">
        <f>HYPERLINK("https://m566.info/s50ttmo","Doberman")</f>
        <v>Doberman</v>
      </c>
    </row>
    <row r="1370">
      <c r="A1370" s="1" t="str">
        <f t="shared" si="275"/>
        <v>Dog Behaviour Training</v>
      </c>
      <c r="B1370" s="1" t="str">
        <f t="shared" si="272"/>
        <v>https://m566.info/s50ttmo</v>
      </c>
      <c r="C1370" s="1" t="str">
        <f>HYPERLINK("https://m566.info/s50ttmo","German Shepherd")</f>
        <v>German Shepherd</v>
      </c>
    </row>
    <row r="1371">
      <c r="A1371" s="1" t="str">
        <f t="shared" si="275"/>
        <v>Dog Behaviour Training</v>
      </c>
      <c r="B1371" s="1" t="str">
        <f t="shared" si="272"/>
        <v>https://m566.info/s50ttmo</v>
      </c>
      <c r="C1371" s="1" t="str">
        <f>HYPERLINK("https://m566.info/s50ttmo","Border Clollie")</f>
        <v>Border Clollie</v>
      </c>
    </row>
    <row r="1372">
      <c r="A1372" s="1" t="str">
        <f t="shared" si="275"/>
        <v>Dog Behaviour Training</v>
      </c>
      <c r="B1372" s="1" t="str">
        <f t="shared" si="272"/>
        <v>https://m566.info/s50ttmo</v>
      </c>
      <c r="C1372" s="1" t="str">
        <f>HYPERLINK("https://m566.info/s50ttmo","Rotwieller")</f>
        <v>Rotwieller</v>
      </c>
    </row>
    <row r="1373">
      <c r="A1373" s="1" t="str">
        <f t="shared" si="275"/>
        <v>Dog Behaviour Training</v>
      </c>
      <c r="B1373" s="1" t="str">
        <f t="shared" si="272"/>
        <v>https://m566.info/s50ttmo</v>
      </c>
      <c r="C1373" s="1" t="str">
        <f>HYPERLINK("https://m566.info/s50ttmo","Cross Bred")</f>
        <v>Cross Bred</v>
      </c>
    </row>
    <row r="1374">
      <c r="A1374" s="1" t="str">
        <f t="shared" si="275"/>
        <v>Dog Behaviour Training</v>
      </c>
      <c r="B1374" s="1" t="str">
        <f t="shared" si="272"/>
        <v>https://m566.info/s50ttmo</v>
      </c>
      <c r="C1374" s="1" t="str">
        <f>HYPERLINK("https://m566.info/s50ttmo","Rotweiller")</f>
        <v>Rotweiller</v>
      </c>
    </row>
    <row r="1375">
      <c r="A1375" s="1" t="str">
        <f t="shared" ref="A1375:A1380" si="276">HYPERLINK("https://m566.info/s50ttmo","Dog : Elite Training")</f>
        <v>Dog : Elite Training</v>
      </c>
      <c r="B1375" s="1" t="str">
        <f t="shared" si="272"/>
        <v>https://m566.info/s50ttmo</v>
      </c>
      <c r="C1375" s="1" t="str">
        <f>HYPERLINK("https://m566.info/s50ttmo","Doberman")</f>
        <v>Doberman</v>
      </c>
    </row>
    <row r="1376">
      <c r="A1376" s="1" t="str">
        <f t="shared" si="276"/>
        <v>Dog : Elite Training</v>
      </c>
      <c r="B1376" s="1" t="str">
        <f t="shared" si="272"/>
        <v>https://m566.info/s50ttmo</v>
      </c>
      <c r="C1376" s="1" t="str">
        <f>HYPERLINK("https://m566.info/s50ttmo","German Shepherd")</f>
        <v>German Shepherd</v>
      </c>
    </row>
    <row r="1377">
      <c r="A1377" s="1" t="str">
        <f t="shared" si="276"/>
        <v>Dog : Elite Training</v>
      </c>
      <c r="B1377" s="1" t="str">
        <f t="shared" si="272"/>
        <v>https://m566.info/s50ttmo</v>
      </c>
      <c r="C1377" s="1" t="str">
        <f>HYPERLINK("https://m566.info/s50ttmo","Border Clollie")</f>
        <v>Border Clollie</v>
      </c>
    </row>
    <row r="1378">
      <c r="A1378" s="1" t="str">
        <f t="shared" si="276"/>
        <v>Dog : Elite Training</v>
      </c>
      <c r="B1378" s="1" t="str">
        <f t="shared" si="272"/>
        <v>https://m566.info/s50ttmo</v>
      </c>
      <c r="C1378" s="1" t="str">
        <f>HYPERLINK("https://m566.info/s50ttmo","Rotwieller")</f>
        <v>Rotwieller</v>
      </c>
    </row>
    <row r="1379">
      <c r="A1379" s="1" t="str">
        <f t="shared" si="276"/>
        <v>Dog : Elite Training</v>
      </c>
      <c r="B1379" s="1" t="str">
        <f t="shared" si="272"/>
        <v>https://m566.info/s50ttmo</v>
      </c>
      <c r="C1379" s="1" t="str">
        <f>HYPERLINK("https://m566.info/s50ttmo","Cross Bred")</f>
        <v>Cross Bred</v>
      </c>
    </row>
    <row r="1380">
      <c r="A1380" s="1" t="str">
        <f t="shared" si="276"/>
        <v>Dog : Elite Training</v>
      </c>
      <c r="B1380" s="1" t="str">
        <f t="shared" si="272"/>
        <v>https://m566.info/s50ttmo</v>
      </c>
      <c r="C1380" s="1" t="str">
        <f>HYPERLINK("https://m566.info/s50ttmo","Rotweiller")</f>
        <v>Rotweiller</v>
      </c>
    </row>
    <row r="1381">
      <c r="A1381" s="1" t="str">
        <f t="shared" ref="A1381:A1386" si="277">HYPERLINK("https://m566.info/nor20fi","Dog Aggression Training")</f>
        <v>Dog Aggression Training</v>
      </c>
      <c r="B1381" s="1" t="str">
        <f t="shared" ref="B1381:B1410" si="278">HYPERLINK("https://m566.info/nor20fi","https://m566.info/nor20fi")</f>
        <v>https://m566.info/nor20fi</v>
      </c>
      <c r="C1381" s="1" t="str">
        <f>HYPERLINK("https://m566.info/nor20fi","Doberman")</f>
        <v>Doberman</v>
      </c>
    </row>
    <row r="1382">
      <c r="A1382" s="1" t="str">
        <f t="shared" si="277"/>
        <v>Dog Aggression Training</v>
      </c>
      <c r="B1382" s="1" t="str">
        <f t="shared" si="278"/>
        <v>https://m566.info/nor20fi</v>
      </c>
      <c r="C1382" s="1" t="str">
        <f>HYPERLINK("https://m566.info/nor20fi","German Shepherd")</f>
        <v>German Shepherd</v>
      </c>
    </row>
    <row r="1383">
      <c r="A1383" s="1" t="str">
        <f t="shared" si="277"/>
        <v>Dog Aggression Training</v>
      </c>
      <c r="B1383" s="1" t="str">
        <f t="shared" si="278"/>
        <v>https://m566.info/nor20fi</v>
      </c>
      <c r="C1383" s="1" t="str">
        <f>HYPERLINK("https://m566.info/nor20fi","Border Clollie")</f>
        <v>Border Clollie</v>
      </c>
    </row>
    <row r="1384">
      <c r="A1384" s="1" t="str">
        <f t="shared" si="277"/>
        <v>Dog Aggression Training</v>
      </c>
      <c r="B1384" s="1" t="str">
        <f t="shared" si="278"/>
        <v>https://m566.info/nor20fi</v>
      </c>
      <c r="C1384" s="1" t="str">
        <f>HYPERLINK("https://m566.info/nor20fi","Rotwieller")</f>
        <v>Rotwieller</v>
      </c>
    </row>
    <row r="1385">
      <c r="A1385" s="1" t="str">
        <f t="shared" si="277"/>
        <v>Dog Aggression Training</v>
      </c>
      <c r="B1385" s="1" t="str">
        <f t="shared" si="278"/>
        <v>https://m566.info/nor20fi</v>
      </c>
      <c r="C1385" s="1" t="str">
        <f>HYPERLINK("https://m566.info/nor20fi","Cross Bred")</f>
        <v>Cross Bred</v>
      </c>
    </row>
    <row r="1386">
      <c r="A1386" s="1" t="str">
        <f t="shared" si="277"/>
        <v>Dog Aggression Training</v>
      </c>
      <c r="B1386" s="1" t="str">
        <f t="shared" si="278"/>
        <v>https://m566.info/nor20fi</v>
      </c>
      <c r="C1386" s="1" t="str">
        <f>HYPERLINK("https://m566.info/nor20fi","Rotweiller")</f>
        <v>Rotweiller</v>
      </c>
    </row>
    <row r="1387">
      <c r="A1387" s="1" t="str">
        <f t="shared" ref="A1387:A1392" si="279">HYPERLINK("https://m566.info/nor20fi","Dog Obedience Training")</f>
        <v>Dog Obedience Training</v>
      </c>
      <c r="B1387" s="1" t="str">
        <f t="shared" si="278"/>
        <v>https://m566.info/nor20fi</v>
      </c>
      <c r="C1387" s="1" t="str">
        <f>HYPERLINK("https://m566.info/nor20fi","Doberman")</f>
        <v>Doberman</v>
      </c>
    </row>
    <row r="1388">
      <c r="A1388" s="1" t="str">
        <f t="shared" si="279"/>
        <v>Dog Obedience Training</v>
      </c>
      <c r="B1388" s="1" t="str">
        <f t="shared" si="278"/>
        <v>https://m566.info/nor20fi</v>
      </c>
      <c r="C1388" s="1" t="str">
        <f>HYPERLINK("https://m566.info/nor20fi","German Shepherd")</f>
        <v>German Shepherd</v>
      </c>
    </row>
    <row r="1389">
      <c r="A1389" s="1" t="str">
        <f t="shared" si="279"/>
        <v>Dog Obedience Training</v>
      </c>
      <c r="B1389" s="1" t="str">
        <f t="shared" si="278"/>
        <v>https://m566.info/nor20fi</v>
      </c>
      <c r="C1389" s="1" t="str">
        <f>HYPERLINK("https://m566.info/nor20fi","Border Clollie")</f>
        <v>Border Clollie</v>
      </c>
    </row>
    <row r="1390">
      <c r="A1390" s="1" t="str">
        <f t="shared" si="279"/>
        <v>Dog Obedience Training</v>
      </c>
      <c r="B1390" s="1" t="str">
        <f t="shared" si="278"/>
        <v>https://m566.info/nor20fi</v>
      </c>
      <c r="C1390" s="1" t="str">
        <f>HYPERLINK("https://m566.info/nor20fi","Rotwieller")</f>
        <v>Rotwieller</v>
      </c>
    </row>
    <row r="1391">
      <c r="A1391" s="1" t="str">
        <f t="shared" si="279"/>
        <v>Dog Obedience Training</v>
      </c>
      <c r="B1391" s="1" t="str">
        <f t="shared" si="278"/>
        <v>https://m566.info/nor20fi</v>
      </c>
      <c r="C1391" s="1" t="str">
        <f>HYPERLINK("https://m566.info/nor20fi","Cross Bred")</f>
        <v>Cross Bred</v>
      </c>
    </row>
    <row r="1392">
      <c r="A1392" s="1" t="str">
        <f t="shared" si="279"/>
        <v>Dog Obedience Training</v>
      </c>
      <c r="B1392" s="1" t="str">
        <f t="shared" si="278"/>
        <v>https://m566.info/nor20fi</v>
      </c>
      <c r="C1392" s="1" t="str">
        <f>HYPERLINK("https://m566.info/nor20fi","Rotweiller")</f>
        <v>Rotweiller</v>
      </c>
    </row>
    <row r="1393">
      <c r="A1393" s="1" t="str">
        <f t="shared" ref="A1393:A1398" si="280">HYPERLINK("https://m566.info/nor20fi","Dog House Training")</f>
        <v>Dog House Training</v>
      </c>
      <c r="B1393" s="1" t="str">
        <f t="shared" si="278"/>
        <v>https://m566.info/nor20fi</v>
      </c>
      <c r="C1393" s="1" t="str">
        <f>HYPERLINK("https://m566.info/nor20fi","Doberman")</f>
        <v>Doberman</v>
      </c>
    </row>
    <row r="1394">
      <c r="A1394" s="1" t="str">
        <f t="shared" si="280"/>
        <v>Dog House Training</v>
      </c>
      <c r="B1394" s="1" t="str">
        <f t="shared" si="278"/>
        <v>https://m566.info/nor20fi</v>
      </c>
      <c r="C1394" s="1" t="str">
        <f>HYPERLINK("https://m566.info/nor20fi","German Shepherd")</f>
        <v>German Shepherd</v>
      </c>
    </row>
    <row r="1395">
      <c r="A1395" s="1" t="str">
        <f t="shared" si="280"/>
        <v>Dog House Training</v>
      </c>
      <c r="B1395" s="1" t="str">
        <f t="shared" si="278"/>
        <v>https://m566.info/nor20fi</v>
      </c>
      <c r="C1395" s="1" t="str">
        <f>HYPERLINK("https://m566.info/nor20fi","Border Clollie")</f>
        <v>Border Clollie</v>
      </c>
    </row>
    <row r="1396">
      <c r="A1396" s="1" t="str">
        <f t="shared" si="280"/>
        <v>Dog House Training</v>
      </c>
      <c r="B1396" s="1" t="str">
        <f t="shared" si="278"/>
        <v>https://m566.info/nor20fi</v>
      </c>
      <c r="C1396" s="1" t="str">
        <f>HYPERLINK("https://m566.info/nor20fi","Rotwieller")</f>
        <v>Rotwieller</v>
      </c>
    </row>
    <row r="1397">
      <c r="A1397" s="1" t="str">
        <f t="shared" si="280"/>
        <v>Dog House Training</v>
      </c>
      <c r="B1397" s="1" t="str">
        <f t="shared" si="278"/>
        <v>https://m566.info/nor20fi</v>
      </c>
      <c r="C1397" s="1" t="str">
        <f>HYPERLINK("https://m566.info/nor20fi","Cross Bred")</f>
        <v>Cross Bred</v>
      </c>
    </row>
    <row r="1398">
      <c r="A1398" s="1" t="str">
        <f t="shared" si="280"/>
        <v>Dog House Training</v>
      </c>
      <c r="B1398" s="1" t="str">
        <f t="shared" si="278"/>
        <v>https://m566.info/nor20fi</v>
      </c>
      <c r="C1398" s="1" t="str">
        <f>HYPERLINK("https://m566.info/nor20fi","Rotweiller")</f>
        <v>Rotweiller</v>
      </c>
    </row>
    <row r="1399">
      <c r="A1399" s="1" t="str">
        <f t="shared" ref="A1399:A1404" si="281">HYPERLINK("https://m566.info/nor20fi","Dog Behaviour Training")</f>
        <v>Dog Behaviour Training</v>
      </c>
      <c r="B1399" s="1" t="str">
        <f t="shared" si="278"/>
        <v>https://m566.info/nor20fi</v>
      </c>
      <c r="C1399" s="1" t="str">
        <f>HYPERLINK("https://m566.info/nor20fi","Doberman")</f>
        <v>Doberman</v>
      </c>
    </row>
    <row r="1400">
      <c r="A1400" s="1" t="str">
        <f t="shared" si="281"/>
        <v>Dog Behaviour Training</v>
      </c>
      <c r="B1400" s="1" t="str">
        <f t="shared" si="278"/>
        <v>https://m566.info/nor20fi</v>
      </c>
      <c r="C1400" s="1" t="str">
        <f>HYPERLINK("https://m566.info/nor20fi","German Shepherd")</f>
        <v>German Shepherd</v>
      </c>
    </row>
    <row r="1401">
      <c r="A1401" s="1" t="str">
        <f t="shared" si="281"/>
        <v>Dog Behaviour Training</v>
      </c>
      <c r="B1401" s="1" t="str">
        <f t="shared" si="278"/>
        <v>https://m566.info/nor20fi</v>
      </c>
      <c r="C1401" s="1" t="str">
        <f>HYPERLINK("https://m566.info/nor20fi","Border Clollie")</f>
        <v>Border Clollie</v>
      </c>
    </row>
    <row r="1402">
      <c r="A1402" s="1" t="str">
        <f t="shared" si="281"/>
        <v>Dog Behaviour Training</v>
      </c>
      <c r="B1402" s="1" t="str">
        <f t="shared" si="278"/>
        <v>https://m566.info/nor20fi</v>
      </c>
      <c r="C1402" s="1" t="str">
        <f>HYPERLINK("https://m566.info/nor20fi","Rotwieller")</f>
        <v>Rotwieller</v>
      </c>
    </row>
    <row r="1403">
      <c r="A1403" s="1" t="str">
        <f t="shared" si="281"/>
        <v>Dog Behaviour Training</v>
      </c>
      <c r="B1403" s="1" t="str">
        <f t="shared" si="278"/>
        <v>https://m566.info/nor20fi</v>
      </c>
      <c r="C1403" s="1" t="str">
        <f>HYPERLINK("https://m566.info/nor20fi","Cross Bred")</f>
        <v>Cross Bred</v>
      </c>
    </row>
    <row r="1404">
      <c r="A1404" s="1" t="str">
        <f t="shared" si="281"/>
        <v>Dog Behaviour Training</v>
      </c>
      <c r="B1404" s="1" t="str">
        <f t="shared" si="278"/>
        <v>https://m566.info/nor20fi</v>
      </c>
      <c r="C1404" s="1" t="str">
        <f>HYPERLINK("https://m566.info/nor20fi","Rotweiller")</f>
        <v>Rotweiller</v>
      </c>
    </row>
    <row r="1405">
      <c r="A1405" s="1" t="str">
        <f t="shared" ref="A1405:A1410" si="282">HYPERLINK("https://m566.info/nor20fi","Dog : Elite Training")</f>
        <v>Dog : Elite Training</v>
      </c>
      <c r="B1405" s="1" t="str">
        <f t="shared" si="278"/>
        <v>https://m566.info/nor20fi</v>
      </c>
      <c r="C1405" s="1" t="str">
        <f>HYPERLINK("https://m566.info/nor20fi","Doberman")</f>
        <v>Doberman</v>
      </c>
    </row>
    <row r="1406">
      <c r="A1406" s="1" t="str">
        <f t="shared" si="282"/>
        <v>Dog : Elite Training</v>
      </c>
      <c r="B1406" s="1" t="str">
        <f t="shared" si="278"/>
        <v>https://m566.info/nor20fi</v>
      </c>
      <c r="C1406" s="1" t="str">
        <f>HYPERLINK("https://m566.info/nor20fi","German Shepherd")</f>
        <v>German Shepherd</v>
      </c>
    </row>
    <row r="1407">
      <c r="A1407" s="1" t="str">
        <f t="shared" si="282"/>
        <v>Dog : Elite Training</v>
      </c>
      <c r="B1407" s="1" t="str">
        <f t="shared" si="278"/>
        <v>https://m566.info/nor20fi</v>
      </c>
      <c r="C1407" s="1" t="str">
        <f>HYPERLINK("https://m566.info/nor20fi","Border Clollie")</f>
        <v>Border Clollie</v>
      </c>
    </row>
    <row r="1408">
      <c r="A1408" s="1" t="str">
        <f t="shared" si="282"/>
        <v>Dog : Elite Training</v>
      </c>
      <c r="B1408" s="1" t="str">
        <f t="shared" si="278"/>
        <v>https://m566.info/nor20fi</v>
      </c>
      <c r="C1408" s="1" t="str">
        <f>HYPERLINK("https://m566.info/nor20fi","Rotwieller")</f>
        <v>Rotwieller</v>
      </c>
    </row>
    <row r="1409">
      <c r="A1409" s="1" t="str">
        <f t="shared" si="282"/>
        <v>Dog : Elite Training</v>
      </c>
      <c r="B1409" s="1" t="str">
        <f t="shared" si="278"/>
        <v>https://m566.info/nor20fi</v>
      </c>
      <c r="C1409" s="1" t="str">
        <f>HYPERLINK("https://m566.info/nor20fi","Cross Bred")</f>
        <v>Cross Bred</v>
      </c>
    </row>
    <row r="1410">
      <c r="A1410" s="1" t="str">
        <f t="shared" si="282"/>
        <v>Dog : Elite Training</v>
      </c>
      <c r="B1410" s="1" t="str">
        <f t="shared" si="278"/>
        <v>https://m566.info/nor20fi</v>
      </c>
      <c r="C1410" s="1" t="str">
        <f>HYPERLINK("https://m566.info/nor20fi","Rotweiller")</f>
        <v>Rotweiller</v>
      </c>
    </row>
    <row r="1411">
      <c r="A1411" s="1" t="str">
        <f t="shared" ref="A1411:A1416" si="283">HYPERLINK("https://m566.info/a70wmsi","Dog Aggression Training")</f>
        <v>Dog Aggression Training</v>
      </c>
      <c r="B1411" s="1" t="str">
        <f t="shared" ref="B1411:B1440" si="284">HYPERLINK("https://m566.info/a70wmsi","https://m566.info/a70wmsi")</f>
        <v>https://m566.info/a70wmsi</v>
      </c>
      <c r="C1411" s="1" t="str">
        <f>HYPERLINK("https://m566.info/a70wmsi","Doberman")</f>
        <v>Doberman</v>
      </c>
    </row>
    <row r="1412">
      <c r="A1412" s="1" t="str">
        <f t="shared" si="283"/>
        <v>Dog Aggression Training</v>
      </c>
      <c r="B1412" s="1" t="str">
        <f t="shared" si="284"/>
        <v>https://m566.info/a70wmsi</v>
      </c>
      <c r="C1412" s="1" t="str">
        <f>HYPERLINK("https://m566.info/a70wmsi","German Shepherd")</f>
        <v>German Shepherd</v>
      </c>
    </row>
    <row r="1413">
      <c r="A1413" s="1" t="str">
        <f t="shared" si="283"/>
        <v>Dog Aggression Training</v>
      </c>
      <c r="B1413" s="1" t="str">
        <f t="shared" si="284"/>
        <v>https://m566.info/a70wmsi</v>
      </c>
      <c r="C1413" s="1" t="str">
        <f>HYPERLINK("https://m566.info/a70wmsi","Border Clollie")</f>
        <v>Border Clollie</v>
      </c>
    </row>
    <row r="1414">
      <c r="A1414" s="1" t="str">
        <f t="shared" si="283"/>
        <v>Dog Aggression Training</v>
      </c>
      <c r="B1414" s="1" t="str">
        <f t="shared" si="284"/>
        <v>https://m566.info/a70wmsi</v>
      </c>
      <c r="C1414" s="1" t="str">
        <f>HYPERLINK("https://m566.info/a70wmsi","Rotwieller")</f>
        <v>Rotwieller</v>
      </c>
    </row>
    <row r="1415">
      <c r="A1415" s="1" t="str">
        <f t="shared" si="283"/>
        <v>Dog Aggression Training</v>
      </c>
      <c r="B1415" s="1" t="str">
        <f t="shared" si="284"/>
        <v>https://m566.info/a70wmsi</v>
      </c>
      <c r="C1415" s="1" t="str">
        <f>HYPERLINK("https://m566.info/a70wmsi","Cross Bred")</f>
        <v>Cross Bred</v>
      </c>
    </row>
    <row r="1416">
      <c r="A1416" s="1" t="str">
        <f t="shared" si="283"/>
        <v>Dog Aggression Training</v>
      </c>
      <c r="B1416" s="1" t="str">
        <f t="shared" si="284"/>
        <v>https://m566.info/a70wmsi</v>
      </c>
      <c r="C1416" s="1" t="str">
        <f>HYPERLINK("https://m566.info/a70wmsi","Rotweiller")</f>
        <v>Rotweiller</v>
      </c>
    </row>
    <row r="1417">
      <c r="A1417" s="1" t="str">
        <f t="shared" ref="A1417:A1422" si="285">HYPERLINK("https://m566.info/a70wmsi","Dog Obedience Training")</f>
        <v>Dog Obedience Training</v>
      </c>
      <c r="B1417" s="1" t="str">
        <f t="shared" si="284"/>
        <v>https://m566.info/a70wmsi</v>
      </c>
      <c r="C1417" s="1" t="str">
        <f>HYPERLINK("https://m566.info/a70wmsi","Doberman")</f>
        <v>Doberman</v>
      </c>
    </row>
    <row r="1418">
      <c r="A1418" s="1" t="str">
        <f t="shared" si="285"/>
        <v>Dog Obedience Training</v>
      </c>
      <c r="B1418" s="1" t="str">
        <f t="shared" si="284"/>
        <v>https://m566.info/a70wmsi</v>
      </c>
      <c r="C1418" s="1" t="str">
        <f>HYPERLINK("https://m566.info/a70wmsi","German Shepherd")</f>
        <v>German Shepherd</v>
      </c>
    </row>
    <row r="1419">
      <c r="A1419" s="1" t="str">
        <f t="shared" si="285"/>
        <v>Dog Obedience Training</v>
      </c>
      <c r="B1419" s="1" t="str">
        <f t="shared" si="284"/>
        <v>https://m566.info/a70wmsi</v>
      </c>
      <c r="C1419" s="1" t="str">
        <f>HYPERLINK("https://m566.info/a70wmsi","Border Clollie")</f>
        <v>Border Clollie</v>
      </c>
    </row>
    <row r="1420">
      <c r="A1420" s="1" t="str">
        <f t="shared" si="285"/>
        <v>Dog Obedience Training</v>
      </c>
      <c r="B1420" s="1" t="str">
        <f t="shared" si="284"/>
        <v>https://m566.info/a70wmsi</v>
      </c>
      <c r="C1420" s="1" t="str">
        <f>HYPERLINK("https://m566.info/a70wmsi","Rotwieller")</f>
        <v>Rotwieller</v>
      </c>
    </row>
    <row r="1421">
      <c r="A1421" s="1" t="str">
        <f t="shared" si="285"/>
        <v>Dog Obedience Training</v>
      </c>
      <c r="B1421" s="1" t="str">
        <f t="shared" si="284"/>
        <v>https://m566.info/a70wmsi</v>
      </c>
      <c r="C1421" s="1" t="str">
        <f>HYPERLINK("https://m566.info/a70wmsi","Cross Bred")</f>
        <v>Cross Bred</v>
      </c>
    </row>
    <row r="1422">
      <c r="A1422" s="1" t="str">
        <f t="shared" si="285"/>
        <v>Dog Obedience Training</v>
      </c>
      <c r="B1422" s="1" t="str">
        <f t="shared" si="284"/>
        <v>https://m566.info/a70wmsi</v>
      </c>
      <c r="C1422" s="1" t="str">
        <f>HYPERLINK("https://m566.info/a70wmsi","Rotweiller")</f>
        <v>Rotweiller</v>
      </c>
    </row>
    <row r="1423">
      <c r="A1423" s="1" t="str">
        <f t="shared" ref="A1423:A1428" si="286">HYPERLINK("https://m566.info/a70wmsi","Dog House Training")</f>
        <v>Dog House Training</v>
      </c>
      <c r="B1423" s="1" t="str">
        <f t="shared" si="284"/>
        <v>https://m566.info/a70wmsi</v>
      </c>
      <c r="C1423" s="1" t="str">
        <f>HYPERLINK("https://m566.info/a70wmsi","Doberman")</f>
        <v>Doberman</v>
      </c>
    </row>
    <row r="1424">
      <c r="A1424" s="1" t="str">
        <f t="shared" si="286"/>
        <v>Dog House Training</v>
      </c>
      <c r="B1424" s="1" t="str">
        <f t="shared" si="284"/>
        <v>https://m566.info/a70wmsi</v>
      </c>
      <c r="C1424" s="1" t="str">
        <f>HYPERLINK("https://m566.info/a70wmsi","German Shepherd")</f>
        <v>German Shepherd</v>
      </c>
    </row>
    <row r="1425">
      <c r="A1425" s="1" t="str">
        <f t="shared" si="286"/>
        <v>Dog House Training</v>
      </c>
      <c r="B1425" s="1" t="str">
        <f t="shared" si="284"/>
        <v>https://m566.info/a70wmsi</v>
      </c>
      <c r="C1425" s="1" t="str">
        <f>HYPERLINK("https://m566.info/a70wmsi","Border Clollie")</f>
        <v>Border Clollie</v>
      </c>
    </row>
    <row r="1426">
      <c r="A1426" s="1" t="str">
        <f t="shared" si="286"/>
        <v>Dog House Training</v>
      </c>
      <c r="B1426" s="1" t="str">
        <f t="shared" si="284"/>
        <v>https://m566.info/a70wmsi</v>
      </c>
      <c r="C1426" s="1" t="str">
        <f>HYPERLINK("https://m566.info/a70wmsi","Rotwieller")</f>
        <v>Rotwieller</v>
      </c>
    </row>
    <row r="1427">
      <c r="A1427" s="1" t="str">
        <f t="shared" si="286"/>
        <v>Dog House Training</v>
      </c>
      <c r="B1427" s="1" t="str">
        <f t="shared" si="284"/>
        <v>https://m566.info/a70wmsi</v>
      </c>
      <c r="C1427" s="1" t="str">
        <f>HYPERLINK("https://m566.info/a70wmsi","Cross Bred")</f>
        <v>Cross Bred</v>
      </c>
    </row>
    <row r="1428">
      <c r="A1428" s="1" t="str">
        <f t="shared" si="286"/>
        <v>Dog House Training</v>
      </c>
      <c r="B1428" s="1" t="str">
        <f t="shared" si="284"/>
        <v>https://m566.info/a70wmsi</v>
      </c>
      <c r="C1428" s="1" t="str">
        <f>HYPERLINK("https://m566.info/a70wmsi","Rotweiller")</f>
        <v>Rotweiller</v>
      </c>
    </row>
    <row r="1429">
      <c r="A1429" s="1" t="str">
        <f t="shared" ref="A1429:A1434" si="287">HYPERLINK("https://m566.info/a70wmsi","Dog Behaviour Training")</f>
        <v>Dog Behaviour Training</v>
      </c>
      <c r="B1429" s="1" t="str">
        <f t="shared" si="284"/>
        <v>https://m566.info/a70wmsi</v>
      </c>
      <c r="C1429" s="1" t="str">
        <f>HYPERLINK("https://m566.info/a70wmsi","Doberman")</f>
        <v>Doberman</v>
      </c>
    </row>
    <row r="1430">
      <c r="A1430" s="1" t="str">
        <f t="shared" si="287"/>
        <v>Dog Behaviour Training</v>
      </c>
      <c r="B1430" s="1" t="str">
        <f t="shared" si="284"/>
        <v>https://m566.info/a70wmsi</v>
      </c>
      <c r="C1430" s="1" t="str">
        <f>HYPERLINK("https://m566.info/a70wmsi","German Shepherd")</f>
        <v>German Shepherd</v>
      </c>
    </row>
    <row r="1431">
      <c r="A1431" s="1" t="str">
        <f t="shared" si="287"/>
        <v>Dog Behaviour Training</v>
      </c>
      <c r="B1431" s="1" t="str">
        <f t="shared" si="284"/>
        <v>https://m566.info/a70wmsi</v>
      </c>
      <c r="C1431" s="1" t="str">
        <f>HYPERLINK("https://m566.info/a70wmsi","Border Clollie")</f>
        <v>Border Clollie</v>
      </c>
    </row>
    <row r="1432">
      <c r="A1432" s="1" t="str">
        <f t="shared" si="287"/>
        <v>Dog Behaviour Training</v>
      </c>
      <c r="B1432" s="1" t="str">
        <f t="shared" si="284"/>
        <v>https://m566.info/a70wmsi</v>
      </c>
      <c r="C1432" s="1" t="str">
        <f>HYPERLINK("https://m566.info/a70wmsi","Rotwieller")</f>
        <v>Rotwieller</v>
      </c>
    </row>
    <row r="1433">
      <c r="A1433" s="1" t="str">
        <f t="shared" si="287"/>
        <v>Dog Behaviour Training</v>
      </c>
      <c r="B1433" s="1" t="str">
        <f t="shared" si="284"/>
        <v>https://m566.info/a70wmsi</v>
      </c>
      <c r="C1433" s="1" t="str">
        <f>HYPERLINK("https://m566.info/a70wmsi","Cross Bred")</f>
        <v>Cross Bred</v>
      </c>
    </row>
    <row r="1434">
      <c r="A1434" s="1" t="str">
        <f t="shared" si="287"/>
        <v>Dog Behaviour Training</v>
      </c>
      <c r="B1434" s="1" t="str">
        <f t="shared" si="284"/>
        <v>https://m566.info/a70wmsi</v>
      </c>
      <c r="C1434" s="1" t="str">
        <f>HYPERLINK("https://m566.info/a70wmsi","Rotweiller")</f>
        <v>Rotweiller</v>
      </c>
    </row>
    <row r="1435">
      <c r="A1435" s="1" t="str">
        <f t="shared" ref="A1435:A1440" si="288">HYPERLINK("https://m566.info/a70wmsi","Dog : Elite Training")</f>
        <v>Dog : Elite Training</v>
      </c>
      <c r="B1435" s="1" t="str">
        <f t="shared" si="284"/>
        <v>https://m566.info/a70wmsi</v>
      </c>
      <c r="C1435" s="1" t="str">
        <f>HYPERLINK("https://m566.info/a70wmsi","Doberman")</f>
        <v>Doberman</v>
      </c>
    </row>
    <row r="1436">
      <c r="A1436" s="1" t="str">
        <f t="shared" si="288"/>
        <v>Dog : Elite Training</v>
      </c>
      <c r="B1436" s="1" t="str">
        <f t="shared" si="284"/>
        <v>https://m566.info/a70wmsi</v>
      </c>
      <c r="C1436" s="1" t="str">
        <f>HYPERLINK("https://m566.info/a70wmsi","German Shepherd")</f>
        <v>German Shepherd</v>
      </c>
    </row>
    <row r="1437">
      <c r="A1437" s="1" t="str">
        <f t="shared" si="288"/>
        <v>Dog : Elite Training</v>
      </c>
      <c r="B1437" s="1" t="str">
        <f t="shared" si="284"/>
        <v>https://m566.info/a70wmsi</v>
      </c>
      <c r="C1437" s="1" t="str">
        <f>HYPERLINK("https://m566.info/a70wmsi","Border Clollie")</f>
        <v>Border Clollie</v>
      </c>
    </row>
    <row r="1438">
      <c r="A1438" s="1" t="str">
        <f t="shared" si="288"/>
        <v>Dog : Elite Training</v>
      </c>
      <c r="B1438" s="1" t="str">
        <f t="shared" si="284"/>
        <v>https://m566.info/a70wmsi</v>
      </c>
      <c r="C1438" s="1" t="str">
        <f>HYPERLINK("https://m566.info/a70wmsi","Rotwieller")</f>
        <v>Rotwieller</v>
      </c>
    </row>
    <row r="1439">
      <c r="A1439" s="1" t="str">
        <f t="shared" si="288"/>
        <v>Dog : Elite Training</v>
      </c>
      <c r="B1439" s="1" t="str">
        <f t="shared" si="284"/>
        <v>https://m566.info/a70wmsi</v>
      </c>
      <c r="C1439" s="1" t="str">
        <f>HYPERLINK("https://m566.info/a70wmsi","Cross Bred")</f>
        <v>Cross Bred</v>
      </c>
    </row>
    <row r="1440">
      <c r="A1440" s="1" t="str">
        <f t="shared" si="288"/>
        <v>Dog : Elite Training</v>
      </c>
      <c r="B1440" s="1" t="str">
        <f t="shared" si="284"/>
        <v>https://m566.info/a70wmsi</v>
      </c>
      <c r="C1440" s="1" t="str">
        <f>HYPERLINK("https://m566.info/a70wmsi","Rotweiller")</f>
        <v>Rotweiller</v>
      </c>
    </row>
    <row r="1441">
      <c r="A1441" s="1" t="str">
        <f t="shared" ref="A1441:A1446" si="289">HYPERLINK("https://m566.info/zvth2r9","Dog Aggression Training")</f>
        <v>Dog Aggression Training</v>
      </c>
      <c r="B1441" s="1" t="str">
        <f t="shared" ref="B1441:B1470" si="290">HYPERLINK("https://m566.info/zvth2r9","https://m566.info/zvth2r9")</f>
        <v>https://m566.info/zvth2r9</v>
      </c>
      <c r="C1441" s="1" t="str">
        <f>HYPERLINK("https://m566.info/zvth2r9","Doberman")</f>
        <v>Doberman</v>
      </c>
    </row>
    <row r="1442">
      <c r="A1442" s="1" t="str">
        <f t="shared" si="289"/>
        <v>Dog Aggression Training</v>
      </c>
      <c r="B1442" s="1" t="str">
        <f t="shared" si="290"/>
        <v>https://m566.info/zvth2r9</v>
      </c>
      <c r="C1442" s="1" t="str">
        <f>HYPERLINK("https://m566.info/zvth2r9","German Shepherd")</f>
        <v>German Shepherd</v>
      </c>
    </row>
    <row r="1443">
      <c r="A1443" s="1" t="str">
        <f t="shared" si="289"/>
        <v>Dog Aggression Training</v>
      </c>
      <c r="B1443" s="1" t="str">
        <f t="shared" si="290"/>
        <v>https://m566.info/zvth2r9</v>
      </c>
      <c r="C1443" s="1" t="str">
        <f>HYPERLINK("https://m566.info/zvth2r9","Border Clollie")</f>
        <v>Border Clollie</v>
      </c>
    </row>
    <row r="1444">
      <c r="A1444" s="1" t="str">
        <f t="shared" si="289"/>
        <v>Dog Aggression Training</v>
      </c>
      <c r="B1444" s="1" t="str">
        <f t="shared" si="290"/>
        <v>https://m566.info/zvth2r9</v>
      </c>
      <c r="C1444" s="1" t="str">
        <f>HYPERLINK("https://m566.info/zvth2r9","Rotwieller")</f>
        <v>Rotwieller</v>
      </c>
    </row>
    <row r="1445">
      <c r="A1445" s="1" t="str">
        <f t="shared" si="289"/>
        <v>Dog Aggression Training</v>
      </c>
      <c r="B1445" s="1" t="str">
        <f t="shared" si="290"/>
        <v>https://m566.info/zvth2r9</v>
      </c>
      <c r="C1445" s="1" t="str">
        <f>HYPERLINK("https://m566.info/zvth2r9","Cross Bred")</f>
        <v>Cross Bred</v>
      </c>
    </row>
    <row r="1446">
      <c r="A1446" s="1" t="str">
        <f t="shared" si="289"/>
        <v>Dog Aggression Training</v>
      </c>
      <c r="B1446" s="1" t="str">
        <f t="shared" si="290"/>
        <v>https://m566.info/zvth2r9</v>
      </c>
      <c r="C1446" s="1" t="str">
        <f>HYPERLINK("https://m566.info/zvth2r9","Rotweiller")</f>
        <v>Rotweiller</v>
      </c>
    </row>
    <row r="1447">
      <c r="A1447" s="1" t="str">
        <f t="shared" ref="A1447:A1452" si="291">HYPERLINK("https://m566.info/zvth2r9","Dog Obedience Training")</f>
        <v>Dog Obedience Training</v>
      </c>
      <c r="B1447" s="1" t="str">
        <f t="shared" si="290"/>
        <v>https://m566.info/zvth2r9</v>
      </c>
      <c r="C1447" s="1" t="str">
        <f>HYPERLINK("https://m566.info/zvth2r9","Doberman")</f>
        <v>Doberman</v>
      </c>
    </row>
    <row r="1448">
      <c r="A1448" s="1" t="str">
        <f t="shared" si="291"/>
        <v>Dog Obedience Training</v>
      </c>
      <c r="B1448" s="1" t="str">
        <f t="shared" si="290"/>
        <v>https://m566.info/zvth2r9</v>
      </c>
      <c r="C1448" s="1" t="str">
        <f>HYPERLINK("https://m566.info/zvth2r9","German Shepherd")</f>
        <v>German Shepherd</v>
      </c>
    </row>
    <row r="1449">
      <c r="A1449" s="1" t="str">
        <f t="shared" si="291"/>
        <v>Dog Obedience Training</v>
      </c>
      <c r="B1449" s="1" t="str">
        <f t="shared" si="290"/>
        <v>https://m566.info/zvth2r9</v>
      </c>
      <c r="C1449" s="1" t="str">
        <f>HYPERLINK("https://m566.info/zvth2r9","Border Clollie")</f>
        <v>Border Clollie</v>
      </c>
    </row>
    <row r="1450">
      <c r="A1450" s="1" t="str">
        <f t="shared" si="291"/>
        <v>Dog Obedience Training</v>
      </c>
      <c r="B1450" s="1" t="str">
        <f t="shared" si="290"/>
        <v>https://m566.info/zvth2r9</v>
      </c>
      <c r="C1450" s="1" t="str">
        <f>HYPERLINK("https://m566.info/zvth2r9","Rotwieller")</f>
        <v>Rotwieller</v>
      </c>
    </row>
    <row r="1451">
      <c r="A1451" s="1" t="str">
        <f t="shared" si="291"/>
        <v>Dog Obedience Training</v>
      </c>
      <c r="B1451" s="1" t="str">
        <f t="shared" si="290"/>
        <v>https://m566.info/zvth2r9</v>
      </c>
      <c r="C1451" s="1" t="str">
        <f>HYPERLINK("https://m566.info/zvth2r9","Cross Bred")</f>
        <v>Cross Bred</v>
      </c>
    </row>
    <row r="1452">
      <c r="A1452" s="1" t="str">
        <f t="shared" si="291"/>
        <v>Dog Obedience Training</v>
      </c>
      <c r="B1452" s="1" t="str">
        <f t="shared" si="290"/>
        <v>https://m566.info/zvth2r9</v>
      </c>
      <c r="C1452" s="1" t="str">
        <f>HYPERLINK("https://m566.info/zvth2r9","Rotweiller")</f>
        <v>Rotweiller</v>
      </c>
    </row>
    <row r="1453">
      <c r="A1453" s="1" t="str">
        <f t="shared" ref="A1453:A1458" si="292">HYPERLINK("https://m566.info/zvth2r9","Dog House Training")</f>
        <v>Dog House Training</v>
      </c>
      <c r="B1453" s="1" t="str">
        <f t="shared" si="290"/>
        <v>https://m566.info/zvth2r9</v>
      </c>
      <c r="C1453" s="1" t="str">
        <f>HYPERLINK("https://m566.info/zvth2r9","Doberman")</f>
        <v>Doberman</v>
      </c>
    </row>
    <row r="1454">
      <c r="A1454" s="1" t="str">
        <f t="shared" si="292"/>
        <v>Dog House Training</v>
      </c>
      <c r="B1454" s="1" t="str">
        <f t="shared" si="290"/>
        <v>https://m566.info/zvth2r9</v>
      </c>
      <c r="C1454" s="1" t="str">
        <f>HYPERLINK("https://m566.info/zvth2r9","German Shepherd")</f>
        <v>German Shepherd</v>
      </c>
    </row>
    <row r="1455">
      <c r="A1455" s="1" t="str">
        <f t="shared" si="292"/>
        <v>Dog House Training</v>
      </c>
      <c r="B1455" s="1" t="str">
        <f t="shared" si="290"/>
        <v>https://m566.info/zvth2r9</v>
      </c>
      <c r="C1455" s="1" t="str">
        <f>HYPERLINK("https://m566.info/zvth2r9","Border Clollie")</f>
        <v>Border Clollie</v>
      </c>
    </row>
    <row r="1456">
      <c r="A1456" s="1" t="str">
        <f t="shared" si="292"/>
        <v>Dog House Training</v>
      </c>
      <c r="B1456" s="1" t="str">
        <f t="shared" si="290"/>
        <v>https://m566.info/zvth2r9</v>
      </c>
      <c r="C1456" s="1" t="str">
        <f>HYPERLINK("https://m566.info/zvth2r9","Rotwieller")</f>
        <v>Rotwieller</v>
      </c>
    </row>
    <row r="1457">
      <c r="A1457" s="1" t="str">
        <f t="shared" si="292"/>
        <v>Dog House Training</v>
      </c>
      <c r="B1457" s="1" t="str">
        <f t="shared" si="290"/>
        <v>https://m566.info/zvth2r9</v>
      </c>
      <c r="C1457" s="1" t="str">
        <f>HYPERLINK("https://m566.info/zvth2r9","Cross Bred")</f>
        <v>Cross Bred</v>
      </c>
    </row>
    <row r="1458">
      <c r="A1458" s="1" t="str">
        <f t="shared" si="292"/>
        <v>Dog House Training</v>
      </c>
      <c r="B1458" s="1" t="str">
        <f t="shared" si="290"/>
        <v>https://m566.info/zvth2r9</v>
      </c>
      <c r="C1458" s="1" t="str">
        <f>HYPERLINK("https://m566.info/zvth2r9","Rotweiller")</f>
        <v>Rotweiller</v>
      </c>
    </row>
    <row r="1459">
      <c r="A1459" s="1" t="str">
        <f t="shared" ref="A1459:A1464" si="293">HYPERLINK("https://m566.info/zvth2r9","Dog Behaviour Training")</f>
        <v>Dog Behaviour Training</v>
      </c>
      <c r="B1459" s="1" t="str">
        <f t="shared" si="290"/>
        <v>https://m566.info/zvth2r9</v>
      </c>
      <c r="C1459" s="1" t="str">
        <f>HYPERLINK("https://m566.info/zvth2r9","Doberman")</f>
        <v>Doberman</v>
      </c>
    </row>
    <row r="1460">
      <c r="A1460" s="1" t="str">
        <f t="shared" si="293"/>
        <v>Dog Behaviour Training</v>
      </c>
      <c r="B1460" s="1" t="str">
        <f t="shared" si="290"/>
        <v>https://m566.info/zvth2r9</v>
      </c>
      <c r="C1460" s="1" t="str">
        <f>HYPERLINK("https://m566.info/zvth2r9","German Shepherd")</f>
        <v>German Shepherd</v>
      </c>
    </row>
    <row r="1461">
      <c r="A1461" s="1" t="str">
        <f t="shared" si="293"/>
        <v>Dog Behaviour Training</v>
      </c>
      <c r="B1461" s="1" t="str">
        <f t="shared" si="290"/>
        <v>https://m566.info/zvth2r9</v>
      </c>
      <c r="C1461" s="1" t="str">
        <f>HYPERLINK("https://m566.info/zvth2r9","Border Clollie")</f>
        <v>Border Clollie</v>
      </c>
    </row>
    <row r="1462">
      <c r="A1462" s="1" t="str">
        <f t="shared" si="293"/>
        <v>Dog Behaviour Training</v>
      </c>
      <c r="B1462" s="1" t="str">
        <f t="shared" si="290"/>
        <v>https://m566.info/zvth2r9</v>
      </c>
      <c r="C1462" s="1" t="str">
        <f>HYPERLINK("https://m566.info/zvth2r9","Rotwieller")</f>
        <v>Rotwieller</v>
      </c>
    </row>
    <row r="1463">
      <c r="A1463" s="1" t="str">
        <f t="shared" si="293"/>
        <v>Dog Behaviour Training</v>
      </c>
      <c r="B1463" s="1" t="str">
        <f t="shared" si="290"/>
        <v>https://m566.info/zvth2r9</v>
      </c>
      <c r="C1463" s="1" t="str">
        <f>HYPERLINK("https://m566.info/zvth2r9","Cross Bred")</f>
        <v>Cross Bred</v>
      </c>
    </row>
    <row r="1464">
      <c r="A1464" s="1" t="str">
        <f t="shared" si="293"/>
        <v>Dog Behaviour Training</v>
      </c>
      <c r="B1464" s="1" t="str">
        <f t="shared" si="290"/>
        <v>https://m566.info/zvth2r9</v>
      </c>
      <c r="C1464" s="1" t="str">
        <f>HYPERLINK("https://m566.info/zvth2r9","Rotweiller")</f>
        <v>Rotweiller</v>
      </c>
    </row>
    <row r="1465">
      <c r="A1465" s="1" t="str">
        <f t="shared" ref="A1465:A1470" si="294">HYPERLINK("https://m566.info/zvth2r9","Dog : Elite Training")</f>
        <v>Dog : Elite Training</v>
      </c>
      <c r="B1465" s="1" t="str">
        <f t="shared" si="290"/>
        <v>https://m566.info/zvth2r9</v>
      </c>
      <c r="C1465" s="1" t="str">
        <f>HYPERLINK("https://m566.info/zvth2r9","Doberman")</f>
        <v>Doberman</v>
      </c>
    </row>
    <row r="1466">
      <c r="A1466" s="1" t="str">
        <f t="shared" si="294"/>
        <v>Dog : Elite Training</v>
      </c>
      <c r="B1466" s="1" t="str">
        <f t="shared" si="290"/>
        <v>https://m566.info/zvth2r9</v>
      </c>
      <c r="C1466" s="1" t="str">
        <f>HYPERLINK("https://m566.info/zvth2r9","German Shepherd")</f>
        <v>German Shepherd</v>
      </c>
    </row>
    <row r="1467">
      <c r="A1467" s="1" t="str">
        <f t="shared" si="294"/>
        <v>Dog : Elite Training</v>
      </c>
      <c r="B1467" s="1" t="str">
        <f t="shared" si="290"/>
        <v>https://m566.info/zvth2r9</v>
      </c>
      <c r="C1467" s="1" t="str">
        <f>HYPERLINK("https://m566.info/zvth2r9","Border Clollie")</f>
        <v>Border Clollie</v>
      </c>
    </row>
    <row r="1468">
      <c r="A1468" s="1" t="str">
        <f t="shared" si="294"/>
        <v>Dog : Elite Training</v>
      </c>
      <c r="B1468" s="1" t="str">
        <f t="shared" si="290"/>
        <v>https://m566.info/zvth2r9</v>
      </c>
      <c r="C1468" s="1" t="str">
        <f>HYPERLINK("https://m566.info/zvth2r9","Rotwieller")</f>
        <v>Rotwieller</v>
      </c>
    </row>
    <row r="1469">
      <c r="A1469" s="1" t="str">
        <f t="shared" si="294"/>
        <v>Dog : Elite Training</v>
      </c>
      <c r="B1469" s="1" t="str">
        <f t="shared" si="290"/>
        <v>https://m566.info/zvth2r9</v>
      </c>
      <c r="C1469" s="1" t="str">
        <f>HYPERLINK("https://m566.info/zvth2r9","Cross Bred")</f>
        <v>Cross Bred</v>
      </c>
    </row>
    <row r="1470">
      <c r="A1470" s="1" t="str">
        <f t="shared" si="294"/>
        <v>Dog : Elite Training</v>
      </c>
      <c r="B1470" s="1" t="str">
        <f t="shared" si="290"/>
        <v>https://m566.info/zvth2r9</v>
      </c>
      <c r="C1470" s="1" t="str">
        <f>HYPERLINK("https://m566.info/zvth2r9","Rotweiller")</f>
        <v>Rotweiller</v>
      </c>
    </row>
    <row r="1471">
      <c r="A1471" s="1" t="str">
        <f t="shared" ref="A1471:A1476" si="295">HYPERLINK("https://m566.info/6ohfyu6","Dog Aggression Training")</f>
        <v>Dog Aggression Training</v>
      </c>
      <c r="B1471" s="1" t="str">
        <f t="shared" ref="B1471:B1500" si="296">HYPERLINK("https://m566.info/6ohfyu6","https://m566.info/6ohfyu6")</f>
        <v>https://m566.info/6ohfyu6</v>
      </c>
      <c r="C1471" s="1" t="str">
        <f>HYPERLINK("https://m566.info/6ohfyu6","Doberman")</f>
        <v>Doberman</v>
      </c>
    </row>
    <row r="1472">
      <c r="A1472" s="1" t="str">
        <f t="shared" si="295"/>
        <v>Dog Aggression Training</v>
      </c>
      <c r="B1472" s="1" t="str">
        <f t="shared" si="296"/>
        <v>https://m566.info/6ohfyu6</v>
      </c>
      <c r="C1472" s="1" t="str">
        <f>HYPERLINK("https://m566.info/6ohfyu6","German Shepherd")</f>
        <v>German Shepherd</v>
      </c>
    </row>
    <row r="1473">
      <c r="A1473" s="1" t="str">
        <f t="shared" si="295"/>
        <v>Dog Aggression Training</v>
      </c>
      <c r="B1473" s="1" t="str">
        <f t="shared" si="296"/>
        <v>https://m566.info/6ohfyu6</v>
      </c>
      <c r="C1473" s="1" t="str">
        <f>HYPERLINK("https://m566.info/6ohfyu6","Border Clollie")</f>
        <v>Border Clollie</v>
      </c>
    </row>
    <row r="1474">
      <c r="A1474" s="1" t="str">
        <f t="shared" si="295"/>
        <v>Dog Aggression Training</v>
      </c>
      <c r="B1474" s="1" t="str">
        <f t="shared" si="296"/>
        <v>https://m566.info/6ohfyu6</v>
      </c>
      <c r="C1474" s="1" t="str">
        <f>HYPERLINK("https://m566.info/6ohfyu6","Rotwieller")</f>
        <v>Rotwieller</v>
      </c>
    </row>
    <row r="1475">
      <c r="A1475" s="1" t="str">
        <f t="shared" si="295"/>
        <v>Dog Aggression Training</v>
      </c>
      <c r="B1475" s="1" t="str">
        <f t="shared" si="296"/>
        <v>https://m566.info/6ohfyu6</v>
      </c>
      <c r="C1475" s="1" t="str">
        <f>HYPERLINK("https://m566.info/6ohfyu6","Cross Bred")</f>
        <v>Cross Bred</v>
      </c>
    </row>
    <row r="1476">
      <c r="A1476" s="1" t="str">
        <f t="shared" si="295"/>
        <v>Dog Aggression Training</v>
      </c>
      <c r="B1476" s="1" t="str">
        <f t="shared" si="296"/>
        <v>https://m566.info/6ohfyu6</v>
      </c>
      <c r="C1476" s="1" t="str">
        <f>HYPERLINK("https://m566.info/6ohfyu6","Rotweiller")</f>
        <v>Rotweiller</v>
      </c>
    </row>
    <row r="1477">
      <c r="A1477" s="1" t="str">
        <f t="shared" ref="A1477:A1482" si="297">HYPERLINK("https://m566.info/6ohfyu6","Dog Obedience Training")</f>
        <v>Dog Obedience Training</v>
      </c>
      <c r="B1477" s="1" t="str">
        <f t="shared" si="296"/>
        <v>https://m566.info/6ohfyu6</v>
      </c>
      <c r="C1477" s="1" t="str">
        <f>HYPERLINK("https://m566.info/6ohfyu6","Doberman")</f>
        <v>Doberman</v>
      </c>
    </row>
    <row r="1478">
      <c r="A1478" s="1" t="str">
        <f t="shared" si="297"/>
        <v>Dog Obedience Training</v>
      </c>
      <c r="B1478" s="1" t="str">
        <f t="shared" si="296"/>
        <v>https://m566.info/6ohfyu6</v>
      </c>
      <c r="C1478" s="1" t="str">
        <f>HYPERLINK("https://m566.info/6ohfyu6","German Shepherd")</f>
        <v>German Shepherd</v>
      </c>
    </row>
    <row r="1479">
      <c r="A1479" s="1" t="str">
        <f t="shared" si="297"/>
        <v>Dog Obedience Training</v>
      </c>
      <c r="B1479" s="1" t="str">
        <f t="shared" si="296"/>
        <v>https://m566.info/6ohfyu6</v>
      </c>
      <c r="C1479" s="1" t="str">
        <f>HYPERLINK("https://m566.info/6ohfyu6","Border Clollie")</f>
        <v>Border Clollie</v>
      </c>
    </row>
    <row r="1480">
      <c r="A1480" s="1" t="str">
        <f t="shared" si="297"/>
        <v>Dog Obedience Training</v>
      </c>
      <c r="B1480" s="1" t="str">
        <f t="shared" si="296"/>
        <v>https://m566.info/6ohfyu6</v>
      </c>
      <c r="C1480" s="1" t="str">
        <f>HYPERLINK("https://m566.info/6ohfyu6","Rotwieller")</f>
        <v>Rotwieller</v>
      </c>
    </row>
    <row r="1481">
      <c r="A1481" s="1" t="str">
        <f t="shared" si="297"/>
        <v>Dog Obedience Training</v>
      </c>
      <c r="B1481" s="1" t="str">
        <f t="shared" si="296"/>
        <v>https://m566.info/6ohfyu6</v>
      </c>
      <c r="C1481" s="1" t="str">
        <f>HYPERLINK("https://m566.info/6ohfyu6","Cross Bred")</f>
        <v>Cross Bred</v>
      </c>
    </row>
    <row r="1482">
      <c r="A1482" s="1" t="str">
        <f t="shared" si="297"/>
        <v>Dog Obedience Training</v>
      </c>
      <c r="B1482" s="1" t="str">
        <f t="shared" si="296"/>
        <v>https://m566.info/6ohfyu6</v>
      </c>
      <c r="C1482" s="1" t="str">
        <f>HYPERLINK("https://m566.info/6ohfyu6","Rotweiller")</f>
        <v>Rotweiller</v>
      </c>
    </row>
    <row r="1483">
      <c r="A1483" s="1" t="str">
        <f t="shared" ref="A1483:A1488" si="298">HYPERLINK("https://m566.info/6ohfyu6","Dog House Training")</f>
        <v>Dog House Training</v>
      </c>
      <c r="B1483" s="1" t="str">
        <f t="shared" si="296"/>
        <v>https://m566.info/6ohfyu6</v>
      </c>
      <c r="C1483" s="1" t="str">
        <f>HYPERLINK("https://m566.info/6ohfyu6","Doberman")</f>
        <v>Doberman</v>
      </c>
    </row>
    <row r="1484">
      <c r="A1484" s="1" t="str">
        <f t="shared" si="298"/>
        <v>Dog House Training</v>
      </c>
      <c r="B1484" s="1" t="str">
        <f t="shared" si="296"/>
        <v>https://m566.info/6ohfyu6</v>
      </c>
      <c r="C1484" s="1" t="str">
        <f>HYPERLINK("https://m566.info/6ohfyu6","German Shepherd")</f>
        <v>German Shepherd</v>
      </c>
    </row>
    <row r="1485">
      <c r="A1485" s="1" t="str">
        <f t="shared" si="298"/>
        <v>Dog House Training</v>
      </c>
      <c r="B1485" s="1" t="str">
        <f t="shared" si="296"/>
        <v>https://m566.info/6ohfyu6</v>
      </c>
      <c r="C1485" s="1" t="str">
        <f>HYPERLINK("https://m566.info/6ohfyu6","Border Clollie")</f>
        <v>Border Clollie</v>
      </c>
    </row>
    <row r="1486">
      <c r="A1486" s="1" t="str">
        <f t="shared" si="298"/>
        <v>Dog House Training</v>
      </c>
      <c r="B1486" s="1" t="str">
        <f t="shared" si="296"/>
        <v>https://m566.info/6ohfyu6</v>
      </c>
      <c r="C1486" s="1" t="str">
        <f>HYPERLINK("https://m566.info/6ohfyu6","Rotwieller")</f>
        <v>Rotwieller</v>
      </c>
    </row>
    <row r="1487">
      <c r="A1487" s="1" t="str">
        <f t="shared" si="298"/>
        <v>Dog House Training</v>
      </c>
      <c r="B1487" s="1" t="str">
        <f t="shared" si="296"/>
        <v>https://m566.info/6ohfyu6</v>
      </c>
      <c r="C1487" s="1" t="str">
        <f>HYPERLINK("https://m566.info/6ohfyu6","Cross Bred")</f>
        <v>Cross Bred</v>
      </c>
    </row>
    <row r="1488">
      <c r="A1488" s="1" t="str">
        <f t="shared" si="298"/>
        <v>Dog House Training</v>
      </c>
      <c r="B1488" s="1" t="str">
        <f t="shared" si="296"/>
        <v>https://m566.info/6ohfyu6</v>
      </c>
      <c r="C1488" s="1" t="str">
        <f>HYPERLINK("https://m566.info/6ohfyu6","Rotweiller")</f>
        <v>Rotweiller</v>
      </c>
    </row>
    <row r="1489">
      <c r="A1489" s="1" t="str">
        <f t="shared" ref="A1489:A1494" si="299">HYPERLINK("https://m566.info/6ohfyu6","Dog Behaviour Training")</f>
        <v>Dog Behaviour Training</v>
      </c>
      <c r="B1489" s="1" t="str">
        <f t="shared" si="296"/>
        <v>https://m566.info/6ohfyu6</v>
      </c>
      <c r="C1489" s="1" t="str">
        <f>HYPERLINK("https://m566.info/6ohfyu6","Doberman")</f>
        <v>Doberman</v>
      </c>
    </row>
    <row r="1490">
      <c r="A1490" s="1" t="str">
        <f t="shared" si="299"/>
        <v>Dog Behaviour Training</v>
      </c>
      <c r="B1490" s="1" t="str">
        <f t="shared" si="296"/>
        <v>https://m566.info/6ohfyu6</v>
      </c>
      <c r="C1490" s="1" t="str">
        <f>HYPERLINK("https://m566.info/6ohfyu6","German Shepherd")</f>
        <v>German Shepherd</v>
      </c>
    </row>
    <row r="1491">
      <c r="A1491" s="1" t="str">
        <f t="shared" si="299"/>
        <v>Dog Behaviour Training</v>
      </c>
      <c r="B1491" s="1" t="str">
        <f t="shared" si="296"/>
        <v>https://m566.info/6ohfyu6</v>
      </c>
      <c r="C1491" s="1" t="str">
        <f>HYPERLINK("https://m566.info/6ohfyu6","Border Clollie")</f>
        <v>Border Clollie</v>
      </c>
    </row>
    <row r="1492">
      <c r="A1492" s="1" t="str">
        <f t="shared" si="299"/>
        <v>Dog Behaviour Training</v>
      </c>
      <c r="B1492" s="1" t="str">
        <f t="shared" si="296"/>
        <v>https://m566.info/6ohfyu6</v>
      </c>
      <c r="C1492" s="1" t="str">
        <f>HYPERLINK("https://m566.info/6ohfyu6","Rotwieller")</f>
        <v>Rotwieller</v>
      </c>
    </row>
    <row r="1493">
      <c r="A1493" s="1" t="str">
        <f t="shared" si="299"/>
        <v>Dog Behaviour Training</v>
      </c>
      <c r="B1493" s="1" t="str">
        <f t="shared" si="296"/>
        <v>https://m566.info/6ohfyu6</v>
      </c>
      <c r="C1493" s="1" t="str">
        <f>HYPERLINK("https://m566.info/6ohfyu6","Cross Bred")</f>
        <v>Cross Bred</v>
      </c>
    </row>
    <row r="1494">
      <c r="A1494" s="1" t="str">
        <f t="shared" si="299"/>
        <v>Dog Behaviour Training</v>
      </c>
      <c r="B1494" s="1" t="str">
        <f t="shared" si="296"/>
        <v>https://m566.info/6ohfyu6</v>
      </c>
      <c r="C1494" s="1" t="str">
        <f>HYPERLINK("https://m566.info/6ohfyu6","Rotweiller")</f>
        <v>Rotweiller</v>
      </c>
    </row>
    <row r="1495">
      <c r="A1495" s="1" t="str">
        <f t="shared" ref="A1495:A1500" si="300">HYPERLINK("https://m566.info/6ohfyu6","Dog : Elite Training")</f>
        <v>Dog : Elite Training</v>
      </c>
      <c r="B1495" s="1" t="str">
        <f t="shared" si="296"/>
        <v>https://m566.info/6ohfyu6</v>
      </c>
      <c r="C1495" s="1" t="str">
        <f>HYPERLINK("https://m566.info/6ohfyu6","Doberman")</f>
        <v>Doberman</v>
      </c>
    </row>
    <row r="1496">
      <c r="A1496" s="1" t="str">
        <f t="shared" si="300"/>
        <v>Dog : Elite Training</v>
      </c>
      <c r="B1496" s="1" t="str">
        <f t="shared" si="296"/>
        <v>https://m566.info/6ohfyu6</v>
      </c>
      <c r="C1496" s="1" t="str">
        <f>HYPERLINK("https://m566.info/6ohfyu6","German Shepherd")</f>
        <v>German Shepherd</v>
      </c>
    </row>
    <row r="1497">
      <c r="A1497" s="1" t="str">
        <f t="shared" si="300"/>
        <v>Dog : Elite Training</v>
      </c>
      <c r="B1497" s="1" t="str">
        <f t="shared" si="296"/>
        <v>https://m566.info/6ohfyu6</v>
      </c>
      <c r="C1497" s="1" t="str">
        <f>HYPERLINK("https://m566.info/6ohfyu6","Border Clollie")</f>
        <v>Border Clollie</v>
      </c>
    </row>
    <row r="1498">
      <c r="A1498" s="1" t="str">
        <f t="shared" si="300"/>
        <v>Dog : Elite Training</v>
      </c>
      <c r="B1498" s="1" t="str">
        <f t="shared" si="296"/>
        <v>https://m566.info/6ohfyu6</v>
      </c>
      <c r="C1498" s="1" t="str">
        <f>HYPERLINK("https://m566.info/6ohfyu6","Rotwieller")</f>
        <v>Rotwieller</v>
      </c>
    </row>
    <row r="1499">
      <c r="A1499" s="1" t="str">
        <f t="shared" si="300"/>
        <v>Dog : Elite Training</v>
      </c>
      <c r="B1499" s="1" t="str">
        <f t="shared" si="296"/>
        <v>https://m566.info/6ohfyu6</v>
      </c>
      <c r="C1499" s="1" t="str">
        <f>HYPERLINK("https://m566.info/6ohfyu6","Cross Bred")</f>
        <v>Cross Bred</v>
      </c>
    </row>
    <row r="1500">
      <c r="A1500" s="1" t="str">
        <f t="shared" si="300"/>
        <v>Dog : Elite Training</v>
      </c>
      <c r="B1500" s="1" t="str">
        <f t="shared" si="296"/>
        <v>https://m566.info/6ohfyu6</v>
      </c>
      <c r="C1500" s="1" t="str">
        <f>HYPERLINK("https://m566.info/6ohfyu6","Rotweiller")</f>
        <v>Rotweiller</v>
      </c>
    </row>
    <row r="1501">
      <c r="A1501" s="1" t="str">
        <f t="shared" ref="A1501:A1506" si="301">HYPERLINK("https://m566.info/fs0a95g","Dog Aggression Training")</f>
        <v>Dog Aggression Training</v>
      </c>
      <c r="B1501" s="1" t="str">
        <f t="shared" ref="B1501:B1530" si="302">HYPERLINK("https://m566.info/fs0a95g","https://m566.info/fs0a95g")</f>
        <v>https://m566.info/fs0a95g</v>
      </c>
      <c r="C1501" s="1" t="str">
        <f>HYPERLINK("https://m566.info/fs0a95g","Doberman")</f>
        <v>Doberman</v>
      </c>
    </row>
    <row r="1502">
      <c r="A1502" s="1" t="str">
        <f t="shared" si="301"/>
        <v>Dog Aggression Training</v>
      </c>
      <c r="B1502" s="1" t="str">
        <f t="shared" si="302"/>
        <v>https://m566.info/fs0a95g</v>
      </c>
      <c r="C1502" s="1" t="str">
        <f>HYPERLINK("https://m566.info/fs0a95g","German Shepherd")</f>
        <v>German Shepherd</v>
      </c>
    </row>
    <row r="1503">
      <c r="A1503" s="1" t="str">
        <f t="shared" si="301"/>
        <v>Dog Aggression Training</v>
      </c>
      <c r="B1503" s="1" t="str">
        <f t="shared" si="302"/>
        <v>https://m566.info/fs0a95g</v>
      </c>
      <c r="C1503" s="1" t="str">
        <f>HYPERLINK("https://m566.info/fs0a95g","Border Clollie")</f>
        <v>Border Clollie</v>
      </c>
    </row>
    <row r="1504">
      <c r="A1504" s="1" t="str">
        <f t="shared" si="301"/>
        <v>Dog Aggression Training</v>
      </c>
      <c r="B1504" s="1" t="str">
        <f t="shared" si="302"/>
        <v>https://m566.info/fs0a95g</v>
      </c>
      <c r="C1504" s="1" t="str">
        <f>HYPERLINK("https://m566.info/fs0a95g","Rotwieller")</f>
        <v>Rotwieller</v>
      </c>
    </row>
    <row r="1505">
      <c r="A1505" s="1" t="str">
        <f t="shared" si="301"/>
        <v>Dog Aggression Training</v>
      </c>
      <c r="B1505" s="1" t="str">
        <f t="shared" si="302"/>
        <v>https://m566.info/fs0a95g</v>
      </c>
      <c r="C1505" s="1" t="str">
        <f>HYPERLINK("https://m566.info/fs0a95g","Cross Bred")</f>
        <v>Cross Bred</v>
      </c>
    </row>
    <row r="1506">
      <c r="A1506" s="1" t="str">
        <f t="shared" si="301"/>
        <v>Dog Aggression Training</v>
      </c>
      <c r="B1506" s="1" t="str">
        <f t="shared" si="302"/>
        <v>https://m566.info/fs0a95g</v>
      </c>
      <c r="C1506" s="1" t="str">
        <f>HYPERLINK("https://m566.info/fs0a95g","Rotweiller")</f>
        <v>Rotweiller</v>
      </c>
    </row>
    <row r="1507">
      <c r="A1507" s="1" t="str">
        <f t="shared" ref="A1507:A1512" si="303">HYPERLINK("https://m566.info/fs0a95g","Dog Obedience Training")</f>
        <v>Dog Obedience Training</v>
      </c>
      <c r="B1507" s="1" t="str">
        <f t="shared" si="302"/>
        <v>https://m566.info/fs0a95g</v>
      </c>
      <c r="C1507" s="1" t="str">
        <f>HYPERLINK("https://m566.info/fs0a95g","Doberman")</f>
        <v>Doberman</v>
      </c>
    </row>
    <row r="1508">
      <c r="A1508" s="1" t="str">
        <f t="shared" si="303"/>
        <v>Dog Obedience Training</v>
      </c>
      <c r="B1508" s="1" t="str">
        <f t="shared" si="302"/>
        <v>https://m566.info/fs0a95g</v>
      </c>
      <c r="C1508" s="1" t="str">
        <f>HYPERLINK("https://m566.info/fs0a95g","German Shepherd")</f>
        <v>German Shepherd</v>
      </c>
    </row>
    <row r="1509">
      <c r="A1509" s="1" t="str">
        <f t="shared" si="303"/>
        <v>Dog Obedience Training</v>
      </c>
      <c r="B1509" s="1" t="str">
        <f t="shared" si="302"/>
        <v>https://m566.info/fs0a95g</v>
      </c>
      <c r="C1509" s="1" t="str">
        <f>HYPERLINK("https://m566.info/fs0a95g","Border Clollie")</f>
        <v>Border Clollie</v>
      </c>
    </row>
    <row r="1510">
      <c r="A1510" s="1" t="str">
        <f t="shared" si="303"/>
        <v>Dog Obedience Training</v>
      </c>
      <c r="B1510" s="1" t="str">
        <f t="shared" si="302"/>
        <v>https://m566.info/fs0a95g</v>
      </c>
      <c r="C1510" s="1" t="str">
        <f>HYPERLINK("https://m566.info/fs0a95g","Rotwieller")</f>
        <v>Rotwieller</v>
      </c>
    </row>
    <row r="1511">
      <c r="A1511" s="1" t="str">
        <f t="shared" si="303"/>
        <v>Dog Obedience Training</v>
      </c>
      <c r="B1511" s="1" t="str">
        <f t="shared" si="302"/>
        <v>https://m566.info/fs0a95g</v>
      </c>
      <c r="C1511" s="1" t="str">
        <f>HYPERLINK("https://m566.info/fs0a95g","Cross Bred")</f>
        <v>Cross Bred</v>
      </c>
    </row>
    <row r="1512">
      <c r="A1512" s="1" t="str">
        <f t="shared" si="303"/>
        <v>Dog Obedience Training</v>
      </c>
      <c r="B1512" s="1" t="str">
        <f t="shared" si="302"/>
        <v>https://m566.info/fs0a95g</v>
      </c>
      <c r="C1512" s="1" t="str">
        <f>HYPERLINK("https://m566.info/fs0a95g","Rotweiller")</f>
        <v>Rotweiller</v>
      </c>
    </row>
    <row r="1513">
      <c r="A1513" s="1" t="str">
        <f t="shared" ref="A1513:A1518" si="304">HYPERLINK("https://m566.info/fs0a95g","Dog House Training")</f>
        <v>Dog House Training</v>
      </c>
      <c r="B1513" s="1" t="str">
        <f t="shared" si="302"/>
        <v>https://m566.info/fs0a95g</v>
      </c>
      <c r="C1513" s="1" t="str">
        <f>HYPERLINK("https://m566.info/fs0a95g","Doberman")</f>
        <v>Doberman</v>
      </c>
    </row>
    <row r="1514">
      <c r="A1514" s="1" t="str">
        <f t="shared" si="304"/>
        <v>Dog House Training</v>
      </c>
      <c r="B1514" s="1" t="str">
        <f t="shared" si="302"/>
        <v>https://m566.info/fs0a95g</v>
      </c>
      <c r="C1514" s="1" t="str">
        <f>HYPERLINK("https://m566.info/fs0a95g","German Shepherd")</f>
        <v>German Shepherd</v>
      </c>
    </row>
    <row r="1515">
      <c r="A1515" s="1" t="str">
        <f t="shared" si="304"/>
        <v>Dog House Training</v>
      </c>
      <c r="B1515" s="1" t="str">
        <f t="shared" si="302"/>
        <v>https://m566.info/fs0a95g</v>
      </c>
      <c r="C1515" s="1" t="str">
        <f>HYPERLINK("https://m566.info/fs0a95g","Border Clollie")</f>
        <v>Border Clollie</v>
      </c>
    </row>
    <row r="1516">
      <c r="A1516" s="1" t="str">
        <f t="shared" si="304"/>
        <v>Dog House Training</v>
      </c>
      <c r="B1516" s="1" t="str">
        <f t="shared" si="302"/>
        <v>https://m566.info/fs0a95g</v>
      </c>
      <c r="C1516" s="1" t="str">
        <f>HYPERLINK("https://m566.info/fs0a95g","Rotwieller")</f>
        <v>Rotwieller</v>
      </c>
    </row>
    <row r="1517">
      <c r="A1517" s="1" t="str">
        <f t="shared" si="304"/>
        <v>Dog House Training</v>
      </c>
      <c r="B1517" s="1" t="str">
        <f t="shared" si="302"/>
        <v>https://m566.info/fs0a95g</v>
      </c>
      <c r="C1517" s="1" t="str">
        <f>HYPERLINK("https://m566.info/fs0a95g","Cross Bred")</f>
        <v>Cross Bred</v>
      </c>
    </row>
    <row r="1518">
      <c r="A1518" s="1" t="str">
        <f t="shared" si="304"/>
        <v>Dog House Training</v>
      </c>
      <c r="B1518" s="1" t="str">
        <f t="shared" si="302"/>
        <v>https://m566.info/fs0a95g</v>
      </c>
      <c r="C1518" s="1" t="str">
        <f>HYPERLINK("https://m566.info/fs0a95g","Rotweiller")</f>
        <v>Rotweiller</v>
      </c>
    </row>
    <row r="1519">
      <c r="A1519" s="1" t="str">
        <f t="shared" ref="A1519:A1524" si="305">HYPERLINK("https://m566.info/fs0a95g","Dog Behaviour Training")</f>
        <v>Dog Behaviour Training</v>
      </c>
      <c r="B1519" s="1" t="str">
        <f t="shared" si="302"/>
        <v>https://m566.info/fs0a95g</v>
      </c>
      <c r="C1519" s="1" t="str">
        <f>HYPERLINK("https://m566.info/fs0a95g","Doberman")</f>
        <v>Doberman</v>
      </c>
    </row>
    <row r="1520">
      <c r="A1520" s="1" t="str">
        <f t="shared" si="305"/>
        <v>Dog Behaviour Training</v>
      </c>
      <c r="B1520" s="1" t="str">
        <f t="shared" si="302"/>
        <v>https://m566.info/fs0a95g</v>
      </c>
      <c r="C1520" s="1" t="str">
        <f>HYPERLINK("https://m566.info/fs0a95g","German Shepherd")</f>
        <v>German Shepherd</v>
      </c>
    </row>
    <row r="1521">
      <c r="A1521" s="1" t="str">
        <f t="shared" si="305"/>
        <v>Dog Behaviour Training</v>
      </c>
      <c r="B1521" s="1" t="str">
        <f t="shared" si="302"/>
        <v>https://m566.info/fs0a95g</v>
      </c>
      <c r="C1521" s="1" t="str">
        <f>HYPERLINK("https://m566.info/fs0a95g","Border Clollie")</f>
        <v>Border Clollie</v>
      </c>
    </row>
    <row r="1522">
      <c r="A1522" s="1" t="str">
        <f t="shared" si="305"/>
        <v>Dog Behaviour Training</v>
      </c>
      <c r="B1522" s="1" t="str">
        <f t="shared" si="302"/>
        <v>https://m566.info/fs0a95g</v>
      </c>
      <c r="C1522" s="1" t="str">
        <f>HYPERLINK("https://m566.info/fs0a95g","Rotwieller")</f>
        <v>Rotwieller</v>
      </c>
    </row>
    <row r="1523">
      <c r="A1523" s="1" t="str">
        <f t="shared" si="305"/>
        <v>Dog Behaviour Training</v>
      </c>
      <c r="B1523" s="1" t="str">
        <f t="shared" si="302"/>
        <v>https://m566.info/fs0a95g</v>
      </c>
      <c r="C1523" s="1" t="str">
        <f>HYPERLINK("https://m566.info/fs0a95g","Cross Bred")</f>
        <v>Cross Bred</v>
      </c>
    </row>
    <row r="1524">
      <c r="A1524" s="1" t="str">
        <f t="shared" si="305"/>
        <v>Dog Behaviour Training</v>
      </c>
      <c r="B1524" s="1" t="str">
        <f t="shared" si="302"/>
        <v>https://m566.info/fs0a95g</v>
      </c>
      <c r="C1524" s="1" t="str">
        <f>HYPERLINK("https://m566.info/fs0a95g","Rotweiller")</f>
        <v>Rotweiller</v>
      </c>
    </row>
    <row r="1525">
      <c r="A1525" s="1" t="str">
        <f t="shared" ref="A1525:A1530" si="306">HYPERLINK("https://m566.info/fs0a95g","Dog : Elite Training")</f>
        <v>Dog : Elite Training</v>
      </c>
      <c r="B1525" s="1" t="str">
        <f t="shared" si="302"/>
        <v>https://m566.info/fs0a95g</v>
      </c>
      <c r="C1525" s="1" t="str">
        <f>HYPERLINK("https://m566.info/fs0a95g","Doberman")</f>
        <v>Doberman</v>
      </c>
    </row>
    <row r="1526">
      <c r="A1526" s="1" t="str">
        <f t="shared" si="306"/>
        <v>Dog : Elite Training</v>
      </c>
      <c r="B1526" s="1" t="str">
        <f t="shared" si="302"/>
        <v>https://m566.info/fs0a95g</v>
      </c>
      <c r="C1526" s="1" t="str">
        <f>HYPERLINK("https://m566.info/fs0a95g","German Shepherd")</f>
        <v>German Shepherd</v>
      </c>
    </row>
    <row r="1527">
      <c r="A1527" s="1" t="str">
        <f t="shared" si="306"/>
        <v>Dog : Elite Training</v>
      </c>
      <c r="B1527" s="1" t="str">
        <f t="shared" si="302"/>
        <v>https://m566.info/fs0a95g</v>
      </c>
      <c r="C1527" s="1" t="str">
        <f>HYPERLINK("https://m566.info/fs0a95g","Border Clollie")</f>
        <v>Border Clollie</v>
      </c>
    </row>
    <row r="1528">
      <c r="A1528" s="1" t="str">
        <f t="shared" si="306"/>
        <v>Dog : Elite Training</v>
      </c>
      <c r="B1528" s="1" t="str">
        <f t="shared" si="302"/>
        <v>https://m566.info/fs0a95g</v>
      </c>
      <c r="C1528" s="1" t="str">
        <f>HYPERLINK("https://m566.info/fs0a95g","Rotwieller")</f>
        <v>Rotwieller</v>
      </c>
    </row>
    <row r="1529">
      <c r="A1529" s="1" t="str">
        <f t="shared" si="306"/>
        <v>Dog : Elite Training</v>
      </c>
      <c r="B1529" s="1" t="str">
        <f t="shared" si="302"/>
        <v>https://m566.info/fs0a95g</v>
      </c>
      <c r="C1529" s="1" t="str">
        <f>HYPERLINK("https://m566.info/fs0a95g","Cross Bred")</f>
        <v>Cross Bred</v>
      </c>
    </row>
    <row r="1530">
      <c r="A1530" s="1" t="str">
        <f t="shared" si="306"/>
        <v>Dog : Elite Training</v>
      </c>
      <c r="B1530" s="1" t="str">
        <f t="shared" si="302"/>
        <v>https://m566.info/fs0a95g</v>
      </c>
      <c r="C1530" s="1" t="str">
        <f>HYPERLINK("https://m566.info/fs0a95g","Rotweiller")</f>
        <v>Rotweiller</v>
      </c>
    </row>
    <row r="1531">
      <c r="A1531" s="1" t="str">
        <f t="shared" ref="A1531:A1536" si="307">HYPERLINK("https://m566.info/zf4nxy9","Dog Aggression Training")</f>
        <v>Dog Aggression Training</v>
      </c>
      <c r="B1531" s="1" t="str">
        <f t="shared" ref="B1531:B1560" si="308">HYPERLINK("https://m566.info/zf4nxy9","https://m566.info/zf4nxy9")</f>
        <v>https://m566.info/zf4nxy9</v>
      </c>
      <c r="C1531" s="1" t="str">
        <f>HYPERLINK("https://m566.info/zf4nxy9","Doberman")</f>
        <v>Doberman</v>
      </c>
    </row>
    <row r="1532">
      <c r="A1532" s="1" t="str">
        <f t="shared" si="307"/>
        <v>Dog Aggression Training</v>
      </c>
      <c r="B1532" s="1" t="str">
        <f t="shared" si="308"/>
        <v>https://m566.info/zf4nxy9</v>
      </c>
      <c r="C1532" s="1" t="str">
        <f>HYPERLINK("https://m566.info/zf4nxy9","German Shepherd")</f>
        <v>German Shepherd</v>
      </c>
    </row>
    <row r="1533">
      <c r="A1533" s="1" t="str">
        <f t="shared" si="307"/>
        <v>Dog Aggression Training</v>
      </c>
      <c r="B1533" s="1" t="str">
        <f t="shared" si="308"/>
        <v>https://m566.info/zf4nxy9</v>
      </c>
      <c r="C1533" s="1" t="str">
        <f>HYPERLINK("https://m566.info/zf4nxy9","Border Clollie")</f>
        <v>Border Clollie</v>
      </c>
    </row>
    <row r="1534">
      <c r="A1534" s="1" t="str">
        <f t="shared" si="307"/>
        <v>Dog Aggression Training</v>
      </c>
      <c r="B1534" s="1" t="str">
        <f t="shared" si="308"/>
        <v>https://m566.info/zf4nxy9</v>
      </c>
      <c r="C1534" s="1" t="str">
        <f>HYPERLINK("https://m566.info/zf4nxy9","Rotwieller")</f>
        <v>Rotwieller</v>
      </c>
    </row>
    <row r="1535">
      <c r="A1535" s="1" t="str">
        <f t="shared" si="307"/>
        <v>Dog Aggression Training</v>
      </c>
      <c r="B1535" s="1" t="str">
        <f t="shared" si="308"/>
        <v>https://m566.info/zf4nxy9</v>
      </c>
      <c r="C1535" s="1" t="str">
        <f>HYPERLINK("https://m566.info/zf4nxy9","Cross Bred")</f>
        <v>Cross Bred</v>
      </c>
    </row>
    <row r="1536">
      <c r="A1536" s="1" t="str">
        <f t="shared" si="307"/>
        <v>Dog Aggression Training</v>
      </c>
      <c r="B1536" s="1" t="str">
        <f t="shared" si="308"/>
        <v>https://m566.info/zf4nxy9</v>
      </c>
      <c r="C1536" s="1" t="str">
        <f>HYPERLINK("https://m566.info/zf4nxy9","Rotweiller")</f>
        <v>Rotweiller</v>
      </c>
    </row>
    <row r="1537">
      <c r="A1537" s="1" t="str">
        <f t="shared" ref="A1537:A1542" si="309">HYPERLINK("https://m566.info/zf4nxy9","Dog Obedience Training")</f>
        <v>Dog Obedience Training</v>
      </c>
      <c r="B1537" s="1" t="str">
        <f t="shared" si="308"/>
        <v>https://m566.info/zf4nxy9</v>
      </c>
      <c r="C1537" s="1" t="str">
        <f>HYPERLINK("https://m566.info/zf4nxy9","Doberman")</f>
        <v>Doberman</v>
      </c>
    </row>
    <row r="1538">
      <c r="A1538" s="1" t="str">
        <f t="shared" si="309"/>
        <v>Dog Obedience Training</v>
      </c>
      <c r="B1538" s="1" t="str">
        <f t="shared" si="308"/>
        <v>https://m566.info/zf4nxy9</v>
      </c>
      <c r="C1538" s="1" t="str">
        <f>HYPERLINK("https://m566.info/zf4nxy9","German Shepherd")</f>
        <v>German Shepherd</v>
      </c>
    </row>
    <row r="1539">
      <c r="A1539" s="1" t="str">
        <f t="shared" si="309"/>
        <v>Dog Obedience Training</v>
      </c>
      <c r="B1539" s="1" t="str">
        <f t="shared" si="308"/>
        <v>https://m566.info/zf4nxy9</v>
      </c>
      <c r="C1539" s="1" t="str">
        <f>HYPERLINK("https://m566.info/zf4nxy9","Border Clollie")</f>
        <v>Border Clollie</v>
      </c>
    </row>
    <row r="1540">
      <c r="A1540" s="1" t="str">
        <f t="shared" si="309"/>
        <v>Dog Obedience Training</v>
      </c>
      <c r="B1540" s="1" t="str">
        <f t="shared" si="308"/>
        <v>https://m566.info/zf4nxy9</v>
      </c>
      <c r="C1540" s="1" t="str">
        <f>HYPERLINK("https://m566.info/zf4nxy9","Rotwieller")</f>
        <v>Rotwieller</v>
      </c>
    </row>
    <row r="1541">
      <c r="A1541" s="1" t="str">
        <f t="shared" si="309"/>
        <v>Dog Obedience Training</v>
      </c>
      <c r="B1541" s="1" t="str">
        <f t="shared" si="308"/>
        <v>https://m566.info/zf4nxy9</v>
      </c>
      <c r="C1541" s="1" t="str">
        <f>HYPERLINK("https://m566.info/zf4nxy9","Cross Bred")</f>
        <v>Cross Bred</v>
      </c>
    </row>
    <row r="1542">
      <c r="A1542" s="1" t="str">
        <f t="shared" si="309"/>
        <v>Dog Obedience Training</v>
      </c>
      <c r="B1542" s="1" t="str">
        <f t="shared" si="308"/>
        <v>https://m566.info/zf4nxy9</v>
      </c>
      <c r="C1542" s="1" t="str">
        <f>HYPERLINK("https://m566.info/zf4nxy9","Rotweiller")</f>
        <v>Rotweiller</v>
      </c>
    </row>
    <row r="1543">
      <c r="A1543" s="1" t="str">
        <f t="shared" ref="A1543:A1548" si="310">HYPERLINK("https://m566.info/zf4nxy9","Dog House Training")</f>
        <v>Dog House Training</v>
      </c>
      <c r="B1543" s="1" t="str">
        <f t="shared" si="308"/>
        <v>https://m566.info/zf4nxy9</v>
      </c>
      <c r="C1543" s="1" t="str">
        <f>HYPERLINK("https://m566.info/zf4nxy9","Doberman")</f>
        <v>Doberman</v>
      </c>
    </row>
    <row r="1544">
      <c r="A1544" s="1" t="str">
        <f t="shared" si="310"/>
        <v>Dog House Training</v>
      </c>
      <c r="B1544" s="1" t="str">
        <f t="shared" si="308"/>
        <v>https://m566.info/zf4nxy9</v>
      </c>
      <c r="C1544" s="1" t="str">
        <f>HYPERLINK("https://m566.info/zf4nxy9","German Shepherd")</f>
        <v>German Shepherd</v>
      </c>
    </row>
    <row r="1545">
      <c r="A1545" s="1" t="str">
        <f t="shared" si="310"/>
        <v>Dog House Training</v>
      </c>
      <c r="B1545" s="1" t="str">
        <f t="shared" si="308"/>
        <v>https://m566.info/zf4nxy9</v>
      </c>
      <c r="C1545" s="1" t="str">
        <f>HYPERLINK("https://m566.info/zf4nxy9","Border Clollie")</f>
        <v>Border Clollie</v>
      </c>
    </row>
    <row r="1546">
      <c r="A1546" s="1" t="str">
        <f t="shared" si="310"/>
        <v>Dog House Training</v>
      </c>
      <c r="B1546" s="1" t="str">
        <f t="shared" si="308"/>
        <v>https://m566.info/zf4nxy9</v>
      </c>
      <c r="C1546" s="1" t="str">
        <f>HYPERLINK("https://m566.info/zf4nxy9","Rotwieller")</f>
        <v>Rotwieller</v>
      </c>
    </row>
    <row r="1547">
      <c r="A1547" s="1" t="str">
        <f t="shared" si="310"/>
        <v>Dog House Training</v>
      </c>
      <c r="B1547" s="1" t="str">
        <f t="shared" si="308"/>
        <v>https://m566.info/zf4nxy9</v>
      </c>
      <c r="C1547" s="1" t="str">
        <f>HYPERLINK("https://m566.info/zf4nxy9","Cross Bred")</f>
        <v>Cross Bred</v>
      </c>
    </row>
    <row r="1548">
      <c r="A1548" s="1" t="str">
        <f t="shared" si="310"/>
        <v>Dog House Training</v>
      </c>
      <c r="B1548" s="1" t="str">
        <f t="shared" si="308"/>
        <v>https://m566.info/zf4nxy9</v>
      </c>
      <c r="C1548" s="1" t="str">
        <f>HYPERLINK("https://m566.info/zf4nxy9","Rotweiller")</f>
        <v>Rotweiller</v>
      </c>
    </row>
    <row r="1549">
      <c r="A1549" s="1" t="str">
        <f t="shared" ref="A1549:A1554" si="311">HYPERLINK("https://m566.info/zf4nxy9","Dog Behaviour Training")</f>
        <v>Dog Behaviour Training</v>
      </c>
      <c r="B1549" s="1" t="str">
        <f t="shared" si="308"/>
        <v>https://m566.info/zf4nxy9</v>
      </c>
      <c r="C1549" s="1" t="str">
        <f>HYPERLINK("https://m566.info/zf4nxy9","Doberman")</f>
        <v>Doberman</v>
      </c>
    </row>
    <row r="1550">
      <c r="A1550" s="1" t="str">
        <f t="shared" si="311"/>
        <v>Dog Behaviour Training</v>
      </c>
      <c r="B1550" s="1" t="str">
        <f t="shared" si="308"/>
        <v>https://m566.info/zf4nxy9</v>
      </c>
      <c r="C1550" s="1" t="str">
        <f>HYPERLINK("https://m566.info/zf4nxy9","German Shepherd")</f>
        <v>German Shepherd</v>
      </c>
    </row>
    <row r="1551">
      <c r="A1551" s="1" t="str">
        <f t="shared" si="311"/>
        <v>Dog Behaviour Training</v>
      </c>
      <c r="B1551" s="1" t="str">
        <f t="shared" si="308"/>
        <v>https://m566.info/zf4nxy9</v>
      </c>
      <c r="C1551" s="1" t="str">
        <f>HYPERLINK("https://m566.info/zf4nxy9","Border Clollie")</f>
        <v>Border Clollie</v>
      </c>
    </row>
    <row r="1552">
      <c r="A1552" s="1" t="str">
        <f t="shared" si="311"/>
        <v>Dog Behaviour Training</v>
      </c>
      <c r="B1552" s="1" t="str">
        <f t="shared" si="308"/>
        <v>https://m566.info/zf4nxy9</v>
      </c>
      <c r="C1552" s="1" t="str">
        <f>HYPERLINK("https://m566.info/zf4nxy9","Rotwieller")</f>
        <v>Rotwieller</v>
      </c>
    </row>
    <row r="1553">
      <c r="A1553" s="1" t="str">
        <f t="shared" si="311"/>
        <v>Dog Behaviour Training</v>
      </c>
      <c r="B1553" s="1" t="str">
        <f t="shared" si="308"/>
        <v>https://m566.info/zf4nxy9</v>
      </c>
      <c r="C1553" s="1" t="str">
        <f>HYPERLINK("https://m566.info/zf4nxy9","Cross Bred")</f>
        <v>Cross Bred</v>
      </c>
    </row>
    <row r="1554">
      <c r="A1554" s="1" t="str">
        <f t="shared" si="311"/>
        <v>Dog Behaviour Training</v>
      </c>
      <c r="B1554" s="1" t="str">
        <f t="shared" si="308"/>
        <v>https://m566.info/zf4nxy9</v>
      </c>
      <c r="C1554" s="1" t="str">
        <f>HYPERLINK("https://m566.info/zf4nxy9","Rotweiller")</f>
        <v>Rotweiller</v>
      </c>
    </row>
    <row r="1555">
      <c r="A1555" s="1" t="str">
        <f t="shared" ref="A1555:A1560" si="312">HYPERLINK("https://m566.info/zf4nxy9","Dog : Elite Training")</f>
        <v>Dog : Elite Training</v>
      </c>
      <c r="B1555" s="1" t="str">
        <f t="shared" si="308"/>
        <v>https://m566.info/zf4nxy9</v>
      </c>
      <c r="C1555" s="1" t="str">
        <f>HYPERLINK("https://m566.info/zf4nxy9","Doberman")</f>
        <v>Doberman</v>
      </c>
    </row>
    <row r="1556">
      <c r="A1556" s="1" t="str">
        <f t="shared" si="312"/>
        <v>Dog : Elite Training</v>
      </c>
      <c r="B1556" s="1" t="str">
        <f t="shared" si="308"/>
        <v>https://m566.info/zf4nxy9</v>
      </c>
      <c r="C1556" s="1" t="str">
        <f>HYPERLINK("https://m566.info/zf4nxy9","German Shepherd")</f>
        <v>German Shepherd</v>
      </c>
    </row>
    <row r="1557">
      <c r="A1557" s="1" t="str">
        <f t="shared" si="312"/>
        <v>Dog : Elite Training</v>
      </c>
      <c r="B1557" s="1" t="str">
        <f t="shared" si="308"/>
        <v>https://m566.info/zf4nxy9</v>
      </c>
      <c r="C1557" s="1" t="str">
        <f>HYPERLINK("https://m566.info/zf4nxy9","Border Clollie")</f>
        <v>Border Clollie</v>
      </c>
    </row>
    <row r="1558">
      <c r="A1558" s="1" t="str">
        <f t="shared" si="312"/>
        <v>Dog : Elite Training</v>
      </c>
      <c r="B1558" s="1" t="str">
        <f t="shared" si="308"/>
        <v>https://m566.info/zf4nxy9</v>
      </c>
      <c r="C1558" s="1" t="str">
        <f>HYPERLINK("https://m566.info/zf4nxy9","Rotwieller")</f>
        <v>Rotwieller</v>
      </c>
    </row>
    <row r="1559">
      <c r="A1559" s="1" t="str">
        <f t="shared" si="312"/>
        <v>Dog : Elite Training</v>
      </c>
      <c r="B1559" s="1" t="str">
        <f t="shared" si="308"/>
        <v>https://m566.info/zf4nxy9</v>
      </c>
      <c r="C1559" s="1" t="str">
        <f>HYPERLINK("https://m566.info/zf4nxy9","Cross Bred")</f>
        <v>Cross Bred</v>
      </c>
    </row>
    <row r="1560">
      <c r="A1560" s="1" t="str">
        <f t="shared" si="312"/>
        <v>Dog : Elite Training</v>
      </c>
      <c r="B1560" s="1" t="str">
        <f t="shared" si="308"/>
        <v>https://m566.info/zf4nxy9</v>
      </c>
      <c r="C1560" s="1" t="str">
        <f>HYPERLINK("https://m566.info/zf4nxy9","Rotweiller")</f>
        <v>Rotweiller</v>
      </c>
    </row>
    <row r="1561">
      <c r="A1561" s="1" t="str">
        <f t="shared" ref="A1561:A1566" si="313">HYPERLINK("https://m566.info/7b8yepm","Dog Aggression Training")</f>
        <v>Dog Aggression Training</v>
      </c>
      <c r="B1561" s="1" t="str">
        <f t="shared" ref="B1561:B1590" si="314">HYPERLINK("https://m566.info/7b8yepm","https://m566.info/7b8yepm")</f>
        <v>https://m566.info/7b8yepm</v>
      </c>
      <c r="C1561" s="1" t="str">
        <f>HYPERLINK("https://m566.info/7b8yepm","Doberman")</f>
        <v>Doberman</v>
      </c>
    </row>
    <row r="1562">
      <c r="A1562" s="1" t="str">
        <f t="shared" si="313"/>
        <v>Dog Aggression Training</v>
      </c>
      <c r="B1562" s="1" t="str">
        <f t="shared" si="314"/>
        <v>https://m566.info/7b8yepm</v>
      </c>
      <c r="C1562" s="1" t="str">
        <f>HYPERLINK("https://m566.info/7b8yepm","German Shepherd")</f>
        <v>German Shepherd</v>
      </c>
    </row>
    <row r="1563">
      <c r="A1563" s="1" t="str">
        <f t="shared" si="313"/>
        <v>Dog Aggression Training</v>
      </c>
      <c r="B1563" s="1" t="str">
        <f t="shared" si="314"/>
        <v>https://m566.info/7b8yepm</v>
      </c>
      <c r="C1563" s="1" t="str">
        <f>HYPERLINK("https://m566.info/7b8yepm","Border Clollie")</f>
        <v>Border Clollie</v>
      </c>
    </row>
    <row r="1564">
      <c r="A1564" s="1" t="str">
        <f t="shared" si="313"/>
        <v>Dog Aggression Training</v>
      </c>
      <c r="B1564" s="1" t="str">
        <f t="shared" si="314"/>
        <v>https://m566.info/7b8yepm</v>
      </c>
      <c r="C1564" s="1" t="str">
        <f>HYPERLINK("https://m566.info/7b8yepm","Rotwieller")</f>
        <v>Rotwieller</v>
      </c>
    </row>
    <row r="1565">
      <c r="A1565" s="1" t="str">
        <f t="shared" si="313"/>
        <v>Dog Aggression Training</v>
      </c>
      <c r="B1565" s="1" t="str">
        <f t="shared" si="314"/>
        <v>https://m566.info/7b8yepm</v>
      </c>
      <c r="C1565" s="1" t="str">
        <f>HYPERLINK("https://m566.info/7b8yepm","Cross Bred")</f>
        <v>Cross Bred</v>
      </c>
    </row>
    <row r="1566">
      <c r="A1566" s="1" t="str">
        <f t="shared" si="313"/>
        <v>Dog Aggression Training</v>
      </c>
      <c r="B1566" s="1" t="str">
        <f t="shared" si="314"/>
        <v>https://m566.info/7b8yepm</v>
      </c>
      <c r="C1566" s="1" t="str">
        <f>HYPERLINK("https://m566.info/7b8yepm","Rotweiller")</f>
        <v>Rotweiller</v>
      </c>
    </row>
    <row r="1567">
      <c r="A1567" s="1" t="str">
        <f t="shared" ref="A1567:A1572" si="315">HYPERLINK("https://m566.info/7b8yepm","Dog Obedience Training")</f>
        <v>Dog Obedience Training</v>
      </c>
      <c r="B1567" s="1" t="str">
        <f t="shared" si="314"/>
        <v>https://m566.info/7b8yepm</v>
      </c>
      <c r="C1567" s="1" t="str">
        <f>HYPERLINK("https://m566.info/7b8yepm","Doberman")</f>
        <v>Doberman</v>
      </c>
    </row>
    <row r="1568">
      <c r="A1568" s="1" t="str">
        <f t="shared" si="315"/>
        <v>Dog Obedience Training</v>
      </c>
      <c r="B1568" s="1" t="str">
        <f t="shared" si="314"/>
        <v>https://m566.info/7b8yepm</v>
      </c>
      <c r="C1568" s="1" t="str">
        <f>HYPERLINK("https://m566.info/7b8yepm","German Shepherd")</f>
        <v>German Shepherd</v>
      </c>
    </row>
    <row r="1569">
      <c r="A1569" s="1" t="str">
        <f t="shared" si="315"/>
        <v>Dog Obedience Training</v>
      </c>
      <c r="B1569" s="1" t="str">
        <f t="shared" si="314"/>
        <v>https://m566.info/7b8yepm</v>
      </c>
      <c r="C1569" s="1" t="str">
        <f>HYPERLINK("https://m566.info/7b8yepm","Border Clollie")</f>
        <v>Border Clollie</v>
      </c>
    </row>
    <row r="1570">
      <c r="A1570" s="1" t="str">
        <f t="shared" si="315"/>
        <v>Dog Obedience Training</v>
      </c>
      <c r="B1570" s="1" t="str">
        <f t="shared" si="314"/>
        <v>https://m566.info/7b8yepm</v>
      </c>
      <c r="C1570" s="1" t="str">
        <f>HYPERLINK("https://m566.info/7b8yepm","Rotwieller")</f>
        <v>Rotwieller</v>
      </c>
    </row>
    <row r="1571">
      <c r="A1571" s="1" t="str">
        <f t="shared" si="315"/>
        <v>Dog Obedience Training</v>
      </c>
      <c r="B1571" s="1" t="str">
        <f t="shared" si="314"/>
        <v>https://m566.info/7b8yepm</v>
      </c>
      <c r="C1571" s="1" t="str">
        <f>HYPERLINK("https://m566.info/7b8yepm","Cross Bred")</f>
        <v>Cross Bred</v>
      </c>
    </row>
    <row r="1572">
      <c r="A1572" s="1" t="str">
        <f t="shared" si="315"/>
        <v>Dog Obedience Training</v>
      </c>
      <c r="B1572" s="1" t="str">
        <f t="shared" si="314"/>
        <v>https://m566.info/7b8yepm</v>
      </c>
      <c r="C1572" s="1" t="str">
        <f>HYPERLINK("https://m566.info/7b8yepm","Rotweiller")</f>
        <v>Rotweiller</v>
      </c>
    </row>
    <row r="1573">
      <c r="A1573" s="1" t="str">
        <f t="shared" ref="A1573:A1578" si="316">HYPERLINK("https://m566.info/7b8yepm","Dog House Training")</f>
        <v>Dog House Training</v>
      </c>
      <c r="B1573" s="1" t="str">
        <f t="shared" si="314"/>
        <v>https://m566.info/7b8yepm</v>
      </c>
      <c r="C1573" s="1" t="str">
        <f>HYPERLINK("https://m566.info/7b8yepm","Doberman")</f>
        <v>Doberman</v>
      </c>
    </row>
    <row r="1574">
      <c r="A1574" s="1" t="str">
        <f t="shared" si="316"/>
        <v>Dog House Training</v>
      </c>
      <c r="B1574" s="1" t="str">
        <f t="shared" si="314"/>
        <v>https://m566.info/7b8yepm</v>
      </c>
      <c r="C1574" s="1" t="str">
        <f>HYPERLINK("https://m566.info/7b8yepm","German Shepherd")</f>
        <v>German Shepherd</v>
      </c>
    </row>
    <row r="1575">
      <c r="A1575" s="1" t="str">
        <f t="shared" si="316"/>
        <v>Dog House Training</v>
      </c>
      <c r="B1575" s="1" t="str">
        <f t="shared" si="314"/>
        <v>https://m566.info/7b8yepm</v>
      </c>
      <c r="C1575" s="1" t="str">
        <f>HYPERLINK("https://m566.info/7b8yepm","Border Clollie")</f>
        <v>Border Clollie</v>
      </c>
    </row>
    <row r="1576">
      <c r="A1576" s="1" t="str">
        <f t="shared" si="316"/>
        <v>Dog House Training</v>
      </c>
      <c r="B1576" s="1" t="str">
        <f t="shared" si="314"/>
        <v>https://m566.info/7b8yepm</v>
      </c>
      <c r="C1576" s="1" t="str">
        <f>HYPERLINK("https://m566.info/7b8yepm","Rotwieller")</f>
        <v>Rotwieller</v>
      </c>
    </row>
    <row r="1577">
      <c r="A1577" s="1" t="str">
        <f t="shared" si="316"/>
        <v>Dog House Training</v>
      </c>
      <c r="B1577" s="1" t="str">
        <f t="shared" si="314"/>
        <v>https://m566.info/7b8yepm</v>
      </c>
      <c r="C1577" s="1" t="str">
        <f>HYPERLINK("https://m566.info/7b8yepm","Cross Bred")</f>
        <v>Cross Bred</v>
      </c>
    </row>
    <row r="1578">
      <c r="A1578" s="1" t="str">
        <f t="shared" si="316"/>
        <v>Dog House Training</v>
      </c>
      <c r="B1578" s="1" t="str">
        <f t="shared" si="314"/>
        <v>https://m566.info/7b8yepm</v>
      </c>
      <c r="C1578" s="1" t="str">
        <f>HYPERLINK("https://m566.info/7b8yepm","Rotweiller")</f>
        <v>Rotweiller</v>
      </c>
    </row>
    <row r="1579">
      <c r="A1579" s="1" t="str">
        <f t="shared" ref="A1579:A1584" si="317">HYPERLINK("https://m566.info/7b8yepm","Dog Behaviour Training")</f>
        <v>Dog Behaviour Training</v>
      </c>
      <c r="B1579" s="1" t="str">
        <f t="shared" si="314"/>
        <v>https://m566.info/7b8yepm</v>
      </c>
      <c r="C1579" s="1" t="str">
        <f>HYPERLINK("https://m566.info/7b8yepm","Doberman")</f>
        <v>Doberman</v>
      </c>
    </row>
    <row r="1580">
      <c r="A1580" s="1" t="str">
        <f t="shared" si="317"/>
        <v>Dog Behaviour Training</v>
      </c>
      <c r="B1580" s="1" t="str">
        <f t="shared" si="314"/>
        <v>https://m566.info/7b8yepm</v>
      </c>
      <c r="C1580" s="1" t="str">
        <f>HYPERLINK("https://m566.info/7b8yepm","German Shepherd")</f>
        <v>German Shepherd</v>
      </c>
    </row>
    <row r="1581">
      <c r="A1581" s="1" t="str">
        <f t="shared" si="317"/>
        <v>Dog Behaviour Training</v>
      </c>
      <c r="B1581" s="1" t="str">
        <f t="shared" si="314"/>
        <v>https://m566.info/7b8yepm</v>
      </c>
      <c r="C1581" s="1" t="str">
        <f>HYPERLINK("https://m566.info/7b8yepm","Border Clollie")</f>
        <v>Border Clollie</v>
      </c>
    </row>
    <row r="1582">
      <c r="A1582" s="1" t="str">
        <f t="shared" si="317"/>
        <v>Dog Behaviour Training</v>
      </c>
      <c r="B1582" s="1" t="str">
        <f t="shared" si="314"/>
        <v>https://m566.info/7b8yepm</v>
      </c>
      <c r="C1582" s="1" t="str">
        <f>HYPERLINK("https://m566.info/7b8yepm","Rotwieller")</f>
        <v>Rotwieller</v>
      </c>
    </row>
    <row r="1583">
      <c r="A1583" s="1" t="str">
        <f t="shared" si="317"/>
        <v>Dog Behaviour Training</v>
      </c>
      <c r="B1583" s="1" t="str">
        <f t="shared" si="314"/>
        <v>https://m566.info/7b8yepm</v>
      </c>
      <c r="C1583" s="1" t="str">
        <f>HYPERLINK("https://m566.info/7b8yepm","Cross Bred")</f>
        <v>Cross Bred</v>
      </c>
    </row>
    <row r="1584">
      <c r="A1584" s="1" t="str">
        <f t="shared" si="317"/>
        <v>Dog Behaviour Training</v>
      </c>
      <c r="B1584" s="1" t="str">
        <f t="shared" si="314"/>
        <v>https://m566.info/7b8yepm</v>
      </c>
      <c r="C1584" s="1" t="str">
        <f>HYPERLINK("https://m566.info/7b8yepm","Rotweiller")</f>
        <v>Rotweiller</v>
      </c>
    </row>
    <row r="1585">
      <c r="A1585" s="1" t="str">
        <f t="shared" ref="A1585:A1590" si="318">HYPERLINK("https://m566.info/7b8yepm","Dog : Elite Training")</f>
        <v>Dog : Elite Training</v>
      </c>
      <c r="B1585" s="1" t="str">
        <f t="shared" si="314"/>
        <v>https://m566.info/7b8yepm</v>
      </c>
      <c r="C1585" s="1" t="str">
        <f>HYPERLINK("https://m566.info/7b8yepm","Doberman")</f>
        <v>Doberman</v>
      </c>
    </row>
    <row r="1586">
      <c r="A1586" s="1" t="str">
        <f t="shared" si="318"/>
        <v>Dog : Elite Training</v>
      </c>
      <c r="B1586" s="1" t="str">
        <f t="shared" si="314"/>
        <v>https://m566.info/7b8yepm</v>
      </c>
      <c r="C1586" s="1" t="str">
        <f>HYPERLINK("https://m566.info/7b8yepm","German Shepherd")</f>
        <v>German Shepherd</v>
      </c>
    </row>
    <row r="1587">
      <c r="A1587" s="1" t="str">
        <f t="shared" si="318"/>
        <v>Dog : Elite Training</v>
      </c>
      <c r="B1587" s="1" t="str">
        <f t="shared" si="314"/>
        <v>https://m566.info/7b8yepm</v>
      </c>
      <c r="C1587" s="1" t="str">
        <f>HYPERLINK("https://m566.info/7b8yepm","Border Clollie")</f>
        <v>Border Clollie</v>
      </c>
    </row>
    <row r="1588">
      <c r="A1588" s="1" t="str">
        <f t="shared" si="318"/>
        <v>Dog : Elite Training</v>
      </c>
      <c r="B1588" s="1" t="str">
        <f t="shared" si="314"/>
        <v>https://m566.info/7b8yepm</v>
      </c>
      <c r="C1588" s="1" t="str">
        <f>HYPERLINK("https://m566.info/7b8yepm","Rotwieller")</f>
        <v>Rotwieller</v>
      </c>
    </row>
    <row r="1589">
      <c r="A1589" s="1" t="str">
        <f t="shared" si="318"/>
        <v>Dog : Elite Training</v>
      </c>
      <c r="B1589" s="1" t="str">
        <f t="shared" si="314"/>
        <v>https://m566.info/7b8yepm</v>
      </c>
      <c r="C1589" s="1" t="str">
        <f>HYPERLINK("https://m566.info/7b8yepm","Cross Bred")</f>
        <v>Cross Bred</v>
      </c>
    </row>
    <row r="1590">
      <c r="A1590" s="1" t="str">
        <f t="shared" si="318"/>
        <v>Dog : Elite Training</v>
      </c>
      <c r="B1590" s="1" t="str">
        <f t="shared" si="314"/>
        <v>https://m566.info/7b8yepm</v>
      </c>
      <c r="C1590" s="1" t="str">
        <f>HYPERLINK("https://m566.info/7b8yepm","Rotweiller")</f>
        <v>Rotweiller</v>
      </c>
    </row>
    <row r="1591">
      <c r="A1591" s="1" t="str">
        <f t="shared" ref="A1591:A1596" si="319">HYPERLINK("https://m566.info/kk65xe3","Dog Aggression Training")</f>
        <v>Dog Aggression Training</v>
      </c>
      <c r="B1591" s="1" t="str">
        <f t="shared" ref="B1591:B1620" si="320">HYPERLINK("https://m566.info/kk65xe3","https://m566.info/kk65xe3")</f>
        <v>https://m566.info/kk65xe3</v>
      </c>
      <c r="C1591" s="1" t="str">
        <f>HYPERLINK("https://m566.info/kk65xe3","Doberman")</f>
        <v>Doberman</v>
      </c>
    </row>
    <row r="1592">
      <c r="A1592" s="1" t="str">
        <f t="shared" si="319"/>
        <v>Dog Aggression Training</v>
      </c>
      <c r="B1592" s="1" t="str">
        <f t="shared" si="320"/>
        <v>https://m566.info/kk65xe3</v>
      </c>
      <c r="C1592" s="1" t="str">
        <f>HYPERLINK("https://m566.info/kk65xe3","German Shepherd")</f>
        <v>German Shepherd</v>
      </c>
    </row>
    <row r="1593">
      <c r="A1593" s="1" t="str">
        <f t="shared" si="319"/>
        <v>Dog Aggression Training</v>
      </c>
      <c r="B1593" s="1" t="str">
        <f t="shared" si="320"/>
        <v>https://m566.info/kk65xe3</v>
      </c>
      <c r="C1593" s="1" t="str">
        <f>HYPERLINK("https://m566.info/kk65xe3","Border Clollie")</f>
        <v>Border Clollie</v>
      </c>
    </row>
    <row r="1594">
      <c r="A1594" s="1" t="str">
        <f t="shared" si="319"/>
        <v>Dog Aggression Training</v>
      </c>
      <c r="B1594" s="1" t="str">
        <f t="shared" si="320"/>
        <v>https://m566.info/kk65xe3</v>
      </c>
      <c r="C1594" s="1" t="str">
        <f>HYPERLINK("https://m566.info/kk65xe3","Rotwieller")</f>
        <v>Rotwieller</v>
      </c>
    </row>
    <row r="1595">
      <c r="A1595" s="1" t="str">
        <f t="shared" si="319"/>
        <v>Dog Aggression Training</v>
      </c>
      <c r="B1595" s="1" t="str">
        <f t="shared" si="320"/>
        <v>https://m566.info/kk65xe3</v>
      </c>
      <c r="C1595" s="1" t="str">
        <f>HYPERLINK("https://m566.info/kk65xe3","Cross Bred")</f>
        <v>Cross Bred</v>
      </c>
    </row>
    <row r="1596">
      <c r="A1596" s="1" t="str">
        <f t="shared" si="319"/>
        <v>Dog Aggression Training</v>
      </c>
      <c r="B1596" s="1" t="str">
        <f t="shared" si="320"/>
        <v>https://m566.info/kk65xe3</v>
      </c>
      <c r="C1596" s="1" t="str">
        <f>HYPERLINK("https://m566.info/kk65xe3","Rotweiller")</f>
        <v>Rotweiller</v>
      </c>
    </row>
    <row r="1597">
      <c r="A1597" s="1" t="str">
        <f t="shared" ref="A1597:A1602" si="321">HYPERLINK("https://m566.info/kk65xe3","Dog Obedience Training")</f>
        <v>Dog Obedience Training</v>
      </c>
      <c r="B1597" s="1" t="str">
        <f t="shared" si="320"/>
        <v>https://m566.info/kk65xe3</v>
      </c>
      <c r="C1597" s="1" t="str">
        <f>HYPERLINK("https://m566.info/kk65xe3","Doberman")</f>
        <v>Doberman</v>
      </c>
    </row>
    <row r="1598">
      <c r="A1598" s="1" t="str">
        <f t="shared" si="321"/>
        <v>Dog Obedience Training</v>
      </c>
      <c r="B1598" s="1" t="str">
        <f t="shared" si="320"/>
        <v>https://m566.info/kk65xe3</v>
      </c>
      <c r="C1598" s="1" t="str">
        <f>HYPERLINK("https://m566.info/kk65xe3","German Shepherd")</f>
        <v>German Shepherd</v>
      </c>
    </row>
    <row r="1599">
      <c r="A1599" s="1" t="str">
        <f t="shared" si="321"/>
        <v>Dog Obedience Training</v>
      </c>
      <c r="B1599" s="1" t="str">
        <f t="shared" si="320"/>
        <v>https://m566.info/kk65xe3</v>
      </c>
      <c r="C1599" s="1" t="str">
        <f>HYPERLINK("https://m566.info/kk65xe3","Border Clollie")</f>
        <v>Border Clollie</v>
      </c>
    </row>
    <row r="1600">
      <c r="A1600" s="1" t="str">
        <f t="shared" si="321"/>
        <v>Dog Obedience Training</v>
      </c>
      <c r="B1600" s="1" t="str">
        <f t="shared" si="320"/>
        <v>https://m566.info/kk65xe3</v>
      </c>
      <c r="C1600" s="1" t="str">
        <f>HYPERLINK("https://m566.info/kk65xe3","Rotwieller")</f>
        <v>Rotwieller</v>
      </c>
    </row>
    <row r="1601">
      <c r="A1601" s="1" t="str">
        <f t="shared" si="321"/>
        <v>Dog Obedience Training</v>
      </c>
      <c r="B1601" s="1" t="str">
        <f t="shared" si="320"/>
        <v>https://m566.info/kk65xe3</v>
      </c>
      <c r="C1601" s="1" t="str">
        <f>HYPERLINK("https://m566.info/kk65xe3","Cross Bred")</f>
        <v>Cross Bred</v>
      </c>
    </row>
    <row r="1602">
      <c r="A1602" s="1" t="str">
        <f t="shared" si="321"/>
        <v>Dog Obedience Training</v>
      </c>
      <c r="B1602" s="1" t="str">
        <f t="shared" si="320"/>
        <v>https://m566.info/kk65xe3</v>
      </c>
      <c r="C1602" s="1" t="str">
        <f>HYPERLINK("https://m566.info/kk65xe3","Rotweiller")</f>
        <v>Rotweiller</v>
      </c>
    </row>
    <row r="1603">
      <c r="A1603" s="1" t="str">
        <f t="shared" ref="A1603:A1608" si="322">HYPERLINK("https://m566.info/kk65xe3","Dog House Training")</f>
        <v>Dog House Training</v>
      </c>
      <c r="B1603" s="1" t="str">
        <f t="shared" si="320"/>
        <v>https://m566.info/kk65xe3</v>
      </c>
      <c r="C1603" s="1" t="str">
        <f>HYPERLINK("https://m566.info/kk65xe3","Doberman")</f>
        <v>Doberman</v>
      </c>
    </row>
    <row r="1604">
      <c r="A1604" s="1" t="str">
        <f t="shared" si="322"/>
        <v>Dog House Training</v>
      </c>
      <c r="B1604" s="1" t="str">
        <f t="shared" si="320"/>
        <v>https://m566.info/kk65xe3</v>
      </c>
      <c r="C1604" s="1" t="str">
        <f>HYPERLINK("https://m566.info/kk65xe3","German Shepherd")</f>
        <v>German Shepherd</v>
      </c>
    </row>
    <row r="1605">
      <c r="A1605" s="1" t="str">
        <f t="shared" si="322"/>
        <v>Dog House Training</v>
      </c>
      <c r="B1605" s="1" t="str">
        <f t="shared" si="320"/>
        <v>https://m566.info/kk65xe3</v>
      </c>
      <c r="C1605" s="1" t="str">
        <f>HYPERLINK("https://m566.info/kk65xe3","Border Clollie")</f>
        <v>Border Clollie</v>
      </c>
    </row>
    <row r="1606">
      <c r="A1606" s="1" t="str">
        <f t="shared" si="322"/>
        <v>Dog House Training</v>
      </c>
      <c r="B1606" s="1" t="str">
        <f t="shared" si="320"/>
        <v>https://m566.info/kk65xe3</v>
      </c>
      <c r="C1606" s="1" t="str">
        <f>HYPERLINK("https://m566.info/kk65xe3","Rotwieller")</f>
        <v>Rotwieller</v>
      </c>
    </row>
    <row r="1607">
      <c r="A1607" s="1" t="str">
        <f t="shared" si="322"/>
        <v>Dog House Training</v>
      </c>
      <c r="B1607" s="1" t="str">
        <f t="shared" si="320"/>
        <v>https://m566.info/kk65xe3</v>
      </c>
      <c r="C1607" s="1" t="str">
        <f>HYPERLINK("https://m566.info/kk65xe3","Cross Bred")</f>
        <v>Cross Bred</v>
      </c>
    </row>
    <row r="1608">
      <c r="A1608" s="1" t="str">
        <f t="shared" si="322"/>
        <v>Dog House Training</v>
      </c>
      <c r="B1608" s="1" t="str">
        <f t="shared" si="320"/>
        <v>https://m566.info/kk65xe3</v>
      </c>
      <c r="C1608" s="1" t="str">
        <f>HYPERLINK("https://m566.info/kk65xe3","Rotweiller")</f>
        <v>Rotweiller</v>
      </c>
    </row>
    <row r="1609">
      <c r="A1609" s="1" t="str">
        <f t="shared" ref="A1609:A1614" si="323">HYPERLINK("https://m566.info/kk65xe3","Dog Behaviour Training")</f>
        <v>Dog Behaviour Training</v>
      </c>
      <c r="B1609" s="1" t="str">
        <f t="shared" si="320"/>
        <v>https://m566.info/kk65xe3</v>
      </c>
      <c r="C1609" s="1" t="str">
        <f>HYPERLINK("https://m566.info/kk65xe3","Doberman")</f>
        <v>Doberman</v>
      </c>
    </row>
    <row r="1610">
      <c r="A1610" s="1" t="str">
        <f t="shared" si="323"/>
        <v>Dog Behaviour Training</v>
      </c>
      <c r="B1610" s="1" t="str">
        <f t="shared" si="320"/>
        <v>https://m566.info/kk65xe3</v>
      </c>
      <c r="C1610" s="1" t="str">
        <f>HYPERLINK("https://m566.info/kk65xe3","German Shepherd")</f>
        <v>German Shepherd</v>
      </c>
    </row>
    <row r="1611">
      <c r="A1611" s="1" t="str">
        <f t="shared" si="323"/>
        <v>Dog Behaviour Training</v>
      </c>
      <c r="B1611" s="1" t="str">
        <f t="shared" si="320"/>
        <v>https://m566.info/kk65xe3</v>
      </c>
      <c r="C1611" s="1" t="str">
        <f>HYPERLINK("https://m566.info/kk65xe3","Border Clollie")</f>
        <v>Border Clollie</v>
      </c>
    </row>
    <row r="1612">
      <c r="A1612" s="1" t="str">
        <f t="shared" si="323"/>
        <v>Dog Behaviour Training</v>
      </c>
      <c r="B1612" s="1" t="str">
        <f t="shared" si="320"/>
        <v>https://m566.info/kk65xe3</v>
      </c>
      <c r="C1612" s="1" t="str">
        <f>HYPERLINK("https://m566.info/kk65xe3","Rotwieller")</f>
        <v>Rotwieller</v>
      </c>
    </row>
    <row r="1613">
      <c r="A1613" s="1" t="str">
        <f t="shared" si="323"/>
        <v>Dog Behaviour Training</v>
      </c>
      <c r="B1613" s="1" t="str">
        <f t="shared" si="320"/>
        <v>https://m566.info/kk65xe3</v>
      </c>
      <c r="C1613" s="1" t="str">
        <f>HYPERLINK("https://m566.info/kk65xe3","Cross Bred")</f>
        <v>Cross Bred</v>
      </c>
    </row>
    <row r="1614">
      <c r="A1614" s="1" t="str">
        <f t="shared" si="323"/>
        <v>Dog Behaviour Training</v>
      </c>
      <c r="B1614" s="1" t="str">
        <f t="shared" si="320"/>
        <v>https://m566.info/kk65xe3</v>
      </c>
      <c r="C1614" s="1" t="str">
        <f>HYPERLINK("https://m566.info/kk65xe3","Rotweiller")</f>
        <v>Rotweiller</v>
      </c>
    </row>
    <row r="1615">
      <c r="A1615" s="1" t="str">
        <f t="shared" ref="A1615:A1620" si="324">HYPERLINK("https://m566.info/kk65xe3","Dog : Elite Training")</f>
        <v>Dog : Elite Training</v>
      </c>
      <c r="B1615" s="1" t="str">
        <f t="shared" si="320"/>
        <v>https://m566.info/kk65xe3</v>
      </c>
      <c r="C1615" s="1" t="str">
        <f>HYPERLINK("https://m566.info/kk65xe3","Doberman")</f>
        <v>Doberman</v>
      </c>
    </row>
    <row r="1616">
      <c r="A1616" s="1" t="str">
        <f t="shared" si="324"/>
        <v>Dog : Elite Training</v>
      </c>
      <c r="B1616" s="1" t="str">
        <f t="shared" si="320"/>
        <v>https://m566.info/kk65xe3</v>
      </c>
      <c r="C1616" s="1" t="str">
        <f>HYPERLINK("https://m566.info/kk65xe3","German Shepherd")</f>
        <v>German Shepherd</v>
      </c>
    </row>
    <row r="1617">
      <c r="A1617" s="1" t="str">
        <f t="shared" si="324"/>
        <v>Dog : Elite Training</v>
      </c>
      <c r="B1617" s="1" t="str">
        <f t="shared" si="320"/>
        <v>https://m566.info/kk65xe3</v>
      </c>
      <c r="C1617" s="1" t="str">
        <f>HYPERLINK("https://m566.info/kk65xe3","Border Clollie")</f>
        <v>Border Clollie</v>
      </c>
    </row>
    <row r="1618">
      <c r="A1618" s="1" t="str">
        <f t="shared" si="324"/>
        <v>Dog : Elite Training</v>
      </c>
      <c r="B1618" s="1" t="str">
        <f t="shared" si="320"/>
        <v>https://m566.info/kk65xe3</v>
      </c>
      <c r="C1618" s="1" t="str">
        <f>HYPERLINK("https://m566.info/kk65xe3","Rotwieller")</f>
        <v>Rotwieller</v>
      </c>
    </row>
    <row r="1619">
      <c r="A1619" s="1" t="str">
        <f t="shared" si="324"/>
        <v>Dog : Elite Training</v>
      </c>
      <c r="B1619" s="1" t="str">
        <f t="shared" si="320"/>
        <v>https://m566.info/kk65xe3</v>
      </c>
      <c r="C1619" s="1" t="str">
        <f>HYPERLINK("https://m566.info/kk65xe3","Cross Bred")</f>
        <v>Cross Bred</v>
      </c>
    </row>
    <row r="1620">
      <c r="A1620" s="1" t="str">
        <f t="shared" si="324"/>
        <v>Dog : Elite Training</v>
      </c>
      <c r="B1620" s="1" t="str">
        <f t="shared" si="320"/>
        <v>https://m566.info/kk65xe3</v>
      </c>
      <c r="C1620" s="1" t="str">
        <f>HYPERLINK("https://m566.info/kk65xe3","Rotweiller")</f>
        <v>Rotweiller</v>
      </c>
    </row>
    <row r="1621">
      <c r="A1621" s="1" t="str">
        <f t="shared" ref="A1621:A1626" si="325">HYPERLINK("https://m566.info/2w4t96e","Dog Aggression Training")</f>
        <v>Dog Aggression Training</v>
      </c>
      <c r="B1621" s="1" t="str">
        <f t="shared" ref="B1621:B1650" si="326">HYPERLINK("https://m566.info/2w4t96e","https://m566.info/2w4t96e")</f>
        <v>https://m566.info/2w4t96e</v>
      </c>
      <c r="C1621" s="1" t="str">
        <f>HYPERLINK("https://m566.info/2w4t96e","Doberman")</f>
        <v>Doberman</v>
      </c>
    </row>
    <row r="1622">
      <c r="A1622" s="1" t="str">
        <f t="shared" si="325"/>
        <v>Dog Aggression Training</v>
      </c>
      <c r="B1622" s="1" t="str">
        <f t="shared" si="326"/>
        <v>https://m566.info/2w4t96e</v>
      </c>
      <c r="C1622" s="1" t="str">
        <f>HYPERLINK("https://m566.info/2w4t96e","German Shepherd")</f>
        <v>German Shepherd</v>
      </c>
    </row>
    <row r="1623">
      <c r="A1623" s="1" t="str">
        <f t="shared" si="325"/>
        <v>Dog Aggression Training</v>
      </c>
      <c r="B1623" s="1" t="str">
        <f t="shared" si="326"/>
        <v>https://m566.info/2w4t96e</v>
      </c>
      <c r="C1623" s="1" t="str">
        <f>HYPERLINK("https://m566.info/2w4t96e","Border Clollie")</f>
        <v>Border Clollie</v>
      </c>
    </row>
    <row r="1624">
      <c r="A1624" s="1" t="str">
        <f t="shared" si="325"/>
        <v>Dog Aggression Training</v>
      </c>
      <c r="B1624" s="1" t="str">
        <f t="shared" si="326"/>
        <v>https://m566.info/2w4t96e</v>
      </c>
      <c r="C1624" s="1" t="str">
        <f>HYPERLINK("https://m566.info/2w4t96e","Rotwieller")</f>
        <v>Rotwieller</v>
      </c>
    </row>
    <row r="1625">
      <c r="A1625" s="1" t="str">
        <f t="shared" si="325"/>
        <v>Dog Aggression Training</v>
      </c>
      <c r="B1625" s="1" t="str">
        <f t="shared" si="326"/>
        <v>https://m566.info/2w4t96e</v>
      </c>
      <c r="C1625" s="1" t="str">
        <f>HYPERLINK("https://m566.info/2w4t96e","Cross Bred")</f>
        <v>Cross Bred</v>
      </c>
    </row>
    <row r="1626">
      <c r="A1626" s="1" t="str">
        <f t="shared" si="325"/>
        <v>Dog Aggression Training</v>
      </c>
      <c r="B1626" s="1" t="str">
        <f t="shared" si="326"/>
        <v>https://m566.info/2w4t96e</v>
      </c>
      <c r="C1626" s="1" t="str">
        <f>HYPERLINK("https://m566.info/2w4t96e","Rotweiller")</f>
        <v>Rotweiller</v>
      </c>
    </row>
    <row r="1627">
      <c r="A1627" s="1" t="str">
        <f t="shared" ref="A1627:A1632" si="327">HYPERLINK("https://m566.info/2w4t96e","Dog Obedience Training")</f>
        <v>Dog Obedience Training</v>
      </c>
      <c r="B1627" s="1" t="str">
        <f t="shared" si="326"/>
        <v>https://m566.info/2w4t96e</v>
      </c>
      <c r="C1627" s="1" t="str">
        <f>HYPERLINK("https://m566.info/2w4t96e","Doberman")</f>
        <v>Doberman</v>
      </c>
    </row>
    <row r="1628">
      <c r="A1628" s="1" t="str">
        <f t="shared" si="327"/>
        <v>Dog Obedience Training</v>
      </c>
      <c r="B1628" s="1" t="str">
        <f t="shared" si="326"/>
        <v>https://m566.info/2w4t96e</v>
      </c>
      <c r="C1628" s="1" t="str">
        <f>HYPERLINK("https://m566.info/2w4t96e","German Shepherd")</f>
        <v>German Shepherd</v>
      </c>
    </row>
    <row r="1629">
      <c r="A1629" s="1" t="str">
        <f t="shared" si="327"/>
        <v>Dog Obedience Training</v>
      </c>
      <c r="B1629" s="1" t="str">
        <f t="shared" si="326"/>
        <v>https://m566.info/2w4t96e</v>
      </c>
      <c r="C1629" s="1" t="str">
        <f>HYPERLINK("https://m566.info/2w4t96e","Border Clollie")</f>
        <v>Border Clollie</v>
      </c>
    </row>
    <row r="1630">
      <c r="A1630" s="1" t="str">
        <f t="shared" si="327"/>
        <v>Dog Obedience Training</v>
      </c>
      <c r="B1630" s="1" t="str">
        <f t="shared" si="326"/>
        <v>https://m566.info/2w4t96e</v>
      </c>
      <c r="C1630" s="1" t="str">
        <f>HYPERLINK("https://m566.info/2w4t96e","Rotwieller")</f>
        <v>Rotwieller</v>
      </c>
    </row>
    <row r="1631">
      <c r="A1631" s="1" t="str">
        <f t="shared" si="327"/>
        <v>Dog Obedience Training</v>
      </c>
      <c r="B1631" s="1" t="str">
        <f t="shared" si="326"/>
        <v>https://m566.info/2w4t96e</v>
      </c>
      <c r="C1631" s="1" t="str">
        <f>HYPERLINK("https://m566.info/2w4t96e","Cross Bred")</f>
        <v>Cross Bred</v>
      </c>
    </row>
    <row r="1632">
      <c r="A1632" s="1" t="str">
        <f t="shared" si="327"/>
        <v>Dog Obedience Training</v>
      </c>
      <c r="B1632" s="1" t="str">
        <f t="shared" si="326"/>
        <v>https://m566.info/2w4t96e</v>
      </c>
      <c r="C1632" s="1" t="str">
        <f>HYPERLINK("https://m566.info/2w4t96e","Rotweiller")</f>
        <v>Rotweiller</v>
      </c>
    </row>
    <row r="1633">
      <c r="A1633" s="1" t="str">
        <f t="shared" ref="A1633:A1638" si="328">HYPERLINK("https://m566.info/2w4t96e","Dog House Training")</f>
        <v>Dog House Training</v>
      </c>
      <c r="B1633" s="1" t="str">
        <f t="shared" si="326"/>
        <v>https://m566.info/2w4t96e</v>
      </c>
      <c r="C1633" s="1" t="str">
        <f>HYPERLINK("https://m566.info/2w4t96e","Doberman")</f>
        <v>Doberman</v>
      </c>
    </row>
    <row r="1634">
      <c r="A1634" s="1" t="str">
        <f t="shared" si="328"/>
        <v>Dog House Training</v>
      </c>
      <c r="B1634" s="1" t="str">
        <f t="shared" si="326"/>
        <v>https://m566.info/2w4t96e</v>
      </c>
      <c r="C1634" s="1" t="str">
        <f>HYPERLINK("https://m566.info/2w4t96e","German Shepherd")</f>
        <v>German Shepherd</v>
      </c>
    </row>
    <row r="1635">
      <c r="A1635" s="1" t="str">
        <f t="shared" si="328"/>
        <v>Dog House Training</v>
      </c>
      <c r="B1635" s="1" t="str">
        <f t="shared" si="326"/>
        <v>https://m566.info/2w4t96e</v>
      </c>
      <c r="C1635" s="1" t="str">
        <f>HYPERLINK("https://m566.info/2w4t96e","Border Clollie")</f>
        <v>Border Clollie</v>
      </c>
    </row>
    <row r="1636">
      <c r="A1636" s="1" t="str">
        <f t="shared" si="328"/>
        <v>Dog House Training</v>
      </c>
      <c r="B1636" s="1" t="str">
        <f t="shared" si="326"/>
        <v>https://m566.info/2w4t96e</v>
      </c>
      <c r="C1636" s="1" t="str">
        <f>HYPERLINK("https://m566.info/2w4t96e","Rotwieller")</f>
        <v>Rotwieller</v>
      </c>
    </row>
    <row r="1637">
      <c r="A1637" s="1" t="str">
        <f t="shared" si="328"/>
        <v>Dog House Training</v>
      </c>
      <c r="B1637" s="1" t="str">
        <f t="shared" si="326"/>
        <v>https://m566.info/2w4t96e</v>
      </c>
      <c r="C1637" s="1" t="str">
        <f>HYPERLINK("https://m566.info/2w4t96e","Cross Bred")</f>
        <v>Cross Bred</v>
      </c>
    </row>
    <row r="1638">
      <c r="A1638" s="1" t="str">
        <f t="shared" si="328"/>
        <v>Dog House Training</v>
      </c>
      <c r="B1638" s="1" t="str">
        <f t="shared" si="326"/>
        <v>https://m566.info/2w4t96e</v>
      </c>
      <c r="C1638" s="1" t="str">
        <f>HYPERLINK("https://m566.info/2w4t96e","Rotweiller")</f>
        <v>Rotweiller</v>
      </c>
    </row>
    <row r="1639">
      <c r="A1639" s="1" t="str">
        <f t="shared" ref="A1639:A1644" si="329">HYPERLINK("https://m566.info/2w4t96e","Dog Behaviour Training")</f>
        <v>Dog Behaviour Training</v>
      </c>
      <c r="B1639" s="1" t="str">
        <f t="shared" si="326"/>
        <v>https://m566.info/2w4t96e</v>
      </c>
      <c r="C1639" s="1" t="str">
        <f>HYPERLINK("https://m566.info/2w4t96e","Doberman")</f>
        <v>Doberman</v>
      </c>
    </row>
    <row r="1640">
      <c r="A1640" s="1" t="str">
        <f t="shared" si="329"/>
        <v>Dog Behaviour Training</v>
      </c>
      <c r="B1640" s="1" t="str">
        <f t="shared" si="326"/>
        <v>https://m566.info/2w4t96e</v>
      </c>
      <c r="C1640" s="1" t="str">
        <f>HYPERLINK("https://m566.info/2w4t96e","German Shepherd")</f>
        <v>German Shepherd</v>
      </c>
    </row>
    <row r="1641">
      <c r="A1641" s="1" t="str">
        <f t="shared" si="329"/>
        <v>Dog Behaviour Training</v>
      </c>
      <c r="B1641" s="1" t="str">
        <f t="shared" si="326"/>
        <v>https://m566.info/2w4t96e</v>
      </c>
      <c r="C1641" s="1" t="str">
        <f>HYPERLINK("https://m566.info/2w4t96e","Border Clollie")</f>
        <v>Border Clollie</v>
      </c>
    </row>
    <row r="1642">
      <c r="A1642" s="1" t="str">
        <f t="shared" si="329"/>
        <v>Dog Behaviour Training</v>
      </c>
      <c r="B1642" s="1" t="str">
        <f t="shared" si="326"/>
        <v>https://m566.info/2w4t96e</v>
      </c>
      <c r="C1642" s="1" t="str">
        <f>HYPERLINK("https://m566.info/2w4t96e","Rotwieller")</f>
        <v>Rotwieller</v>
      </c>
    </row>
    <row r="1643">
      <c r="A1643" s="1" t="str">
        <f t="shared" si="329"/>
        <v>Dog Behaviour Training</v>
      </c>
      <c r="B1643" s="1" t="str">
        <f t="shared" si="326"/>
        <v>https://m566.info/2w4t96e</v>
      </c>
      <c r="C1643" s="1" t="str">
        <f>HYPERLINK("https://m566.info/2w4t96e","Cross Bred")</f>
        <v>Cross Bred</v>
      </c>
    </row>
    <row r="1644">
      <c r="A1644" s="1" t="str">
        <f t="shared" si="329"/>
        <v>Dog Behaviour Training</v>
      </c>
      <c r="B1644" s="1" t="str">
        <f t="shared" si="326"/>
        <v>https://m566.info/2w4t96e</v>
      </c>
      <c r="C1644" s="1" t="str">
        <f>HYPERLINK("https://m566.info/2w4t96e","Rotweiller")</f>
        <v>Rotweiller</v>
      </c>
    </row>
    <row r="1645">
      <c r="A1645" s="1" t="str">
        <f t="shared" ref="A1645:A1650" si="330">HYPERLINK("https://m566.info/2w4t96e","Dog : Elite Training")</f>
        <v>Dog : Elite Training</v>
      </c>
      <c r="B1645" s="1" t="str">
        <f t="shared" si="326"/>
        <v>https://m566.info/2w4t96e</v>
      </c>
      <c r="C1645" s="1" t="str">
        <f>HYPERLINK("https://m566.info/2w4t96e","Doberman")</f>
        <v>Doberman</v>
      </c>
    </row>
    <row r="1646">
      <c r="A1646" s="1" t="str">
        <f t="shared" si="330"/>
        <v>Dog : Elite Training</v>
      </c>
      <c r="B1646" s="1" t="str">
        <f t="shared" si="326"/>
        <v>https://m566.info/2w4t96e</v>
      </c>
      <c r="C1646" s="1" t="str">
        <f>HYPERLINK("https://m566.info/2w4t96e","German Shepherd")</f>
        <v>German Shepherd</v>
      </c>
    </row>
    <row r="1647">
      <c r="A1647" s="1" t="str">
        <f t="shared" si="330"/>
        <v>Dog : Elite Training</v>
      </c>
      <c r="B1647" s="1" t="str">
        <f t="shared" si="326"/>
        <v>https://m566.info/2w4t96e</v>
      </c>
      <c r="C1647" s="1" t="str">
        <f>HYPERLINK("https://m566.info/2w4t96e","Border Clollie")</f>
        <v>Border Clollie</v>
      </c>
    </row>
    <row r="1648">
      <c r="A1648" s="1" t="str">
        <f t="shared" si="330"/>
        <v>Dog : Elite Training</v>
      </c>
      <c r="B1648" s="1" t="str">
        <f t="shared" si="326"/>
        <v>https://m566.info/2w4t96e</v>
      </c>
      <c r="C1648" s="1" t="str">
        <f>HYPERLINK("https://m566.info/2w4t96e","Rotwieller")</f>
        <v>Rotwieller</v>
      </c>
    </row>
    <row r="1649">
      <c r="A1649" s="1" t="str">
        <f t="shared" si="330"/>
        <v>Dog : Elite Training</v>
      </c>
      <c r="B1649" s="1" t="str">
        <f t="shared" si="326"/>
        <v>https://m566.info/2w4t96e</v>
      </c>
      <c r="C1649" s="1" t="str">
        <f>HYPERLINK("https://m566.info/2w4t96e","Cross Bred")</f>
        <v>Cross Bred</v>
      </c>
    </row>
    <row r="1650">
      <c r="A1650" s="1" t="str">
        <f t="shared" si="330"/>
        <v>Dog : Elite Training</v>
      </c>
      <c r="B1650" s="1" t="str">
        <f t="shared" si="326"/>
        <v>https://m566.info/2w4t96e</v>
      </c>
      <c r="C1650" s="1" t="str">
        <f>HYPERLINK("https://m566.info/2w4t96e","Rotweiller")</f>
        <v>Rotweiller</v>
      </c>
    </row>
    <row r="1651">
      <c r="A1651" s="1" t="str">
        <f t="shared" ref="A1651:A1656" si="331">HYPERLINK("https://m566.info/o6vr3r0","Dog Aggression Training")</f>
        <v>Dog Aggression Training</v>
      </c>
      <c r="B1651" s="1" t="str">
        <f t="shared" ref="B1651:B1680" si="332">HYPERLINK("https://m566.info/o6vr3r0","https://m566.info/o6vr3r0")</f>
        <v>https://m566.info/o6vr3r0</v>
      </c>
      <c r="C1651" s="1" t="str">
        <f>HYPERLINK("https://m566.info/o6vr3r0","Doberman")</f>
        <v>Doberman</v>
      </c>
    </row>
    <row r="1652">
      <c r="A1652" s="1" t="str">
        <f t="shared" si="331"/>
        <v>Dog Aggression Training</v>
      </c>
      <c r="B1652" s="1" t="str">
        <f t="shared" si="332"/>
        <v>https://m566.info/o6vr3r0</v>
      </c>
      <c r="C1652" s="1" t="str">
        <f>HYPERLINK("https://m566.info/o6vr3r0","German Shepherd")</f>
        <v>German Shepherd</v>
      </c>
    </row>
    <row r="1653">
      <c r="A1653" s="1" t="str">
        <f t="shared" si="331"/>
        <v>Dog Aggression Training</v>
      </c>
      <c r="B1653" s="1" t="str">
        <f t="shared" si="332"/>
        <v>https://m566.info/o6vr3r0</v>
      </c>
      <c r="C1653" s="1" t="str">
        <f>HYPERLINK("https://m566.info/o6vr3r0","Border Clollie")</f>
        <v>Border Clollie</v>
      </c>
    </row>
    <row r="1654">
      <c r="A1654" s="1" t="str">
        <f t="shared" si="331"/>
        <v>Dog Aggression Training</v>
      </c>
      <c r="B1654" s="1" t="str">
        <f t="shared" si="332"/>
        <v>https://m566.info/o6vr3r0</v>
      </c>
      <c r="C1654" s="1" t="str">
        <f>HYPERLINK("https://m566.info/o6vr3r0","Rotwieller")</f>
        <v>Rotwieller</v>
      </c>
    </row>
    <row r="1655">
      <c r="A1655" s="1" t="str">
        <f t="shared" si="331"/>
        <v>Dog Aggression Training</v>
      </c>
      <c r="B1655" s="1" t="str">
        <f t="shared" si="332"/>
        <v>https://m566.info/o6vr3r0</v>
      </c>
      <c r="C1655" s="1" t="str">
        <f>HYPERLINK("https://m566.info/o6vr3r0","Cross Bred")</f>
        <v>Cross Bred</v>
      </c>
    </row>
    <row r="1656">
      <c r="A1656" s="1" t="str">
        <f t="shared" si="331"/>
        <v>Dog Aggression Training</v>
      </c>
      <c r="B1656" s="1" t="str">
        <f t="shared" si="332"/>
        <v>https://m566.info/o6vr3r0</v>
      </c>
      <c r="C1656" s="1" t="str">
        <f>HYPERLINK("https://m566.info/o6vr3r0","Rotweiller")</f>
        <v>Rotweiller</v>
      </c>
    </row>
    <row r="1657">
      <c r="A1657" s="1" t="str">
        <f t="shared" ref="A1657:A1662" si="333">HYPERLINK("https://m566.info/o6vr3r0","Dog Obedience Training")</f>
        <v>Dog Obedience Training</v>
      </c>
      <c r="B1657" s="1" t="str">
        <f t="shared" si="332"/>
        <v>https://m566.info/o6vr3r0</v>
      </c>
      <c r="C1657" s="1" t="str">
        <f>HYPERLINK("https://m566.info/o6vr3r0","Doberman")</f>
        <v>Doberman</v>
      </c>
    </row>
    <row r="1658">
      <c r="A1658" s="1" t="str">
        <f t="shared" si="333"/>
        <v>Dog Obedience Training</v>
      </c>
      <c r="B1658" s="1" t="str">
        <f t="shared" si="332"/>
        <v>https://m566.info/o6vr3r0</v>
      </c>
      <c r="C1658" s="1" t="str">
        <f>HYPERLINK("https://m566.info/o6vr3r0","German Shepherd")</f>
        <v>German Shepherd</v>
      </c>
    </row>
    <row r="1659">
      <c r="A1659" s="1" t="str">
        <f t="shared" si="333"/>
        <v>Dog Obedience Training</v>
      </c>
      <c r="B1659" s="1" t="str">
        <f t="shared" si="332"/>
        <v>https://m566.info/o6vr3r0</v>
      </c>
      <c r="C1659" s="1" t="str">
        <f>HYPERLINK("https://m566.info/o6vr3r0","Border Clollie")</f>
        <v>Border Clollie</v>
      </c>
    </row>
    <row r="1660">
      <c r="A1660" s="1" t="str">
        <f t="shared" si="333"/>
        <v>Dog Obedience Training</v>
      </c>
      <c r="B1660" s="1" t="str">
        <f t="shared" si="332"/>
        <v>https://m566.info/o6vr3r0</v>
      </c>
      <c r="C1660" s="1" t="str">
        <f>HYPERLINK("https://m566.info/o6vr3r0","Rotwieller")</f>
        <v>Rotwieller</v>
      </c>
    </row>
    <row r="1661">
      <c r="A1661" s="1" t="str">
        <f t="shared" si="333"/>
        <v>Dog Obedience Training</v>
      </c>
      <c r="B1661" s="1" t="str">
        <f t="shared" si="332"/>
        <v>https://m566.info/o6vr3r0</v>
      </c>
      <c r="C1661" s="1" t="str">
        <f>HYPERLINK("https://m566.info/o6vr3r0","Cross Bred")</f>
        <v>Cross Bred</v>
      </c>
    </row>
    <row r="1662">
      <c r="A1662" s="1" t="str">
        <f t="shared" si="333"/>
        <v>Dog Obedience Training</v>
      </c>
      <c r="B1662" s="1" t="str">
        <f t="shared" si="332"/>
        <v>https://m566.info/o6vr3r0</v>
      </c>
      <c r="C1662" s="1" t="str">
        <f>HYPERLINK("https://m566.info/o6vr3r0","Rotweiller")</f>
        <v>Rotweiller</v>
      </c>
    </row>
    <row r="1663">
      <c r="A1663" s="1" t="str">
        <f t="shared" ref="A1663:A1668" si="334">HYPERLINK("https://m566.info/o6vr3r0","Dog House Training")</f>
        <v>Dog House Training</v>
      </c>
      <c r="B1663" s="1" t="str">
        <f t="shared" si="332"/>
        <v>https://m566.info/o6vr3r0</v>
      </c>
      <c r="C1663" s="1" t="str">
        <f>HYPERLINK("https://m566.info/o6vr3r0","Doberman")</f>
        <v>Doberman</v>
      </c>
    </row>
    <row r="1664">
      <c r="A1664" s="1" t="str">
        <f t="shared" si="334"/>
        <v>Dog House Training</v>
      </c>
      <c r="B1664" s="1" t="str">
        <f t="shared" si="332"/>
        <v>https://m566.info/o6vr3r0</v>
      </c>
      <c r="C1664" s="1" t="str">
        <f>HYPERLINK("https://m566.info/o6vr3r0","German Shepherd")</f>
        <v>German Shepherd</v>
      </c>
    </row>
    <row r="1665">
      <c r="A1665" s="1" t="str">
        <f t="shared" si="334"/>
        <v>Dog House Training</v>
      </c>
      <c r="B1665" s="1" t="str">
        <f t="shared" si="332"/>
        <v>https://m566.info/o6vr3r0</v>
      </c>
      <c r="C1665" s="1" t="str">
        <f>HYPERLINK("https://m566.info/o6vr3r0","Border Clollie")</f>
        <v>Border Clollie</v>
      </c>
    </row>
    <row r="1666">
      <c r="A1666" s="1" t="str">
        <f t="shared" si="334"/>
        <v>Dog House Training</v>
      </c>
      <c r="B1666" s="1" t="str">
        <f t="shared" si="332"/>
        <v>https://m566.info/o6vr3r0</v>
      </c>
      <c r="C1666" s="1" t="str">
        <f>HYPERLINK("https://m566.info/o6vr3r0","Rotwieller")</f>
        <v>Rotwieller</v>
      </c>
    </row>
    <row r="1667">
      <c r="A1667" s="1" t="str">
        <f t="shared" si="334"/>
        <v>Dog House Training</v>
      </c>
      <c r="B1667" s="1" t="str">
        <f t="shared" si="332"/>
        <v>https://m566.info/o6vr3r0</v>
      </c>
      <c r="C1667" s="1" t="str">
        <f>HYPERLINK("https://m566.info/o6vr3r0","Cross Bred")</f>
        <v>Cross Bred</v>
      </c>
    </row>
    <row r="1668">
      <c r="A1668" s="1" t="str">
        <f t="shared" si="334"/>
        <v>Dog House Training</v>
      </c>
      <c r="B1668" s="1" t="str">
        <f t="shared" si="332"/>
        <v>https://m566.info/o6vr3r0</v>
      </c>
      <c r="C1668" s="1" t="str">
        <f>HYPERLINK("https://m566.info/o6vr3r0","Rotweiller")</f>
        <v>Rotweiller</v>
      </c>
    </row>
    <row r="1669">
      <c r="A1669" s="1" t="str">
        <f t="shared" ref="A1669:A1674" si="335">HYPERLINK("https://m566.info/o6vr3r0","Dog Behaviour Training")</f>
        <v>Dog Behaviour Training</v>
      </c>
      <c r="B1669" s="1" t="str">
        <f t="shared" si="332"/>
        <v>https://m566.info/o6vr3r0</v>
      </c>
      <c r="C1669" s="1" t="str">
        <f>HYPERLINK("https://m566.info/o6vr3r0","Doberman")</f>
        <v>Doberman</v>
      </c>
    </row>
    <row r="1670">
      <c r="A1670" s="1" t="str">
        <f t="shared" si="335"/>
        <v>Dog Behaviour Training</v>
      </c>
      <c r="B1670" s="1" t="str">
        <f t="shared" si="332"/>
        <v>https://m566.info/o6vr3r0</v>
      </c>
      <c r="C1670" s="1" t="str">
        <f>HYPERLINK("https://m566.info/o6vr3r0","German Shepherd")</f>
        <v>German Shepherd</v>
      </c>
    </row>
    <row r="1671">
      <c r="A1671" s="1" t="str">
        <f t="shared" si="335"/>
        <v>Dog Behaviour Training</v>
      </c>
      <c r="B1671" s="1" t="str">
        <f t="shared" si="332"/>
        <v>https://m566.info/o6vr3r0</v>
      </c>
      <c r="C1671" s="1" t="str">
        <f>HYPERLINK("https://m566.info/o6vr3r0","Border Clollie")</f>
        <v>Border Clollie</v>
      </c>
    </row>
    <row r="1672">
      <c r="A1672" s="1" t="str">
        <f t="shared" si="335"/>
        <v>Dog Behaviour Training</v>
      </c>
      <c r="B1672" s="1" t="str">
        <f t="shared" si="332"/>
        <v>https://m566.info/o6vr3r0</v>
      </c>
      <c r="C1672" s="1" t="str">
        <f>HYPERLINK("https://m566.info/o6vr3r0","Rotwieller")</f>
        <v>Rotwieller</v>
      </c>
    </row>
    <row r="1673">
      <c r="A1673" s="1" t="str">
        <f t="shared" si="335"/>
        <v>Dog Behaviour Training</v>
      </c>
      <c r="B1673" s="1" t="str">
        <f t="shared" si="332"/>
        <v>https://m566.info/o6vr3r0</v>
      </c>
      <c r="C1673" s="1" t="str">
        <f>HYPERLINK("https://m566.info/o6vr3r0","Cross Bred")</f>
        <v>Cross Bred</v>
      </c>
    </row>
    <row r="1674">
      <c r="A1674" s="1" t="str">
        <f t="shared" si="335"/>
        <v>Dog Behaviour Training</v>
      </c>
      <c r="B1674" s="1" t="str">
        <f t="shared" si="332"/>
        <v>https://m566.info/o6vr3r0</v>
      </c>
      <c r="C1674" s="1" t="str">
        <f>HYPERLINK("https://m566.info/o6vr3r0","Rotweiller")</f>
        <v>Rotweiller</v>
      </c>
    </row>
    <row r="1675">
      <c r="A1675" s="1" t="str">
        <f t="shared" ref="A1675:A1680" si="336">HYPERLINK("https://m566.info/o6vr3r0","Dog : Elite Training")</f>
        <v>Dog : Elite Training</v>
      </c>
      <c r="B1675" s="1" t="str">
        <f t="shared" si="332"/>
        <v>https://m566.info/o6vr3r0</v>
      </c>
      <c r="C1675" s="1" t="str">
        <f>HYPERLINK("https://m566.info/o6vr3r0","Doberman")</f>
        <v>Doberman</v>
      </c>
    </row>
    <row r="1676">
      <c r="A1676" s="1" t="str">
        <f t="shared" si="336"/>
        <v>Dog : Elite Training</v>
      </c>
      <c r="B1676" s="1" t="str">
        <f t="shared" si="332"/>
        <v>https://m566.info/o6vr3r0</v>
      </c>
      <c r="C1676" s="1" t="str">
        <f>HYPERLINK("https://m566.info/o6vr3r0","German Shepherd")</f>
        <v>German Shepherd</v>
      </c>
    </row>
    <row r="1677">
      <c r="A1677" s="1" t="str">
        <f t="shared" si="336"/>
        <v>Dog : Elite Training</v>
      </c>
      <c r="B1677" s="1" t="str">
        <f t="shared" si="332"/>
        <v>https://m566.info/o6vr3r0</v>
      </c>
      <c r="C1677" s="1" t="str">
        <f>HYPERLINK("https://m566.info/o6vr3r0","Border Clollie")</f>
        <v>Border Clollie</v>
      </c>
    </row>
    <row r="1678">
      <c r="A1678" s="1" t="str">
        <f t="shared" si="336"/>
        <v>Dog : Elite Training</v>
      </c>
      <c r="B1678" s="1" t="str">
        <f t="shared" si="332"/>
        <v>https://m566.info/o6vr3r0</v>
      </c>
      <c r="C1678" s="1" t="str">
        <f>HYPERLINK("https://m566.info/o6vr3r0","Rotwieller")</f>
        <v>Rotwieller</v>
      </c>
    </row>
    <row r="1679">
      <c r="A1679" s="1" t="str">
        <f t="shared" si="336"/>
        <v>Dog : Elite Training</v>
      </c>
      <c r="B1679" s="1" t="str">
        <f t="shared" si="332"/>
        <v>https://m566.info/o6vr3r0</v>
      </c>
      <c r="C1679" s="1" t="str">
        <f>HYPERLINK("https://m566.info/o6vr3r0","Cross Bred")</f>
        <v>Cross Bred</v>
      </c>
    </row>
    <row r="1680">
      <c r="A1680" s="1" t="str">
        <f t="shared" si="336"/>
        <v>Dog : Elite Training</v>
      </c>
      <c r="B1680" s="1" t="str">
        <f t="shared" si="332"/>
        <v>https://m566.info/o6vr3r0</v>
      </c>
      <c r="C1680" s="1" t="str">
        <f>HYPERLINK("https://m566.info/o6vr3r0","Rotweiller")</f>
        <v>Rotweiller</v>
      </c>
    </row>
    <row r="1681">
      <c r="A1681" s="1" t="str">
        <f t="shared" ref="A1681:A1686" si="337">HYPERLINK("https://m566.info/659h3op","Dog Aggression Training")</f>
        <v>Dog Aggression Training</v>
      </c>
      <c r="B1681" s="1" t="str">
        <f t="shared" ref="B1681:B1710" si="338">HYPERLINK("https://m566.info/659h3op","https://m566.info/659h3op")</f>
        <v>https://m566.info/659h3op</v>
      </c>
      <c r="C1681" s="1" t="str">
        <f>HYPERLINK("https://m566.info/659h3op","Doberman")</f>
        <v>Doberman</v>
      </c>
    </row>
    <row r="1682">
      <c r="A1682" s="1" t="str">
        <f t="shared" si="337"/>
        <v>Dog Aggression Training</v>
      </c>
      <c r="B1682" s="1" t="str">
        <f t="shared" si="338"/>
        <v>https://m566.info/659h3op</v>
      </c>
      <c r="C1682" s="1" t="str">
        <f>HYPERLINK("https://m566.info/659h3op","German Shepherd")</f>
        <v>German Shepherd</v>
      </c>
    </row>
    <row r="1683">
      <c r="A1683" s="1" t="str">
        <f t="shared" si="337"/>
        <v>Dog Aggression Training</v>
      </c>
      <c r="B1683" s="1" t="str">
        <f t="shared" si="338"/>
        <v>https://m566.info/659h3op</v>
      </c>
      <c r="C1683" s="1" t="str">
        <f>HYPERLINK("https://m566.info/659h3op","Border Clollie")</f>
        <v>Border Clollie</v>
      </c>
    </row>
    <row r="1684">
      <c r="A1684" s="1" t="str">
        <f t="shared" si="337"/>
        <v>Dog Aggression Training</v>
      </c>
      <c r="B1684" s="1" t="str">
        <f t="shared" si="338"/>
        <v>https://m566.info/659h3op</v>
      </c>
      <c r="C1684" s="1" t="str">
        <f>HYPERLINK("https://m566.info/659h3op","Rotwieller")</f>
        <v>Rotwieller</v>
      </c>
    </row>
    <row r="1685">
      <c r="A1685" s="1" t="str">
        <f t="shared" si="337"/>
        <v>Dog Aggression Training</v>
      </c>
      <c r="B1685" s="1" t="str">
        <f t="shared" si="338"/>
        <v>https://m566.info/659h3op</v>
      </c>
      <c r="C1685" s="1" t="str">
        <f>HYPERLINK("https://m566.info/659h3op","Cross Bred")</f>
        <v>Cross Bred</v>
      </c>
    </row>
    <row r="1686">
      <c r="A1686" s="1" t="str">
        <f t="shared" si="337"/>
        <v>Dog Aggression Training</v>
      </c>
      <c r="B1686" s="1" t="str">
        <f t="shared" si="338"/>
        <v>https://m566.info/659h3op</v>
      </c>
      <c r="C1686" s="1" t="str">
        <f>HYPERLINK("https://m566.info/659h3op","Rotweiller")</f>
        <v>Rotweiller</v>
      </c>
    </row>
    <row r="1687">
      <c r="A1687" s="1" t="str">
        <f t="shared" ref="A1687:A1692" si="339">HYPERLINK("https://m566.info/659h3op","Dog Obedience Training")</f>
        <v>Dog Obedience Training</v>
      </c>
      <c r="B1687" s="1" t="str">
        <f t="shared" si="338"/>
        <v>https://m566.info/659h3op</v>
      </c>
      <c r="C1687" s="1" t="str">
        <f>HYPERLINK("https://m566.info/659h3op","Doberman")</f>
        <v>Doberman</v>
      </c>
    </row>
    <row r="1688">
      <c r="A1688" s="1" t="str">
        <f t="shared" si="339"/>
        <v>Dog Obedience Training</v>
      </c>
      <c r="B1688" s="1" t="str">
        <f t="shared" si="338"/>
        <v>https://m566.info/659h3op</v>
      </c>
      <c r="C1688" s="1" t="str">
        <f>HYPERLINK("https://m566.info/659h3op","German Shepherd")</f>
        <v>German Shepherd</v>
      </c>
    </row>
    <row r="1689">
      <c r="A1689" s="1" t="str">
        <f t="shared" si="339"/>
        <v>Dog Obedience Training</v>
      </c>
      <c r="B1689" s="1" t="str">
        <f t="shared" si="338"/>
        <v>https://m566.info/659h3op</v>
      </c>
      <c r="C1689" s="1" t="str">
        <f>HYPERLINK("https://m566.info/659h3op","Border Clollie")</f>
        <v>Border Clollie</v>
      </c>
    </row>
    <row r="1690">
      <c r="A1690" s="1" t="str">
        <f t="shared" si="339"/>
        <v>Dog Obedience Training</v>
      </c>
      <c r="B1690" s="1" t="str">
        <f t="shared" si="338"/>
        <v>https://m566.info/659h3op</v>
      </c>
      <c r="C1690" s="1" t="str">
        <f>HYPERLINK("https://m566.info/659h3op","Rotwieller")</f>
        <v>Rotwieller</v>
      </c>
    </row>
    <row r="1691">
      <c r="A1691" s="1" t="str">
        <f t="shared" si="339"/>
        <v>Dog Obedience Training</v>
      </c>
      <c r="B1691" s="1" t="str">
        <f t="shared" si="338"/>
        <v>https://m566.info/659h3op</v>
      </c>
      <c r="C1691" s="1" t="str">
        <f>HYPERLINK("https://m566.info/659h3op","Cross Bred")</f>
        <v>Cross Bred</v>
      </c>
    </row>
    <row r="1692">
      <c r="A1692" s="1" t="str">
        <f t="shared" si="339"/>
        <v>Dog Obedience Training</v>
      </c>
      <c r="B1692" s="1" t="str">
        <f t="shared" si="338"/>
        <v>https://m566.info/659h3op</v>
      </c>
      <c r="C1692" s="1" t="str">
        <f>HYPERLINK("https://m566.info/659h3op","Rotweiller")</f>
        <v>Rotweiller</v>
      </c>
    </row>
    <row r="1693">
      <c r="A1693" s="1" t="str">
        <f t="shared" ref="A1693:A1698" si="340">HYPERLINK("https://m566.info/659h3op","Dog House Training")</f>
        <v>Dog House Training</v>
      </c>
      <c r="B1693" s="1" t="str">
        <f t="shared" si="338"/>
        <v>https://m566.info/659h3op</v>
      </c>
      <c r="C1693" s="1" t="str">
        <f>HYPERLINK("https://m566.info/659h3op","Doberman")</f>
        <v>Doberman</v>
      </c>
    </row>
    <row r="1694">
      <c r="A1694" s="1" t="str">
        <f t="shared" si="340"/>
        <v>Dog House Training</v>
      </c>
      <c r="B1694" s="1" t="str">
        <f t="shared" si="338"/>
        <v>https://m566.info/659h3op</v>
      </c>
      <c r="C1694" s="1" t="str">
        <f>HYPERLINK("https://m566.info/659h3op","German Shepherd")</f>
        <v>German Shepherd</v>
      </c>
    </row>
    <row r="1695">
      <c r="A1695" s="1" t="str">
        <f t="shared" si="340"/>
        <v>Dog House Training</v>
      </c>
      <c r="B1695" s="1" t="str">
        <f t="shared" si="338"/>
        <v>https://m566.info/659h3op</v>
      </c>
      <c r="C1695" s="1" t="str">
        <f>HYPERLINK("https://m566.info/659h3op","Border Clollie")</f>
        <v>Border Clollie</v>
      </c>
    </row>
    <row r="1696">
      <c r="A1696" s="1" t="str">
        <f t="shared" si="340"/>
        <v>Dog House Training</v>
      </c>
      <c r="B1696" s="1" t="str">
        <f t="shared" si="338"/>
        <v>https://m566.info/659h3op</v>
      </c>
      <c r="C1696" s="1" t="str">
        <f>HYPERLINK("https://m566.info/659h3op","Rotwieller")</f>
        <v>Rotwieller</v>
      </c>
    </row>
    <row r="1697">
      <c r="A1697" s="1" t="str">
        <f t="shared" si="340"/>
        <v>Dog House Training</v>
      </c>
      <c r="B1697" s="1" t="str">
        <f t="shared" si="338"/>
        <v>https://m566.info/659h3op</v>
      </c>
      <c r="C1697" s="1" t="str">
        <f>HYPERLINK("https://m566.info/659h3op","Cross Bred")</f>
        <v>Cross Bred</v>
      </c>
    </row>
    <row r="1698">
      <c r="A1698" s="1" t="str">
        <f t="shared" si="340"/>
        <v>Dog House Training</v>
      </c>
      <c r="B1698" s="1" t="str">
        <f t="shared" si="338"/>
        <v>https://m566.info/659h3op</v>
      </c>
      <c r="C1698" s="1" t="str">
        <f>HYPERLINK("https://m566.info/659h3op","Rotweiller")</f>
        <v>Rotweiller</v>
      </c>
    </row>
    <row r="1699">
      <c r="A1699" s="1" t="str">
        <f t="shared" ref="A1699:A1704" si="341">HYPERLINK("https://m566.info/659h3op","Dog Behaviour Training")</f>
        <v>Dog Behaviour Training</v>
      </c>
      <c r="B1699" s="1" t="str">
        <f t="shared" si="338"/>
        <v>https://m566.info/659h3op</v>
      </c>
      <c r="C1699" s="1" t="str">
        <f>HYPERLINK("https://m566.info/659h3op","Doberman")</f>
        <v>Doberman</v>
      </c>
    </row>
    <row r="1700">
      <c r="A1700" s="1" t="str">
        <f t="shared" si="341"/>
        <v>Dog Behaviour Training</v>
      </c>
      <c r="B1700" s="1" t="str">
        <f t="shared" si="338"/>
        <v>https://m566.info/659h3op</v>
      </c>
      <c r="C1700" s="1" t="str">
        <f>HYPERLINK("https://m566.info/659h3op","German Shepherd")</f>
        <v>German Shepherd</v>
      </c>
    </row>
    <row r="1701">
      <c r="A1701" s="1" t="str">
        <f t="shared" si="341"/>
        <v>Dog Behaviour Training</v>
      </c>
      <c r="B1701" s="1" t="str">
        <f t="shared" si="338"/>
        <v>https://m566.info/659h3op</v>
      </c>
      <c r="C1701" s="1" t="str">
        <f>HYPERLINK("https://m566.info/659h3op","Border Clollie")</f>
        <v>Border Clollie</v>
      </c>
    </row>
    <row r="1702">
      <c r="A1702" s="1" t="str">
        <f t="shared" si="341"/>
        <v>Dog Behaviour Training</v>
      </c>
      <c r="B1702" s="1" t="str">
        <f t="shared" si="338"/>
        <v>https://m566.info/659h3op</v>
      </c>
      <c r="C1702" s="1" t="str">
        <f>HYPERLINK("https://m566.info/659h3op","Rotwieller")</f>
        <v>Rotwieller</v>
      </c>
    </row>
    <row r="1703">
      <c r="A1703" s="1" t="str">
        <f t="shared" si="341"/>
        <v>Dog Behaviour Training</v>
      </c>
      <c r="B1703" s="1" t="str">
        <f t="shared" si="338"/>
        <v>https://m566.info/659h3op</v>
      </c>
      <c r="C1703" s="1" t="str">
        <f>HYPERLINK("https://m566.info/659h3op","Cross Bred")</f>
        <v>Cross Bred</v>
      </c>
    </row>
    <row r="1704">
      <c r="A1704" s="1" t="str">
        <f t="shared" si="341"/>
        <v>Dog Behaviour Training</v>
      </c>
      <c r="B1704" s="1" t="str">
        <f t="shared" si="338"/>
        <v>https://m566.info/659h3op</v>
      </c>
      <c r="C1704" s="1" t="str">
        <f>HYPERLINK("https://m566.info/659h3op","Rotweiller")</f>
        <v>Rotweiller</v>
      </c>
    </row>
    <row r="1705">
      <c r="A1705" s="1" t="str">
        <f t="shared" ref="A1705:A1710" si="342">HYPERLINK("https://m566.info/659h3op","Dog : Elite Training")</f>
        <v>Dog : Elite Training</v>
      </c>
      <c r="B1705" s="1" t="str">
        <f t="shared" si="338"/>
        <v>https://m566.info/659h3op</v>
      </c>
      <c r="C1705" s="1" t="str">
        <f>HYPERLINK("https://m566.info/659h3op","Doberman")</f>
        <v>Doberman</v>
      </c>
    </row>
    <row r="1706">
      <c r="A1706" s="1" t="str">
        <f t="shared" si="342"/>
        <v>Dog : Elite Training</v>
      </c>
      <c r="B1706" s="1" t="str">
        <f t="shared" si="338"/>
        <v>https://m566.info/659h3op</v>
      </c>
      <c r="C1706" s="1" t="str">
        <f>HYPERLINK("https://m566.info/659h3op","German Shepherd")</f>
        <v>German Shepherd</v>
      </c>
    </row>
    <row r="1707">
      <c r="A1707" s="1" t="str">
        <f t="shared" si="342"/>
        <v>Dog : Elite Training</v>
      </c>
      <c r="B1707" s="1" t="str">
        <f t="shared" si="338"/>
        <v>https://m566.info/659h3op</v>
      </c>
      <c r="C1707" s="1" t="str">
        <f>HYPERLINK("https://m566.info/659h3op","Border Clollie")</f>
        <v>Border Clollie</v>
      </c>
    </row>
    <row r="1708">
      <c r="A1708" s="1" t="str">
        <f t="shared" si="342"/>
        <v>Dog : Elite Training</v>
      </c>
      <c r="B1708" s="1" t="str">
        <f t="shared" si="338"/>
        <v>https://m566.info/659h3op</v>
      </c>
      <c r="C1708" s="1" t="str">
        <f>HYPERLINK("https://m566.info/659h3op","Rotwieller")</f>
        <v>Rotwieller</v>
      </c>
    </row>
    <row r="1709">
      <c r="A1709" s="1" t="str">
        <f t="shared" si="342"/>
        <v>Dog : Elite Training</v>
      </c>
      <c r="B1709" s="1" t="str">
        <f t="shared" si="338"/>
        <v>https://m566.info/659h3op</v>
      </c>
      <c r="C1709" s="1" t="str">
        <f>HYPERLINK("https://m566.info/659h3op","Cross Bred")</f>
        <v>Cross Bred</v>
      </c>
    </row>
    <row r="1710">
      <c r="A1710" s="1" t="str">
        <f t="shared" si="342"/>
        <v>Dog : Elite Training</v>
      </c>
      <c r="B1710" s="1" t="str">
        <f t="shared" si="338"/>
        <v>https://m566.info/659h3op</v>
      </c>
      <c r="C1710" s="1" t="str">
        <f>HYPERLINK("https://m566.info/659h3op","Rotweiller")</f>
        <v>Rotweiller</v>
      </c>
    </row>
    <row r="1711">
      <c r="A1711" s="1" t="str">
        <f t="shared" ref="A1711:A1716" si="343">HYPERLINK("https://m566.info/70xc90f","Dog Aggression Training")</f>
        <v>Dog Aggression Training</v>
      </c>
      <c r="B1711" s="1" t="str">
        <f t="shared" ref="B1711:B1740" si="344">HYPERLINK("https://m566.info/70xc90f","https://m566.info/70xc90f")</f>
        <v>https://m566.info/70xc90f</v>
      </c>
      <c r="C1711" s="1" t="str">
        <f>HYPERLINK("https://m566.info/70xc90f","Doberman")</f>
        <v>Doberman</v>
      </c>
    </row>
    <row r="1712">
      <c r="A1712" s="1" t="str">
        <f t="shared" si="343"/>
        <v>Dog Aggression Training</v>
      </c>
      <c r="B1712" s="1" t="str">
        <f t="shared" si="344"/>
        <v>https://m566.info/70xc90f</v>
      </c>
      <c r="C1712" s="1" t="str">
        <f>HYPERLINK("https://m566.info/70xc90f","German Shepherd")</f>
        <v>German Shepherd</v>
      </c>
    </row>
    <row r="1713">
      <c r="A1713" s="1" t="str">
        <f t="shared" si="343"/>
        <v>Dog Aggression Training</v>
      </c>
      <c r="B1713" s="1" t="str">
        <f t="shared" si="344"/>
        <v>https://m566.info/70xc90f</v>
      </c>
      <c r="C1713" s="1" t="str">
        <f>HYPERLINK("https://m566.info/70xc90f","Border Clollie")</f>
        <v>Border Clollie</v>
      </c>
    </row>
    <row r="1714">
      <c r="A1714" s="1" t="str">
        <f t="shared" si="343"/>
        <v>Dog Aggression Training</v>
      </c>
      <c r="B1714" s="1" t="str">
        <f t="shared" si="344"/>
        <v>https://m566.info/70xc90f</v>
      </c>
      <c r="C1714" s="1" t="str">
        <f>HYPERLINK("https://m566.info/70xc90f","Rotwieller")</f>
        <v>Rotwieller</v>
      </c>
    </row>
    <row r="1715">
      <c r="A1715" s="1" t="str">
        <f t="shared" si="343"/>
        <v>Dog Aggression Training</v>
      </c>
      <c r="B1715" s="1" t="str">
        <f t="shared" si="344"/>
        <v>https://m566.info/70xc90f</v>
      </c>
      <c r="C1715" s="1" t="str">
        <f>HYPERLINK("https://m566.info/70xc90f","Cross Bred")</f>
        <v>Cross Bred</v>
      </c>
    </row>
    <row r="1716">
      <c r="A1716" s="1" t="str">
        <f t="shared" si="343"/>
        <v>Dog Aggression Training</v>
      </c>
      <c r="B1716" s="1" t="str">
        <f t="shared" si="344"/>
        <v>https://m566.info/70xc90f</v>
      </c>
      <c r="C1716" s="1" t="str">
        <f>HYPERLINK("https://m566.info/70xc90f","Rotweiller")</f>
        <v>Rotweiller</v>
      </c>
    </row>
    <row r="1717">
      <c r="A1717" s="1" t="str">
        <f t="shared" ref="A1717:A1722" si="345">HYPERLINK("https://m566.info/70xc90f","Dog Obedience Training")</f>
        <v>Dog Obedience Training</v>
      </c>
      <c r="B1717" s="1" t="str">
        <f t="shared" si="344"/>
        <v>https://m566.info/70xc90f</v>
      </c>
      <c r="C1717" s="1" t="str">
        <f>HYPERLINK("https://m566.info/70xc90f","Doberman")</f>
        <v>Doberman</v>
      </c>
    </row>
    <row r="1718">
      <c r="A1718" s="1" t="str">
        <f t="shared" si="345"/>
        <v>Dog Obedience Training</v>
      </c>
      <c r="B1718" s="1" t="str">
        <f t="shared" si="344"/>
        <v>https://m566.info/70xc90f</v>
      </c>
      <c r="C1718" s="1" t="str">
        <f>HYPERLINK("https://m566.info/70xc90f","German Shepherd")</f>
        <v>German Shepherd</v>
      </c>
    </row>
    <row r="1719">
      <c r="A1719" s="1" t="str">
        <f t="shared" si="345"/>
        <v>Dog Obedience Training</v>
      </c>
      <c r="B1719" s="1" t="str">
        <f t="shared" si="344"/>
        <v>https://m566.info/70xc90f</v>
      </c>
      <c r="C1719" s="1" t="str">
        <f>HYPERLINK("https://m566.info/70xc90f","Border Clollie")</f>
        <v>Border Clollie</v>
      </c>
    </row>
    <row r="1720">
      <c r="A1720" s="1" t="str">
        <f t="shared" si="345"/>
        <v>Dog Obedience Training</v>
      </c>
      <c r="B1720" s="1" t="str">
        <f t="shared" si="344"/>
        <v>https://m566.info/70xc90f</v>
      </c>
      <c r="C1720" s="1" t="str">
        <f>HYPERLINK("https://m566.info/70xc90f","Rotwieller")</f>
        <v>Rotwieller</v>
      </c>
    </row>
    <row r="1721">
      <c r="A1721" s="1" t="str">
        <f t="shared" si="345"/>
        <v>Dog Obedience Training</v>
      </c>
      <c r="B1721" s="1" t="str">
        <f t="shared" si="344"/>
        <v>https://m566.info/70xc90f</v>
      </c>
      <c r="C1721" s="1" t="str">
        <f>HYPERLINK("https://m566.info/70xc90f","Cross Bred")</f>
        <v>Cross Bred</v>
      </c>
    </row>
    <row r="1722">
      <c r="A1722" s="1" t="str">
        <f t="shared" si="345"/>
        <v>Dog Obedience Training</v>
      </c>
      <c r="B1722" s="1" t="str">
        <f t="shared" si="344"/>
        <v>https://m566.info/70xc90f</v>
      </c>
      <c r="C1722" s="1" t="str">
        <f>HYPERLINK("https://m566.info/70xc90f","Rotweiller")</f>
        <v>Rotweiller</v>
      </c>
    </row>
    <row r="1723">
      <c r="A1723" s="1" t="str">
        <f t="shared" ref="A1723:A1728" si="346">HYPERLINK("https://m566.info/70xc90f","Dog House Training")</f>
        <v>Dog House Training</v>
      </c>
      <c r="B1723" s="1" t="str">
        <f t="shared" si="344"/>
        <v>https://m566.info/70xc90f</v>
      </c>
      <c r="C1723" s="1" t="str">
        <f>HYPERLINK("https://m566.info/70xc90f","Doberman")</f>
        <v>Doberman</v>
      </c>
    </row>
    <row r="1724">
      <c r="A1724" s="1" t="str">
        <f t="shared" si="346"/>
        <v>Dog House Training</v>
      </c>
      <c r="B1724" s="1" t="str">
        <f t="shared" si="344"/>
        <v>https://m566.info/70xc90f</v>
      </c>
      <c r="C1724" s="1" t="str">
        <f>HYPERLINK("https://m566.info/70xc90f","German Shepherd")</f>
        <v>German Shepherd</v>
      </c>
    </row>
    <row r="1725">
      <c r="A1725" s="1" t="str">
        <f t="shared" si="346"/>
        <v>Dog House Training</v>
      </c>
      <c r="B1725" s="1" t="str">
        <f t="shared" si="344"/>
        <v>https://m566.info/70xc90f</v>
      </c>
      <c r="C1725" s="1" t="str">
        <f>HYPERLINK("https://m566.info/70xc90f","Border Clollie")</f>
        <v>Border Clollie</v>
      </c>
    </row>
    <row r="1726">
      <c r="A1726" s="1" t="str">
        <f t="shared" si="346"/>
        <v>Dog House Training</v>
      </c>
      <c r="B1726" s="1" t="str">
        <f t="shared" si="344"/>
        <v>https://m566.info/70xc90f</v>
      </c>
      <c r="C1726" s="1" t="str">
        <f>HYPERLINK("https://m566.info/70xc90f","Rotwieller")</f>
        <v>Rotwieller</v>
      </c>
    </row>
    <row r="1727">
      <c r="A1727" s="1" t="str">
        <f t="shared" si="346"/>
        <v>Dog House Training</v>
      </c>
      <c r="B1727" s="1" t="str">
        <f t="shared" si="344"/>
        <v>https://m566.info/70xc90f</v>
      </c>
      <c r="C1727" s="1" t="str">
        <f>HYPERLINK("https://m566.info/70xc90f","Cross Bred")</f>
        <v>Cross Bred</v>
      </c>
    </row>
    <row r="1728">
      <c r="A1728" s="1" t="str">
        <f t="shared" si="346"/>
        <v>Dog House Training</v>
      </c>
      <c r="B1728" s="1" t="str">
        <f t="shared" si="344"/>
        <v>https://m566.info/70xc90f</v>
      </c>
      <c r="C1728" s="1" t="str">
        <f>HYPERLINK("https://m566.info/70xc90f","Rotweiller")</f>
        <v>Rotweiller</v>
      </c>
    </row>
    <row r="1729">
      <c r="A1729" s="1" t="str">
        <f t="shared" ref="A1729:A1734" si="347">HYPERLINK("https://m566.info/70xc90f","Dog Behaviour Training")</f>
        <v>Dog Behaviour Training</v>
      </c>
      <c r="B1729" s="1" t="str">
        <f t="shared" si="344"/>
        <v>https://m566.info/70xc90f</v>
      </c>
      <c r="C1729" s="1" t="str">
        <f>HYPERLINK("https://m566.info/70xc90f","Doberman")</f>
        <v>Doberman</v>
      </c>
    </row>
    <row r="1730">
      <c r="A1730" s="1" t="str">
        <f t="shared" si="347"/>
        <v>Dog Behaviour Training</v>
      </c>
      <c r="B1730" s="1" t="str">
        <f t="shared" si="344"/>
        <v>https://m566.info/70xc90f</v>
      </c>
      <c r="C1730" s="1" t="str">
        <f>HYPERLINK("https://m566.info/70xc90f","German Shepherd")</f>
        <v>German Shepherd</v>
      </c>
    </row>
    <row r="1731">
      <c r="A1731" s="1" t="str">
        <f t="shared" si="347"/>
        <v>Dog Behaviour Training</v>
      </c>
      <c r="B1731" s="1" t="str">
        <f t="shared" si="344"/>
        <v>https://m566.info/70xc90f</v>
      </c>
      <c r="C1731" s="1" t="str">
        <f>HYPERLINK("https://m566.info/70xc90f","Border Clollie")</f>
        <v>Border Clollie</v>
      </c>
    </row>
    <row r="1732">
      <c r="A1732" s="1" t="str">
        <f t="shared" si="347"/>
        <v>Dog Behaviour Training</v>
      </c>
      <c r="B1732" s="1" t="str">
        <f t="shared" si="344"/>
        <v>https://m566.info/70xc90f</v>
      </c>
      <c r="C1732" s="1" t="str">
        <f>HYPERLINK("https://m566.info/70xc90f","Rotwieller")</f>
        <v>Rotwieller</v>
      </c>
    </row>
    <row r="1733">
      <c r="A1733" s="1" t="str">
        <f t="shared" si="347"/>
        <v>Dog Behaviour Training</v>
      </c>
      <c r="B1733" s="1" t="str">
        <f t="shared" si="344"/>
        <v>https://m566.info/70xc90f</v>
      </c>
      <c r="C1733" s="1" t="str">
        <f>HYPERLINK("https://m566.info/70xc90f","Cross Bred")</f>
        <v>Cross Bred</v>
      </c>
    </row>
    <row r="1734">
      <c r="A1734" s="1" t="str">
        <f t="shared" si="347"/>
        <v>Dog Behaviour Training</v>
      </c>
      <c r="B1734" s="1" t="str">
        <f t="shared" si="344"/>
        <v>https://m566.info/70xc90f</v>
      </c>
      <c r="C1734" s="1" t="str">
        <f>HYPERLINK("https://m566.info/70xc90f","Rotweiller")</f>
        <v>Rotweiller</v>
      </c>
    </row>
    <row r="1735">
      <c r="A1735" s="1" t="str">
        <f t="shared" ref="A1735:A1740" si="348">HYPERLINK("https://m566.info/70xc90f","Dog : Elite Training")</f>
        <v>Dog : Elite Training</v>
      </c>
      <c r="B1735" s="1" t="str">
        <f t="shared" si="344"/>
        <v>https://m566.info/70xc90f</v>
      </c>
      <c r="C1735" s="1" t="str">
        <f>HYPERLINK("https://m566.info/70xc90f","Doberman")</f>
        <v>Doberman</v>
      </c>
    </row>
    <row r="1736">
      <c r="A1736" s="1" t="str">
        <f t="shared" si="348"/>
        <v>Dog : Elite Training</v>
      </c>
      <c r="B1736" s="1" t="str">
        <f t="shared" si="344"/>
        <v>https://m566.info/70xc90f</v>
      </c>
      <c r="C1736" s="1" t="str">
        <f>HYPERLINK("https://m566.info/70xc90f","German Shepherd")</f>
        <v>German Shepherd</v>
      </c>
    </row>
    <row r="1737">
      <c r="A1737" s="1" t="str">
        <f t="shared" si="348"/>
        <v>Dog : Elite Training</v>
      </c>
      <c r="B1737" s="1" t="str">
        <f t="shared" si="344"/>
        <v>https://m566.info/70xc90f</v>
      </c>
      <c r="C1737" s="1" t="str">
        <f>HYPERLINK("https://m566.info/70xc90f","Border Clollie")</f>
        <v>Border Clollie</v>
      </c>
    </row>
    <row r="1738">
      <c r="A1738" s="1" t="str">
        <f t="shared" si="348"/>
        <v>Dog : Elite Training</v>
      </c>
      <c r="B1738" s="1" t="str">
        <f t="shared" si="344"/>
        <v>https://m566.info/70xc90f</v>
      </c>
      <c r="C1738" s="1" t="str">
        <f>HYPERLINK("https://m566.info/70xc90f","Rotwieller")</f>
        <v>Rotwieller</v>
      </c>
    </row>
    <row r="1739">
      <c r="A1739" s="1" t="str">
        <f t="shared" si="348"/>
        <v>Dog : Elite Training</v>
      </c>
      <c r="B1739" s="1" t="str">
        <f t="shared" si="344"/>
        <v>https://m566.info/70xc90f</v>
      </c>
      <c r="C1739" s="1" t="str">
        <f>HYPERLINK("https://m566.info/70xc90f","Cross Bred")</f>
        <v>Cross Bred</v>
      </c>
    </row>
    <row r="1740">
      <c r="A1740" s="1" t="str">
        <f t="shared" si="348"/>
        <v>Dog : Elite Training</v>
      </c>
      <c r="B1740" s="1" t="str">
        <f t="shared" si="344"/>
        <v>https://m566.info/70xc90f</v>
      </c>
      <c r="C1740" s="1" t="str">
        <f>HYPERLINK("https://m566.info/70xc90f","Rotweiller")</f>
        <v>Rotweiller</v>
      </c>
    </row>
    <row r="1741">
      <c r="A1741" s="1" t="str">
        <f t="shared" ref="A1741:A1746" si="349">HYPERLINK("https://m566.info/zlrz4ue","Dog Aggression Training")</f>
        <v>Dog Aggression Training</v>
      </c>
      <c r="B1741" s="1" t="str">
        <f t="shared" ref="B1741:B1770" si="350">HYPERLINK("https://m566.info/zlrz4ue","https://m566.info/zlrz4ue")</f>
        <v>https://m566.info/zlrz4ue</v>
      </c>
      <c r="C1741" s="1" t="str">
        <f>HYPERLINK("https://m566.info/zlrz4ue","Doberman")</f>
        <v>Doberman</v>
      </c>
    </row>
    <row r="1742">
      <c r="A1742" s="1" t="str">
        <f t="shared" si="349"/>
        <v>Dog Aggression Training</v>
      </c>
      <c r="B1742" s="1" t="str">
        <f t="shared" si="350"/>
        <v>https://m566.info/zlrz4ue</v>
      </c>
      <c r="C1742" s="1" t="str">
        <f>HYPERLINK("https://m566.info/zlrz4ue","German Shepherd")</f>
        <v>German Shepherd</v>
      </c>
    </row>
    <row r="1743">
      <c r="A1743" s="1" t="str">
        <f t="shared" si="349"/>
        <v>Dog Aggression Training</v>
      </c>
      <c r="B1743" s="1" t="str">
        <f t="shared" si="350"/>
        <v>https://m566.info/zlrz4ue</v>
      </c>
      <c r="C1743" s="1" t="str">
        <f>HYPERLINK("https://m566.info/zlrz4ue","Border Clollie")</f>
        <v>Border Clollie</v>
      </c>
    </row>
    <row r="1744">
      <c r="A1744" s="1" t="str">
        <f t="shared" si="349"/>
        <v>Dog Aggression Training</v>
      </c>
      <c r="B1744" s="1" t="str">
        <f t="shared" si="350"/>
        <v>https://m566.info/zlrz4ue</v>
      </c>
      <c r="C1744" s="1" t="str">
        <f>HYPERLINK("https://m566.info/zlrz4ue","Rotwieller")</f>
        <v>Rotwieller</v>
      </c>
    </row>
    <row r="1745">
      <c r="A1745" s="1" t="str">
        <f t="shared" si="349"/>
        <v>Dog Aggression Training</v>
      </c>
      <c r="B1745" s="1" t="str">
        <f t="shared" si="350"/>
        <v>https://m566.info/zlrz4ue</v>
      </c>
      <c r="C1745" s="1" t="str">
        <f>HYPERLINK("https://m566.info/zlrz4ue","Cross Bred")</f>
        <v>Cross Bred</v>
      </c>
    </row>
    <row r="1746">
      <c r="A1746" s="1" t="str">
        <f t="shared" si="349"/>
        <v>Dog Aggression Training</v>
      </c>
      <c r="B1746" s="1" t="str">
        <f t="shared" si="350"/>
        <v>https://m566.info/zlrz4ue</v>
      </c>
      <c r="C1746" s="1" t="str">
        <f>HYPERLINK("https://m566.info/zlrz4ue","Rotweiller")</f>
        <v>Rotweiller</v>
      </c>
    </row>
    <row r="1747">
      <c r="A1747" s="1" t="str">
        <f t="shared" ref="A1747:A1752" si="351">HYPERLINK("https://m566.info/zlrz4ue","Dog Obedience Training")</f>
        <v>Dog Obedience Training</v>
      </c>
      <c r="B1747" s="1" t="str">
        <f t="shared" si="350"/>
        <v>https://m566.info/zlrz4ue</v>
      </c>
      <c r="C1747" s="1" t="str">
        <f>HYPERLINK("https://m566.info/zlrz4ue","Doberman")</f>
        <v>Doberman</v>
      </c>
    </row>
    <row r="1748">
      <c r="A1748" s="1" t="str">
        <f t="shared" si="351"/>
        <v>Dog Obedience Training</v>
      </c>
      <c r="B1748" s="1" t="str">
        <f t="shared" si="350"/>
        <v>https://m566.info/zlrz4ue</v>
      </c>
      <c r="C1748" s="1" t="str">
        <f>HYPERLINK("https://m566.info/zlrz4ue","German Shepherd")</f>
        <v>German Shepherd</v>
      </c>
    </row>
    <row r="1749">
      <c r="A1749" s="1" t="str">
        <f t="shared" si="351"/>
        <v>Dog Obedience Training</v>
      </c>
      <c r="B1749" s="1" t="str">
        <f t="shared" si="350"/>
        <v>https://m566.info/zlrz4ue</v>
      </c>
      <c r="C1749" s="1" t="str">
        <f>HYPERLINK("https://m566.info/zlrz4ue","Border Clollie")</f>
        <v>Border Clollie</v>
      </c>
    </row>
    <row r="1750">
      <c r="A1750" s="1" t="str">
        <f t="shared" si="351"/>
        <v>Dog Obedience Training</v>
      </c>
      <c r="B1750" s="1" t="str">
        <f t="shared" si="350"/>
        <v>https://m566.info/zlrz4ue</v>
      </c>
      <c r="C1750" s="1" t="str">
        <f>HYPERLINK("https://m566.info/zlrz4ue","Rotwieller")</f>
        <v>Rotwieller</v>
      </c>
    </row>
    <row r="1751">
      <c r="A1751" s="1" t="str">
        <f t="shared" si="351"/>
        <v>Dog Obedience Training</v>
      </c>
      <c r="B1751" s="1" t="str">
        <f t="shared" si="350"/>
        <v>https://m566.info/zlrz4ue</v>
      </c>
      <c r="C1751" s="1" t="str">
        <f>HYPERLINK("https://m566.info/zlrz4ue","Cross Bred")</f>
        <v>Cross Bred</v>
      </c>
    </row>
    <row r="1752">
      <c r="A1752" s="1" t="str">
        <f t="shared" si="351"/>
        <v>Dog Obedience Training</v>
      </c>
      <c r="B1752" s="1" t="str">
        <f t="shared" si="350"/>
        <v>https://m566.info/zlrz4ue</v>
      </c>
      <c r="C1752" s="1" t="str">
        <f>HYPERLINK("https://m566.info/zlrz4ue","Rotweiller")</f>
        <v>Rotweiller</v>
      </c>
    </row>
    <row r="1753">
      <c r="A1753" s="1" t="str">
        <f t="shared" ref="A1753:A1758" si="352">HYPERLINK("https://m566.info/zlrz4ue","Dog House Training")</f>
        <v>Dog House Training</v>
      </c>
      <c r="B1753" s="1" t="str">
        <f t="shared" si="350"/>
        <v>https://m566.info/zlrz4ue</v>
      </c>
      <c r="C1753" s="1" t="str">
        <f>HYPERLINK("https://m566.info/zlrz4ue","Doberman")</f>
        <v>Doberman</v>
      </c>
    </row>
    <row r="1754">
      <c r="A1754" s="1" t="str">
        <f t="shared" si="352"/>
        <v>Dog House Training</v>
      </c>
      <c r="B1754" s="1" t="str">
        <f t="shared" si="350"/>
        <v>https://m566.info/zlrz4ue</v>
      </c>
      <c r="C1754" s="1" t="str">
        <f>HYPERLINK("https://m566.info/zlrz4ue","German Shepherd")</f>
        <v>German Shepherd</v>
      </c>
    </row>
    <row r="1755">
      <c r="A1755" s="1" t="str">
        <f t="shared" si="352"/>
        <v>Dog House Training</v>
      </c>
      <c r="B1755" s="1" t="str">
        <f t="shared" si="350"/>
        <v>https://m566.info/zlrz4ue</v>
      </c>
      <c r="C1755" s="1" t="str">
        <f>HYPERLINK("https://m566.info/zlrz4ue","Border Clollie")</f>
        <v>Border Clollie</v>
      </c>
    </row>
    <row r="1756">
      <c r="A1756" s="1" t="str">
        <f t="shared" si="352"/>
        <v>Dog House Training</v>
      </c>
      <c r="B1756" s="1" t="str">
        <f t="shared" si="350"/>
        <v>https://m566.info/zlrz4ue</v>
      </c>
      <c r="C1756" s="1" t="str">
        <f>HYPERLINK("https://m566.info/zlrz4ue","Rotwieller")</f>
        <v>Rotwieller</v>
      </c>
    </row>
    <row r="1757">
      <c r="A1757" s="1" t="str">
        <f t="shared" si="352"/>
        <v>Dog House Training</v>
      </c>
      <c r="B1757" s="1" t="str">
        <f t="shared" si="350"/>
        <v>https://m566.info/zlrz4ue</v>
      </c>
      <c r="C1757" s="1" t="str">
        <f>HYPERLINK("https://m566.info/zlrz4ue","Cross Bred")</f>
        <v>Cross Bred</v>
      </c>
    </row>
    <row r="1758">
      <c r="A1758" s="1" t="str">
        <f t="shared" si="352"/>
        <v>Dog House Training</v>
      </c>
      <c r="B1758" s="1" t="str">
        <f t="shared" si="350"/>
        <v>https://m566.info/zlrz4ue</v>
      </c>
      <c r="C1758" s="1" t="str">
        <f>HYPERLINK("https://m566.info/zlrz4ue","Rotweiller")</f>
        <v>Rotweiller</v>
      </c>
    </row>
    <row r="1759">
      <c r="A1759" s="1" t="str">
        <f t="shared" ref="A1759:A1764" si="353">HYPERLINK("https://m566.info/zlrz4ue","Dog Behaviour Training")</f>
        <v>Dog Behaviour Training</v>
      </c>
      <c r="B1759" s="1" t="str">
        <f t="shared" si="350"/>
        <v>https://m566.info/zlrz4ue</v>
      </c>
      <c r="C1759" s="1" t="str">
        <f>HYPERLINK("https://m566.info/zlrz4ue","Doberman")</f>
        <v>Doberman</v>
      </c>
    </row>
    <row r="1760">
      <c r="A1760" s="1" t="str">
        <f t="shared" si="353"/>
        <v>Dog Behaviour Training</v>
      </c>
      <c r="B1760" s="1" t="str">
        <f t="shared" si="350"/>
        <v>https://m566.info/zlrz4ue</v>
      </c>
      <c r="C1760" s="1" t="str">
        <f>HYPERLINK("https://m566.info/zlrz4ue","German Shepherd")</f>
        <v>German Shepherd</v>
      </c>
    </row>
    <row r="1761">
      <c r="A1761" s="1" t="str">
        <f t="shared" si="353"/>
        <v>Dog Behaviour Training</v>
      </c>
      <c r="B1761" s="1" t="str">
        <f t="shared" si="350"/>
        <v>https://m566.info/zlrz4ue</v>
      </c>
      <c r="C1761" s="1" t="str">
        <f>HYPERLINK("https://m566.info/zlrz4ue","Border Clollie")</f>
        <v>Border Clollie</v>
      </c>
    </row>
    <row r="1762">
      <c r="A1762" s="1" t="str">
        <f t="shared" si="353"/>
        <v>Dog Behaviour Training</v>
      </c>
      <c r="B1762" s="1" t="str">
        <f t="shared" si="350"/>
        <v>https://m566.info/zlrz4ue</v>
      </c>
      <c r="C1762" s="1" t="str">
        <f>HYPERLINK("https://m566.info/zlrz4ue","Rotwieller")</f>
        <v>Rotwieller</v>
      </c>
    </row>
    <row r="1763">
      <c r="A1763" s="1" t="str">
        <f t="shared" si="353"/>
        <v>Dog Behaviour Training</v>
      </c>
      <c r="B1763" s="1" t="str">
        <f t="shared" si="350"/>
        <v>https://m566.info/zlrz4ue</v>
      </c>
      <c r="C1763" s="1" t="str">
        <f>HYPERLINK("https://m566.info/zlrz4ue","Cross Bred")</f>
        <v>Cross Bred</v>
      </c>
    </row>
    <row r="1764">
      <c r="A1764" s="1" t="str">
        <f t="shared" si="353"/>
        <v>Dog Behaviour Training</v>
      </c>
      <c r="B1764" s="1" t="str">
        <f t="shared" si="350"/>
        <v>https://m566.info/zlrz4ue</v>
      </c>
      <c r="C1764" s="1" t="str">
        <f>HYPERLINK("https://m566.info/zlrz4ue","Rotweiller")</f>
        <v>Rotweiller</v>
      </c>
    </row>
    <row r="1765">
      <c r="A1765" s="1" t="str">
        <f t="shared" ref="A1765:A1770" si="354">HYPERLINK("https://m566.info/zlrz4ue","Dog : Elite Training")</f>
        <v>Dog : Elite Training</v>
      </c>
      <c r="B1765" s="1" t="str">
        <f t="shared" si="350"/>
        <v>https://m566.info/zlrz4ue</v>
      </c>
      <c r="C1765" s="1" t="str">
        <f>HYPERLINK("https://m566.info/zlrz4ue","Doberman")</f>
        <v>Doberman</v>
      </c>
    </row>
    <row r="1766">
      <c r="A1766" s="1" t="str">
        <f t="shared" si="354"/>
        <v>Dog : Elite Training</v>
      </c>
      <c r="B1766" s="1" t="str">
        <f t="shared" si="350"/>
        <v>https://m566.info/zlrz4ue</v>
      </c>
      <c r="C1766" s="1" t="str">
        <f>HYPERLINK("https://m566.info/zlrz4ue","German Shepherd")</f>
        <v>German Shepherd</v>
      </c>
    </row>
    <row r="1767">
      <c r="A1767" s="1" t="str">
        <f t="shared" si="354"/>
        <v>Dog : Elite Training</v>
      </c>
      <c r="B1767" s="1" t="str">
        <f t="shared" si="350"/>
        <v>https://m566.info/zlrz4ue</v>
      </c>
      <c r="C1767" s="1" t="str">
        <f>HYPERLINK("https://m566.info/zlrz4ue","Border Clollie")</f>
        <v>Border Clollie</v>
      </c>
    </row>
    <row r="1768">
      <c r="A1768" s="1" t="str">
        <f t="shared" si="354"/>
        <v>Dog : Elite Training</v>
      </c>
      <c r="B1768" s="1" t="str">
        <f t="shared" si="350"/>
        <v>https://m566.info/zlrz4ue</v>
      </c>
      <c r="C1768" s="1" t="str">
        <f>HYPERLINK("https://m566.info/zlrz4ue","Rotwieller")</f>
        <v>Rotwieller</v>
      </c>
    </row>
    <row r="1769">
      <c r="A1769" s="1" t="str">
        <f t="shared" si="354"/>
        <v>Dog : Elite Training</v>
      </c>
      <c r="B1769" s="1" t="str">
        <f t="shared" si="350"/>
        <v>https://m566.info/zlrz4ue</v>
      </c>
      <c r="C1769" s="1" t="str">
        <f>HYPERLINK("https://m566.info/zlrz4ue","Cross Bred")</f>
        <v>Cross Bred</v>
      </c>
    </row>
    <row r="1770">
      <c r="A1770" s="1" t="str">
        <f t="shared" si="354"/>
        <v>Dog : Elite Training</v>
      </c>
      <c r="B1770" s="1" t="str">
        <f t="shared" si="350"/>
        <v>https://m566.info/zlrz4ue</v>
      </c>
      <c r="C1770" s="1" t="str">
        <f>HYPERLINK("https://m566.info/zlrz4ue","Rotweiller")</f>
        <v>Rotweiller</v>
      </c>
    </row>
    <row r="1771">
      <c r="A1771" s="1" t="str">
        <f t="shared" ref="A1771:A1776" si="355">HYPERLINK("https://m566.info/guhyc96","Dog Aggression Training")</f>
        <v>Dog Aggression Training</v>
      </c>
      <c r="B1771" s="1" t="str">
        <f t="shared" ref="B1771:B1800" si="356">HYPERLINK("https://m566.info/guhyc96","https://m566.info/guhyc96")</f>
        <v>https://m566.info/guhyc96</v>
      </c>
      <c r="C1771" s="1" t="str">
        <f>HYPERLINK("https://m566.info/guhyc96","Doberman")</f>
        <v>Doberman</v>
      </c>
    </row>
    <row r="1772">
      <c r="A1772" s="1" t="str">
        <f t="shared" si="355"/>
        <v>Dog Aggression Training</v>
      </c>
      <c r="B1772" s="1" t="str">
        <f t="shared" si="356"/>
        <v>https://m566.info/guhyc96</v>
      </c>
      <c r="C1772" s="1" t="str">
        <f>HYPERLINK("https://m566.info/guhyc96","German Shepherd")</f>
        <v>German Shepherd</v>
      </c>
    </row>
    <row r="1773">
      <c r="A1773" s="1" t="str">
        <f t="shared" si="355"/>
        <v>Dog Aggression Training</v>
      </c>
      <c r="B1773" s="1" t="str">
        <f t="shared" si="356"/>
        <v>https://m566.info/guhyc96</v>
      </c>
      <c r="C1773" s="1" t="str">
        <f>HYPERLINK("https://m566.info/guhyc96","Border Clollie")</f>
        <v>Border Clollie</v>
      </c>
    </row>
    <row r="1774">
      <c r="A1774" s="1" t="str">
        <f t="shared" si="355"/>
        <v>Dog Aggression Training</v>
      </c>
      <c r="B1774" s="1" t="str">
        <f t="shared" si="356"/>
        <v>https://m566.info/guhyc96</v>
      </c>
      <c r="C1774" s="1" t="str">
        <f>HYPERLINK("https://m566.info/guhyc96","Rotwieller")</f>
        <v>Rotwieller</v>
      </c>
    </row>
    <row r="1775">
      <c r="A1775" s="1" t="str">
        <f t="shared" si="355"/>
        <v>Dog Aggression Training</v>
      </c>
      <c r="B1775" s="1" t="str">
        <f t="shared" si="356"/>
        <v>https://m566.info/guhyc96</v>
      </c>
      <c r="C1775" s="1" t="str">
        <f>HYPERLINK("https://m566.info/guhyc96","Cross Bred")</f>
        <v>Cross Bred</v>
      </c>
    </row>
    <row r="1776">
      <c r="A1776" s="1" t="str">
        <f t="shared" si="355"/>
        <v>Dog Aggression Training</v>
      </c>
      <c r="B1776" s="1" t="str">
        <f t="shared" si="356"/>
        <v>https://m566.info/guhyc96</v>
      </c>
      <c r="C1776" s="1" t="str">
        <f>HYPERLINK("https://m566.info/guhyc96","Rotweiller")</f>
        <v>Rotweiller</v>
      </c>
    </row>
    <row r="1777">
      <c r="A1777" s="1" t="str">
        <f t="shared" ref="A1777:A1782" si="357">HYPERLINK("https://m566.info/guhyc96","Dog Obedience Training")</f>
        <v>Dog Obedience Training</v>
      </c>
      <c r="B1777" s="1" t="str">
        <f t="shared" si="356"/>
        <v>https://m566.info/guhyc96</v>
      </c>
      <c r="C1777" s="1" t="str">
        <f>HYPERLINK("https://m566.info/guhyc96","Doberman")</f>
        <v>Doberman</v>
      </c>
    </row>
    <row r="1778">
      <c r="A1778" s="1" t="str">
        <f t="shared" si="357"/>
        <v>Dog Obedience Training</v>
      </c>
      <c r="B1778" s="1" t="str">
        <f t="shared" si="356"/>
        <v>https://m566.info/guhyc96</v>
      </c>
      <c r="C1778" s="1" t="str">
        <f>HYPERLINK("https://m566.info/guhyc96","German Shepherd")</f>
        <v>German Shepherd</v>
      </c>
    </row>
    <row r="1779">
      <c r="A1779" s="1" t="str">
        <f t="shared" si="357"/>
        <v>Dog Obedience Training</v>
      </c>
      <c r="B1779" s="1" t="str">
        <f t="shared" si="356"/>
        <v>https://m566.info/guhyc96</v>
      </c>
      <c r="C1779" s="1" t="str">
        <f>HYPERLINK("https://m566.info/guhyc96","Border Clollie")</f>
        <v>Border Clollie</v>
      </c>
    </row>
    <row r="1780">
      <c r="A1780" s="1" t="str">
        <f t="shared" si="357"/>
        <v>Dog Obedience Training</v>
      </c>
      <c r="B1780" s="1" t="str">
        <f t="shared" si="356"/>
        <v>https://m566.info/guhyc96</v>
      </c>
      <c r="C1780" s="1" t="str">
        <f>HYPERLINK("https://m566.info/guhyc96","Rotwieller")</f>
        <v>Rotwieller</v>
      </c>
    </row>
    <row r="1781">
      <c r="A1781" s="1" t="str">
        <f t="shared" si="357"/>
        <v>Dog Obedience Training</v>
      </c>
      <c r="B1781" s="1" t="str">
        <f t="shared" si="356"/>
        <v>https://m566.info/guhyc96</v>
      </c>
      <c r="C1781" s="1" t="str">
        <f>HYPERLINK("https://m566.info/guhyc96","Cross Bred")</f>
        <v>Cross Bred</v>
      </c>
    </row>
    <row r="1782">
      <c r="A1782" s="1" t="str">
        <f t="shared" si="357"/>
        <v>Dog Obedience Training</v>
      </c>
      <c r="B1782" s="1" t="str">
        <f t="shared" si="356"/>
        <v>https://m566.info/guhyc96</v>
      </c>
      <c r="C1782" s="1" t="str">
        <f>HYPERLINK("https://m566.info/guhyc96","Rotweiller")</f>
        <v>Rotweiller</v>
      </c>
    </row>
    <row r="1783">
      <c r="A1783" s="1" t="str">
        <f t="shared" ref="A1783:A1788" si="358">HYPERLINK("https://m566.info/guhyc96","Dog House Training")</f>
        <v>Dog House Training</v>
      </c>
      <c r="B1783" s="1" t="str">
        <f t="shared" si="356"/>
        <v>https://m566.info/guhyc96</v>
      </c>
      <c r="C1783" s="1" t="str">
        <f>HYPERLINK("https://m566.info/guhyc96","Doberman")</f>
        <v>Doberman</v>
      </c>
    </row>
    <row r="1784">
      <c r="A1784" s="1" t="str">
        <f t="shared" si="358"/>
        <v>Dog House Training</v>
      </c>
      <c r="B1784" s="1" t="str">
        <f t="shared" si="356"/>
        <v>https://m566.info/guhyc96</v>
      </c>
      <c r="C1784" s="1" t="str">
        <f>HYPERLINK("https://m566.info/guhyc96","German Shepherd")</f>
        <v>German Shepherd</v>
      </c>
    </row>
    <row r="1785">
      <c r="A1785" s="1" t="str">
        <f t="shared" si="358"/>
        <v>Dog House Training</v>
      </c>
      <c r="B1785" s="1" t="str">
        <f t="shared" si="356"/>
        <v>https://m566.info/guhyc96</v>
      </c>
      <c r="C1785" s="1" t="str">
        <f>HYPERLINK("https://m566.info/guhyc96","Border Clollie")</f>
        <v>Border Clollie</v>
      </c>
    </row>
    <row r="1786">
      <c r="A1786" s="1" t="str">
        <f t="shared" si="358"/>
        <v>Dog House Training</v>
      </c>
      <c r="B1786" s="1" t="str">
        <f t="shared" si="356"/>
        <v>https://m566.info/guhyc96</v>
      </c>
      <c r="C1786" s="1" t="str">
        <f>HYPERLINK("https://m566.info/guhyc96","Rotwieller")</f>
        <v>Rotwieller</v>
      </c>
    </row>
    <row r="1787">
      <c r="A1787" s="1" t="str">
        <f t="shared" si="358"/>
        <v>Dog House Training</v>
      </c>
      <c r="B1787" s="1" t="str">
        <f t="shared" si="356"/>
        <v>https://m566.info/guhyc96</v>
      </c>
      <c r="C1787" s="1" t="str">
        <f>HYPERLINK("https://m566.info/guhyc96","Cross Bred")</f>
        <v>Cross Bred</v>
      </c>
    </row>
    <row r="1788">
      <c r="A1788" s="1" t="str">
        <f t="shared" si="358"/>
        <v>Dog House Training</v>
      </c>
      <c r="B1788" s="1" t="str">
        <f t="shared" si="356"/>
        <v>https://m566.info/guhyc96</v>
      </c>
      <c r="C1788" s="1" t="str">
        <f>HYPERLINK("https://m566.info/guhyc96","Rotweiller")</f>
        <v>Rotweiller</v>
      </c>
    </row>
    <row r="1789">
      <c r="A1789" s="1" t="str">
        <f t="shared" ref="A1789:A1794" si="359">HYPERLINK("https://m566.info/guhyc96","Dog Behaviour Training")</f>
        <v>Dog Behaviour Training</v>
      </c>
      <c r="B1789" s="1" t="str">
        <f t="shared" si="356"/>
        <v>https://m566.info/guhyc96</v>
      </c>
      <c r="C1789" s="1" t="str">
        <f>HYPERLINK("https://m566.info/guhyc96","Doberman")</f>
        <v>Doberman</v>
      </c>
    </row>
    <row r="1790">
      <c r="A1790" s="1" t="str">
        <f t="shared" si="359"/>
        <v>Dog Behaviour Training</v>
      </c>
      <c r="B1790" s="1" t="str">
        <f t="shared" si="356"/>
        <v>https://m566.info/guhyc96</v>
      </c>
      <c r="C1790" s="1" t="str">
        <f>HYPERLINK("https://m566.info/guhyc96","German Shepherd")</f>
        <v>German Shepherd</v>
      </c>
    </row>
    <row r="1791">
      <c r="A1791" s="1" t="str">
        <f t="shared" si="359"/>
        <v>Dog Behaviour Training</v>
      </c>
      <c r="B1791" s="1" t="str">
        <f t="shared" si="356"/>
        <v>https://m566.info/guhyc96</v>
      </c>
      <c r="C1791" s="1" t="str">
        <f>HYPERLINK("https://m566.info/guhyc96","Border Clollie")</f>
        <v>Border Clollie</v>
      </c>
    </row>
    <row r="1792">
      <c r="A1792" s="1" t="str">
        <f t="shared" si="359"/>
        <v>Dog Behaviour Training</v>
      </c>
      <c r="B1792" s="1" t="str">
        <f t="shared" si="356"/>
        <v>https://m566.info/guhyc96</v>
      </c>
      <c r="C1792" s="1" t="str">
        <f>HYPERLINK("https://m566.info/guhyc96","Rotwieller")</f>
        <v>Rotwieller</v>
      </c>
    </row>
    <row r="1793">
      <c r="A1793" s="1" t="str">
        <f t="shared" si="359"/>
        <v>Dog Behaviour Training</v>
      </c>
      <c r="B1793" s="1" t="str">
        <f t="shared" si="356"/>
        <v>https://m566.info/guhyc96</v>
      </c>
      <c r="C1793" s="1" t="str">
        <f>HYPERLINK("https://m566.info/guhyc96","Cross Bred")</f>
        <v>Cross Bred</v>
      </c>
    </row>
    <row r="1794">
      <c r="A1794" s="1" t="str">
        <f t="shared" si="359"/>
        <v>Dog Behaviour Training</v>
      </c>
      <c r="B1794" s="1" t="str">
        <f t="shared" si="356"/>
        <v>https://m566.info/guhyc96</v>
      </c>
      <c r="C1794" s="1" t="str">
        <f>HYPERLINK("https://m566.info/guhyc96","Rotweiller")</f>
        <v>Rotweiller</v>
      </c>
    </row>
    <row r="1795">
      <c r="A1795" s="1" t="str">
        <f t="shared" ref="A1795:A1800" si="360">HYPERLINK("https://m566.info/guhyc96","Dog : Elite Training")</f>
        <v>Dog : Elite Training</v>
      </c>
      <c r="B1795" s="1" t="str">
        <f t="shared" si="356"/>
        <v>https://m566.info/guhyc96</v>
      </c>
      <c r="C1795" s="1" t="str">
        <f>HYPERLINK("https://m566.info/guhyc96","Doberman")</f>
        <v>Doberman</v>
      </c>
    </row>
    <row r="1796">
      <c r="A1796" s="1" t="str">
        <f t="shared" si="360"/>
        <v>Dog : Elite Training</v>
      </c>
      <c r="B1796" s="1" t="str">
        <f t="shared" si="356"/>
        <v>https://m566.info/guhyc96</v>
      </c>
      <c r="C1796" s="1" t="str">
        <f>HYPERLINK("https://m566.info/guhyc96","German Shepherd")</f>
        <v>German Shepherd</v>
      </c>
    </row>
    <row r="1797">
      <c r="A1797" s="1" t="str">
        <f t="shared" si="360"/>
        <v>Dog : Elite Training</v>
      </c>
      <c r="B1797" s="1" t="str">
        <f t="shared" si="356"/>
        <v>https://m566.info/guhyc96</v>
      </c>
      <c r="C1797" s="1" t="str">
        <f>HYPERLINK("https://m566.info/guhyc96","Border Clollie")</f>
        <v>Border Clollie</v>
      </c>
    </row>
    <row r="1798">
      <c r="A1798" s="1" t="str">
        <f t="shared" si="360"/>
        <v>Dog : Elite Training</v>
      </c>
      <c r="B1798" s="1" t="str">
        <f t="shared" si="356"/>
        <v>https://m566.info/guhyc96</v>
      </c>
      <c r="C1798" s="1" t="str">
        <f>HYPERLINK("https://m566.info/guhyc96","Rotwieller")</f>
        <v>Rotwieller</v>
      </c>
    </row>
    <row r="1799">
      <c r="A1799" s="1" t="str">
        <f t="shared" si="360"/>
        <v>Dog : Elite Training</v>
      </c>
      <c r="B1799" s="1" t="str">
        <f t="shared" si="356"/>
        <v>https://m566.info/guhyc96</v>
      </c>
      <c r="C1799" s="1" t="str">
        <f>HYPERLINK("https://m566.info/guhyc96","Cross Bred")</f>
        <v>Cross Bred</v>
      </c>
    </row>
    <row r="1800">
      <c r="A1800" s="1" t="str">
        <f t="shared" si="360"/>
        <v>Dog : Elite Training</v>
      </c>
      <c r="B1800" s="1" t="str">
        <f t="shared" si="356"/>
        <v>https://m566.info/guhyc96</v>
      </c>
      <c r="C1800" s="1" t="str">
        <f>HYPERLINK("https://m566.info/guhyc96","Rotweiller")</f>
        <v>Rotweiller</v>
      </c>
    </row>
    <row r="1801">
      <c r="A1801" s="1" t="str">
        <f t="shared" ref="A1801:A1806" si="361">HYPERLINK("https://m566.info/bxgg39f","Dog Aggression Training")</f>
        <v>Dog Aggression Training</v>
      </c>
      <c r="B1801" s="1" t="str">
        <f t="shared" ref="B1801:B1830" si="362">HYPERLINK("https://m566.info/bxgg39f","https://m566.info/bxgg39f")</f>
        <v>https://m566.info/bxgg39f</v>
      </c>
      <c r="C1801" s="1" t="str">
        <f>HYPERLINK("https://m566.info/bxgg39f","Doberman")</f>
        <v>Doberman</v>
      </c>
    </row>
    <row r="1802">
      <c r="A1802" s="1" t="str">
        <f t="shared" si="361"/>
        <v>Dog Aggression Training</v>
      </c>
      <c r="B1802" s="1" t="str">
        <f t="shared" si="362"/>
        <v>https://m566.info/bxgg39f</v>
      </c>
      <c r="C1802" s="1" t="str">
        <f>HYPERLINK("https://m566.info/bxgg39f","German Shepherd")</f>
        <v>German Shepherd</v>
      </c>
    </row>
    <row r="1803">
      <c r="A1803" s="1" t="str">
        <f t="shared" si="361"/>
        <v>Dog Aggression Training</v>
      </c>
      <c r="B1803" s="1" t="str">
        <f t="shared" si="362"/>
        <v>https://m566.info/bxgg39f</v>
      </c>
      <c r="C1803" s="1" t="str">
        <f>HYPERLINK("https://m566.info/bxgg39f","Border Clollie")</f>
        <v>Border Clollie</v>
      </c>
    </row>
    <row r="1804">
      <c r="A1804" s="1" t="str">
        <f t="shared" si="361"/>
        <v>Dog Aggression Training</v>
      </c>
      <c r="B1804" s="1" t="str">
        <f t="shared" si="362"/>
        <v>https://m566.info/bxgg39f</v>
      </c>
      <c r="C1804" s="1" t="str">
        <f>HYPERLINK("https://m566.info/bxgg39f","Rotwieller")</f>
        <v>Rotwieller</v>
      </c>
    </row>
    <row r="1805">
      <c r="A1805" s="1" t="str">
        <f t="shared" si="361"/>
        <v>Dog Aggression Training</v>
      </c>
      <c r="B1805" s="1" t="str">
        <f t="shared" si="362"/>
        <v>https://m566.info/bxgg39f</v>
      </c>
      <c r="C1805" s="1" t="str">
        <f>HYPERLINK("https://m566.info/bxgg39f","Cross Bred")</f>
        <v>Cross Bred</v>
      </c>
    </row>
    <row r="1806">
      <c r="A1806" s="1" t="str">
        <f t="shared" si="361"/>
        <v>Dog Aggression Training</v>
      </c>
      <c r="B1806" s="1" t="str">
        <f t="shared" si="362"/>
        <v>https://m566.info/bxgg39f</v>
      </c>
      <c r="C1806" s="1" t="str">
        <f>HYPERLINK("https://m566.info/bxgg39f","Rotweiller")</f>
        <v>Rotweiller</v>
      </c>
    </row>
    <row r="1807">
      <c r="A1807" s="1" t="str">
        <f t="shared" ref="A1807:A1812" si="363">HYPERLINK("https://m566.info/bxgg39f","Dog Obedience Training")</f>
        <v>Dog Obedience Training</v>
      </c>
      <c r="B1807" s="1" t="str">
        <f t="shared" si="362"/>
        <v>https://m566.info/bxgg39f</v>
      </c>
      <c r="C1807" s="1" t="str">
        <f>HYPERLINK("https://m566.info/bxgg39f","Doberman")</f>
        <v>Doberman</v>
      </c>
    </row>
    <row r="1808">
      <c r="A1808" s="1" t="str">
        <f t="shared" si="363"/>
        <v>Dog Obedience Training</v>
      </c>
      <c r="B1808" s="1" t="str">
        <f t="shared" si="362"/>
        <v>https://m566.info/bxgg39f</v>
      </c>
      <c r="C1808" s="1" t="str">
        <f>HYPERLINK("https://m566.info/bxgg39f","German Shepherd")</f>
        <v>German Shepherd</v>
      </c>
    </row>
    <row r="1809">
      <c r="A1809" s="1" t="str">
        <f t="shared" si="363"/>
        <v>Dog Obedience Training</v>
      </c>
      <c r="B1809" s="1" t="str">
        <f t="shared" si="362"/>
        <v>https://m566.info/bxgg39f</v>
      </c>
      <c r="C1809" s="1" t="str">
        <f>HYPERLINK("https://m566.info/bxgg39f","Border Clollie")</f>
        <v>Border Clollie</v>
      </c>
    </row>
    <row r="1810">
      <c r="A1810" s="1" t="str">
        <f t="shared" si="363"/>
        <v>Dog Obedience Training</v>
      </c>
      <c r="B1810" s="1" t="str">
        <f t="shared" si="362"/>
        <v>https://m566.info/bxgg39f</v>
      </c>
      <c r="C1810" s="1" t="str">
        <f>HYPERLINK("https://m566.info/bxgg39f","Rotwieller")</f>
        <v>Rotwieller</v>
      </c>
    </row>
    <row r="1811">
      <c r="A1811" s="1" t="str">
        <f t="shared" si="363"/>
        <v>Dog Obedience Training</v>
      </c>
      <c r="B1811" s="1" t="str">
        <f t="shared" si="362"/>
        <v>https://m566.info/bxgg39f</v>
      </c>
      <c r="C1811" s="1" t="str">
        <f>HYPERLINK("https://m566.info/bxgg39f","Cross Bred")</f>
        <v>Cross Bred</v>
      </c>
    </row>
    <row r="1812">
      <c r="A1812" s="1" t="str">
        <f t="shared" si="363"/>
        <v>Dog Obedience Training</v>
      </c>
      <c r="B1812" s="1" t="str">
        <f t="shared" si="362"/>
        <v>https://m566.info/bxgg39f</v>
      </c>
      <c r="C1812" s="1" t="str">
        <f>HYPERLINK("https://m566.info/bxgg39f","Rotweiller")</f>
        <v>Rotweiller</v>
      </c>
    </row>
    <row r="1813">
      <c r="A1813" s="1" t="str">
        <f t="shared" ref="A1813:A1818" si="364">HYPERLINK("https://m566.info/bxgg39f","Dog House Training")</f>
        <v>Dog House Training</v>
      </c>
      <c r="B1813" s="1" t="str">
        <f t="shared" si="362"/>
        <v>https://m566.info/bxgg39f</v>
      </c>
      <c r="C1813" s="1" t="str">
        <f>HYPERLINK("https://m566.info/bxgg39f","Doberman")</f>
        <v>Doberman</v>
      </c>
    </row>
    <row r="1814">
      <c r="A1814" s="1" t="str">
        <f t="shared" si="364"/>
        <v>Dog House Training</v>
      </c>
      <c r="B1814" s="1" t="str">
        <f t="shared" si="362"/>
        <v>https://m566.info/bxgg39f</v>
      </c>
      <c r="C1814" s="1" t="str">
        <f>HYPERLINK("https://m566.info/bxgg39f","German Shepherd")</f>
        <v>German Shepherd</v>
      </c>
    </row>
    <row r="1815">
      <c r="A1815" s="1" t="str">
        <f t="shared" si="364"/>
        <v>Dog House Training</v>
      </c>
      <c r="B1815" s="1" t="str">
        <f t="shared" si="362"/>
        <v>https://m566.info/bxgg39f</v>
      </c>
      <c r="C1815" s="1" t="str">
        <f>HYPERLINK("https://m566.info/bxgg39f","Border Clollie")</f>
        <v>Border Clollie</v>
      </c>
    </row>
    <row r="1816">
      <c r="A1816" s="1" t="str">
        <f t="shared" si="364"/>
        <v>Dog House Training</v>
      </c>
      <c r="B1816" s="1" t="str">
        <f t="shared" si="362"/>
        <v>https://m566.info/bxgg39f</v>
      </c>
      <c r="C1816" s="1" t="str">
        <f>HYPERLINK("https://m566.info/bxgg39f","Rotwieller")</f>
        <v>Rotwieller</v>
      </c>
    </row>
    <row r="1817">
      <c r="A1817" s="1" t="str">
        <f t="shared" si="364"/>
        <v>Dog House Training</v>
      </c>
      <c r="B1817" s="1" t="str">
        <f t="shared" si="362"/>
        <v>https://m566.info/bxgg39f</v>
      </c>
      <c r="C1817" s="1" t="str">
        <f>HYPERLINK("https://m566.info/bxgg39f","Cross Bred")</f>
        <v>Cross Bred</v>
      </c>
    </row>
    <row r="1818">
      <c r="A1818" s="1" t="str">
        <f t="shared" si="364"/>
        <v>Dog House Training</v>
      </c>
      <c r="B1818" s="1" t="str">
        <f t="shared" si="362"/>
        <v>https://m566.info/bxgg39f</v>
      </c>
      <c r="C1818" s="1" t="str">
        <f>HYPERLINK("https://m566.info/bxgg39f","Rotweiller")</f>
        <v>Rotweiller</v>
      </c>
    </row>
    <row r="1819">
      <c r="A1819" s="1" t="str">
        <f t="shared" ref="A1819:A1824" si="365">HYPERLINK("https://m566.info/bxgg39f","Dog Behaviour Training")</f>
        <v>Dog Behaviour Training</v>
      </c>
      <c r="B1819" s="1" t="str">
        <f t="shared" si="362"/>
        <v>https://m566.info/bxgg39f</v>
      </c>
      <c r="C1819" s="1" t="str">
        <f>HYPERLINK("https://m566.info/bxgg39f","Doberman")</f>
        <v>Doberman</v>
      </c>
    </row>
    <row r="1820">
      <c r="A1820" s="1" t="str">
        <f t="shared" si="365"/>
        <v>Dog Behaviour Training</v>
      </c>
      <c r="B1820" s="1" t="str">
        <f t="shared" si="362"/>
        <v>https://m566.info/bxgg39f</v>
      </c>
      <c r="C1820" s="1" t="str">
        <f>HYPERLINK("https://m566.info/bxgg39f","German Shepherd")</f>
        <v>German Shepherd</v>
      </c>
    </row>
    <row r="1821">
      <c r="A1821" s="1" t="str">
        <f t="shared" si="365"/>
        <v>Dog Behaviour Training</v>
      </c>
      <c r="B1821" s="1" t="str">
        <f t="shared" si="362"/>
        <v>https://m566.info/bxgg39f</v>
      </c>
      <c r="C1821" s="1" t="str">
        <f>HYPERLINK("https://m566.info/bxgg39f","Border Clollie")</f>
        <v>Border Clollie</v>
      </c>
    </row>
    <row r="1822">
      <c r="A1822" s="1" t="str">
        <f t="shared" si="365"/>
        <v>Dog Behaviour Training</v>
      </c>
      <c r="B1822" s="1" t="str">
        <f t="shared" si="362"/>
        <v>https://m566.info/bxgg39f</v>
      </c>
      <c r="C1822" s="1" t="str">
        <f>HYPERLINK("https://m566.info/bxgg39f","Rotwieller")</f>
        <v>Rotwieller</v>
      </c>
    </row>
    <row r="1823">
      <c r="A1823" s="1" t="str">
        <f t="shared" si="365"/>
        <v>Dog Behaviour Training</v>
      </c>
      <c r="B1823" s="1" t="str">
        <f t="shared" si="362"/>
        <v>https://m566.info/bxgg39f</v>
      </c>
      <c r="C1823" s="1" t="str">
        <f>HYPERLINK("https://m566.info/bxgg39f","Cross Bred")</f>
        <v>Cross Bred</v>
      </c>
    </row>
    <row r="1824">
      <c r="A1824" s="1" t="str">
        <f t="shared" si="365"/>
        <v>Dog Behaviour Training</v>
      </c>
      <c r="B1824" s="1" t="str">
        <f t="shared" si="362"/>
        <v>https://m566.info/bxgg39f</v>
      </c>
      <c r="C1824" s="1" t="str">
        <f>HYPERLINK("https://m566.info/bxgg39f","Rotweiller")</f>
        <v>Rotweiller</v>
      </c>
    </row>
    <row r="1825">
      <c r="A1825" s="1" t="str">
        <f t="shared" ref="A1825:A1830" si="366">HYPERLINK("https://m566.info/bxgg39f","Dog : Elite Training")</f>
        <v>Dog : Elite Training</v>
      </c>
      <c r="B1825" s="1" t="str">
        <f t="shared" si="362"/>
        <v>https://m566.info/bxgg39f</v>
      </c>
      <c r="C1825" s="1" t="str">
        <f>HYPERLINK("https://m566.info/bxgg39f","Doberman")</f>
        <v>Doberman</v>
      </c>
    </row>
    <row r="1826">
      <c r="A1826" s="1" t="str">
        <f t="shared" si="366"/>
        <v>Dog : Elite Training</v>
      </c>
      <c r="B1826" s="1" t="str">
        <f t="shared" si="362"/>
        <v>https://m566.info/bxgg39f</v>
      </c>
      <c r="C1826" s="1" t="str">
        <f>HYPERLINK("https://m566.info/bxgg39f","German Shepherd")</f>
        <v>German Shepherd</v>
      </c>
    </row>
    <row r="1827">
      <c r="A1827" s="1" t="str">
        <f t="shared" si="366"/>
        <v>Dog : Elite Training</v>
      </c>
      <c r="B1827" s="1" t="str">
        <f t="shared" si="362"/>
        <v>https://m566.info/bxgg39f</v>
      </c>
      <c r="C1827" s="1" t="str">
        <f>HYPERLINK("https://m566.info/bxgg39f","Border Clollie")</f>
        <v>Border Clollie</v>
      </c>
    </row>
    <row r="1828">
      <c r="A1828" s="1" t="str">
        <f t="shared" si="366"/>
        <v>Dog : Elite Training</v>
      </c>
      <c r="B1828" s="1" t="str">
        <f t="shared" si="362"/>
        <v>https://m566.info/bxgg39f</v>
      </c>
      <c r="C1828" s="1" t="str">
        <f>HYPERLINK("https://m566.info/bxgg39f","Rotwieller")</f>
        <v>Rotwieller</v>
      </c>
    </row>
    <row r="1829">
      <c r="A1829" s="1" t="str">
        <f t="shared" si="366"/>
        <v>Dog : Elite Training</v>
      </c>
      <c r="B1829" s="1" t="str">
        <f t="shared" si="362"/>
        <v>https://m566.info/bxgg39f</v>
      </c>
      <c r="C1829" s="1" t="str">
        <f>HYPERLINK("https://m566.info/bxgg39f","Cross Bred")</f>
        <v>Cross Bred</v>
      </c>
    </row>
    <row r="1830">
      <c r="A1830" s="1" t="str">
        <f t="shared" si="366"/>
        <v>Dog : Elite Training</v>
      </c>
      <c r="B1830" s="1" t="str">
        <f t="shared" si="362"/>
        <v>https://m566.info/bxgg39f</v>
      </c>
      <c r="C1830" s="1" t="str">
        <f>HYPERLINK("https://m566.info/bxgg39f","Rotweiller")</f>
        <v>Rotweiller</v>
      </c>
    </row>
    <row r="1831">
      <c r="A1831" s="1" t="str">
        <f t="shared" ref="A1831:A1836" si="367">HYPERLINK("https://m566.info/q8cyhom","Dog Aggression Training")</f>
        <v>Dog Aggression Training</v>
      </c>
      <c r="B1831" s="1" t="str">
        <f t="shared" ref="B1831:B1860" si="368">HYPERLINK("https://m566.info/q8cyhom","https://m566.info/q8cyhom")</f>
        <v>https://m566.info/q8cyhom</v>
      </c>
      <c r="C1831" s="1" t="str">
        <f>HYPERLINK("https://m566.info/q8cyhom","Doberman")</f>
        <v>Doberman</v>
      </c>
    </row>
    <row r="1832">
      <c r="A1832" s="1" t="str">
        <f t="shared" si="367"/>
        <v>Dog Aggression Training</v>
      </c>
      <c r="B1832" s="1" t="str">
        <f t="shared" si="368"/>
        <v>https://m566.info/q8cyhom</v>
      </c>
      <c r="C1832" s="1" t="str">
        <f>HYPERLINK("https://m566.info/q8cyhom","German Shepherd")</f>
        <v>German Shepherd</v>
      </c>
    </row>
    <row r="1833">
      <c r="A1833" s="1" t="str">
        <f t="shared" si="367"/>
        <v>Dog Aggression Training</v>
      </c>
      <c r="B1833" s="1" t="str">
        <f t="shared" si="368"/>
        <v>https://m566.info/q8cyhom</v>
      </c>
      <c r="C1833" s="1" t="str">
        <f>HYPERLINK("https://m566.info/q8cyhom","Border Clollie")</f>
        <v>Border Clollie</v>
      </c>
    </row>
    <row r="1834">
      <c r="A1834" s="1" t="str">
        <f t="shared" si="367"/>
        <v>Dog Aggression Training</v>
      </c>
      <c r="B1834" s="1" t="str">
        <f t="shared" si="368"/>
        <v>https://m566.info/q8cyhom</v>
      </c>
      <c r="C1834" s="1" t="str">
        <f>HYPERLINK("https://m566.info/q8cyhom","Rotwieller")</f>
        <v>Rotwieller</v>
      </c>
    </row>
    <row r="1835">
      <c r="A1835" s="1" t="str">
        <f t="shared" si="367"/>
        <v>Dog Aggression Training</v>
      </c>
      <c r="B1835" s="1" t="str">
        <f t="shared" si="368"/>
        <v>https://m566.info/q8cyhom</v>
      </c>
      <c r="C1835" s="1" t="str">
        <f>HYPERLINK("https://m566.info/q8cyhom","Cross Bred")</f>
        <v>Cross Bred</v>
      </c>
    </row>
    <row r="1836">
      <c r="A1836" s="1" t="str">
        <f t="shared" si="367"/>
        <v>Dog Aggression Training</v>
      </c>
      <c r="B1836" s="1" t="str">
        <f t="shared" si="368"/>
        <v>https://m566.info/q8cyhom</v>
      </c>
      <c r="C1836" s="1" t="str">
        <f>HYPERLINK("https://m566.info/q8cyhom","Rotweiller")</f>
        <v>Rotweiller</v>
      </c>
    </row>
    <row r="1837">
      <c r="A1837" s="1" t="str">
        <f t="shared" ref="A1837:A1842" si="369">HYPERLINK("https://m566.info/q8cyhom","Dog Obedience Training")</f>
        <v>Dog Obedience Training</v>
      </c>
      <c r="B1837" s="1" t="str">
        <f t="shared" si="368"/>
        <v>https://m566.info/q8cyhom</v>
      </c>
      <c r="C1837" s="1" t="str">
        <f>HYPERLINK("https://m566.info/q8cyhom","Doberman")</f>
        <v>Doberman</v>
      </c>
    </row>
    <row r="1838">
      <c r="A1838" s="1" t="str">
        <f t="shared" si="369"/>
        <v>Dog Obedience Training</v>
      </c>
      <c r="B1838" s="1" t="str">
        <f t="shared" si="368"/>
        <v>https://m566.info/q8cyhom</v>
      </c>
      <c r="C1838" s="1" t="str">
        <f>HYPERLINK("https://m566.info/q8cyhom","German Shepherd")</f>
        <v>German Shepherd</v>
      </c>
    </row>
    <row r="1839">
      <c r="A1839" s="1" t="str">
        <f t="shared" si="369"/>
        <v>Dog Obedience Training</v>
      </c>
      <c r="B1839" s="1" t="str">
        <f t="shared" si="368"/>
        <v>https://m566.info/q8cyhom</v>
      </c>
      <c r="C1839" s="1" t="str">
        <f>HYPERLINK("https://m566.info/q8cyhom","Border Clollie")</f>
        <v>Border Clollie</v>
      </c>
    </row>
    <row r="1840">
      <c r="A1840" s="1" t="str">
        <f t="shared" si="369"/>
        <v>Dog Obedience Training</v>
      </c>
      <c r="B1840" s="1" t="str">
        <f t="shared" si="368"/>
        <v>https://m566.info/q8cyhom</v>
      </c>
      <c r="C1840" s="1" t="str">
        <f>HYPERLINK("https://m566.info/q8cyhom","Rotwieller")</f>
        <v>Rotwieller</v>
      </c>
    </row>
    <row r="1841">
      <c r="A1841" s="1" t="str">
        <f t="shared" si="369"/>
        <v>Dog Obedience Training</v>
      </c>
      <c r="B1841" s="1" t="str">
        <f t="shared" si="368"/>
        <v>https://m566.info/q8cyhom</v>
      </c>
      <c r="C1841" s="1" t="str">
        <f>HYPERLINK("https://m566.info/q8cyhom","Cross Bred")</f>
        <v>Cross Bred</v>
      </c>
    </row>
    <row r="1842">
      <c r="A1842" s="1" t="str">
        <f t="shared" si="369"/>
        <v>Dog Obedience Training</v>
      </c>
      <c r="B1842" s="1" t="str">
        <f t="shared" si="368"/>
        <v>https://m566.info/q8cyhom</v>
      </c>
      <c r="C1842" s="1" t="str">
        <f>HYPERLINK("https://m566.info/q8cyhom","Rotweiller")</f>
        <v>Rotweiller</v>
      </c>
    </row>
    <row r="1843">
      <c r="A1843" s="1" t="str">
        <f t="shared" ref="A1843:A1848" si="370">HYPERLINK("https://m566.info/q8cyhom","Dog House Training")</f>
        <v>Dog House Training</v>
      </c>
      <c r="B1843" s="1" t="str">
        <f t="shared" si="368"/>
        <v>https://m566.info/q8cyhom</v>
      </c>
      <c r="C1843" s="1" t="str">
        <f>HYPERLINK("https://m566.info/q8cyhom","Doberman")</f>
        <v>Doberman</v>
      </c>
    </row>
    <row r="1844">
      <c r="A1844" s="1" t="str">
        <f t="shared" si="370"/>
        <v>Dog House Training</v>
      </c>
      <c r="B1844" s="1" t="str">
        <f t="shared" si="368"/>
        <v>https://m566.info/q8cyhom</v>
      </c>
      <c r="C1844" s="1" t="str">
        <f>HYPERLINK("https://m566.info/q8cyhom","German Shepherd")</f>
        <v>German Shepherd</v>
      </c>
    </row>
    <row r="1845">
      <c r="A1845" s="1" t="str">
        <f t="shared" si="370"/>
        <v>Dog House Training</v>
      </c>
      <c r="B1845" s="1" t="str">
        <f t="shared" si="368"/>
        <v>https://m566.info/q8cyhom</v>
      </c>
      <c r="C1845" s="1" t="str">
        <f>HYPERLINK("https://m566.info/q8cyhom","Border Clollie")</f>
        <v>Border Clollie</v>
      </c>
    </row>
    <row r="1846">
      <c r="A1846" s="1" t="str">
        <f t="shared" si="370"/>
        <v>Dog House Training</v>
      </c>
      <c r="B1846" s="1" t="str">
        <f t="shared" si="368"/>
        <v>https://m566.info/q8cyhom</v>
      </c>
      <c r="C1846" s="1" t="str">
        <f>HYPERLINK("https://m566.info/q8cyhom","Rotwieller")</f>
        <v>Rotwieller</v>
      </c>
    </row>
    <row r="1847">
      <c r="A1847" s="1" t="str">
        <f t="shared" si="370"/>
        <v>Dog House Training</v>
      </c>
      <c r="B1847" s="1" t="str">
        <f t="shared" si="368"/>
        <v>https://m566.info/q8cyhom</v>
      </c>
      <c r="C1847" s="1" t="str">
        <f>HYPERLINK("https://m566.info/q8cyhom","Cross Bred")</f>
        <v>Cross Bred</v>
      </c>
    </row>
    <row r="1848">
      <c r="A1848" s="1" t="str">
        <f t="shared" si="370"/>
        <v>Dog House Training</v>
      </c>
      <c r="B1848" s="1" t="str">
        <f t="shared" si="368"/>
        <v>https://m566.info/q8cyhom</v>
      </c>
      <c r="C1848" s="1" t="str">
        <f>HYPERLINK("https://m566.info/q8cyhom","Rotweiller")</f>
        <v>Rotweiller</v>
      </c>
    </row>
    <row r="1849">
      <c r="A1849" s="1" t="str">
        <f t="shared" ref="A1849:A1854" si="371">HYPERLINK("https://m566.info/q8cyhom","Dog Behaviour Training")</f>
        <v>Dog Behaviour Training</v>
      </c>
      <c r="B1849" s="1" t="str">
        <f t="shared" si="368"/>
        <v>https://m566.info/q8cyhom</v>
      </c>
      <c r="C1849" s="1" t="str">
        <f>HYPERLINK("https://m566.info/q8cyhom","Doberman")</f>
        <v>Doberman</v>
      </c>
    </row>
    <row r="1850">
      <c r="A1850" s="1" t="str">
        <f t="shared" si="371"/>
        <v>Dog Behaviour Training</v>
      </c>
      <c r="B1850" s="1" t="str">
        <f t="shared" si="368"/>
        <v>https://m566.info/q8cyhom</v>
      </c>
      <c r="C1850" s="1" t="str">
        <f>HYPERLINK("https://m566.info/q8cyhom","German Shepherd")</f>
        <v>German Shepherd</v>
      </c>
    </row>
    <row r="1851">
      <c r="A1851" s="1" t="str">
        <f t="shared" si="371"/>
        <v>Dog Behaviour Training</v>
      </c>
      <c r="B1851" s="1" t="str">
        <f t="shared" si="368"/>
        <v>https://m566.info/q8cyhom</v>
      </c>
      <c r="C1851" s="1" t="str">
        <f>HYPERLINK("https://m566.info/q8cyhom","Border Clollie")</f>
        <v>Border Clollie</v>
      </c>
    </row>
    <row r="1852">
      <c r="A1852" s="1" t="str">
        <f t="shared" si="371"/>
        <v>Dog Behaviour Training</v>
      </c>
      <c r="B1852" s="1" t="str">
        <f t="shared" si="368"/>
        <v>https://m566.info/q8cyhom</v>
      </c>
      <c r="C1852" s="1" t="str">
        <f>HYPERLINK("https://m566.info/q8cyhom","Rotwieller")</f>
        <v>Rotwieller</v>
      </c>
    </row>
    <row r="1853">
      <c r="A1853" s="1" t="str">
        <f t="shared" si="371"/>
        <v>Dog Behaviour Training</v>
      </c>
      <c r="B1853" s="1" t="str">
        <f t="shared" si="368"/>
        <v>https://m566.info/q8cyhom</v>
      </c>
      <c r="C1853" s="1" t="str">
        <f>HYPERLINK("https://m566.info/q8cyhom","Cross Bred")</f>
        <v>Cross Bred</v>
      </c>
    </row>
    <row r="1854">
      <c r="A1854" s="1" t="str">
        <f t="shared" si="371"/>
        <v>Dog Behaviour Training</v>
      </c>
      <c r="B1854" s="1" t="str">
        <f t="shared" si="368"/>
        <v>https://m566.info/q8cyhom</v>
      </c>
      <c r="C1854" s="1" t="str">
        <f>HYPERLINK("https://m566.info/q8cyhom","Rotweiller")</f>
        <v>Rotweiller</v>
      </c>
    </row>
    <row r="1855">
      <c r="A1855" s="1" t="str">
        <f t="shared" ref="A1855:A1860" si="372">HYPERLINK("https://m566.info/q8cyhom","Dog : Elite Training")</f>
        <v>Dog : Elite Training</v>
      </c>
      <c r="B1855" s="1" t="str">
        <f t="shared" si="368"/>
        <v>https://m566.info/q8cyhom</v>
      </c>
      <c r="C1855" s="1" t="str">
        <f>HYPERLINK("https://m566.info/q8cyhom","Doberman")</f>
        <v>Doberman</v>
      </c>
    </row>
    <row r="1856">
      <c r="A1856" s="1" t="str">
        <f t="shared" si="372"/>
        <v>Dog : Elite Training</v>
      </c>
      <c r="B1856" s="1" t="str">
        <f t="shared" si="368"/>
        <v>https://m566.info/q8cyhom</v>
      </c>
      <c r="C1856" s="1" t="str">
        <f>HYPERLINK("https://m566.info/q8cyhom","German Shepherd")</f>
        <v>German Shepherd</v>
      </c>
    </row>
    <row r="1857">
      <c r="A1857" s="1" t="str">
        <f t="shared" si="372"/>
        <v>Dog : Elite Training</v>
      </c>
      <c r="B1857" s="1" t="str">
        <f t="shared" si="368"/>
        <v>https://m566.info/q8cyhom</v>
      </c>
      <c r="C1857" s="1" t="str">
        <f>HYPERLINK("https://m566.info/q8cyhom","Border Clollie")</f>
        <v>Border Clollie</v>
      </c>
    </row>
    <row r="1858">
      <c r="A1858" s="1" t="str">
        <f t="shared" si="372"/>
        <v>Dog : Elite Training</v>
      </c>
      <c r="B1858" s="1" t="str">
        <f t="shared" si="368"/>
        <v>https://m566.info/q8cyhom</v>
      </c>
      <c r="C1858" s="1" t="str">
        <f>HYPERLINK("https://m566.info/q8cyhom","Rotwieller")</f>
        <v>Rotwieller</v>
      </c>
    </row>
    <row r="1859">
      <c r="A1859" s="1" t="str">
        <f t="shared" si="372"/>
        <v>Dog : Elite Training</v>
      </c>
      <c r="B1859" s="1" t="str">
        <f t="shared" si="368"/>
        <v>https://m566.info/q8cyhom</v>
      </c>
      <c r="C1859" s="1" t="str">
        <f>HYPERLINK("https://m566.info/q8cyhom","Cross Bred")</f>
        <v>Cross Bred</v>
      </c>
    </row>
    <row r="1860">
      <c r="A1860" s="1" t="str">
        <f t="shared" si="372"/>
        <v>Dog : Elite Training</v>
      </c>
      <c r="B1860" s="1" t="str">
        <f t="shared" si="368"/>
        <v>https://m566.info/q8cyhom</v>
      </c>
      <c r="C1860" s="1" t="str">
        <f>HYPERLINK("https://m566.info/q8cyhom","Rotweiller")</f>
        <v>Rotweiller</v>
      </c>
    </row>
    <row r="1861">
      <c r="A1861" s="1" t="str">
        <f t="shared" ref="A1861:A1866" si="373">HYPERLINK("https://m566.info/pgxldcm","Dog Aggression Training")</f>
        <v>Dog Aggression Training</v>
      </c>
      <c r="B1861" s="1" t="str">
        <f t="shared" ref="B1861:B1890" si="374">HYPERLINK("https://m566.info/pgxldcm","https://m566.info/pgxldcm")</f>
        <v>https://m566.info/pgxldcm</v>
      </c>
      <c r="C1861" s="1" t="str">
        <f>HYPERLINK("https://m566.info/pgxldcm","Doberman")</f>
        <v>Doberman</v>
      </c>
    </row>
    <row r="1862">
      <c r="A1862" s="1" t="str">
        <f t="shared" si="373"/>
        <v>Dog Aggression Training</v>
      </c>
      <c r="B1862" s="1" t="str">
        <f t="shared" si="374"/>
        <v>https://m566.info/pgxldcm</v>
      </c>
      <c r="C1862" s="1" t="str">
        <f>HYPERLINK("https://m566.info/pgxldcm","German Shepherd")</f>
        <v>German Shepherd</v>
      </c>
    </row>
    <row r="1863">
      <c r="A1863" s="1" t="str">
        <f t="shared" si="373"/>
        <v>Dog Aggression Training</v>
      </c>
      <c r="B1863" s="1" t="str">
        <f t="shared" si="374"/>
        <v>https://m566.info/pgxldcm</v>
      </c>
      <c r="C1863" s="1" t="str">
        <f>HYPERLINK("https://m566.info/pgxldcm","Border Clollie")</f>
        <v>Border Clollie</v>
      </c>
    </row>
    <row r="1864">
      <c r="A1864" s="1" t="str">
        <f t="shared" si="373"/>
        <v>Dog Aggression Training</v>
      </c>
      <c r="B1864" s="1" t="str">
        <f t="shared" si="374"/>
        <v>https://m566.info/pgxldcm</v>
      </c>
      <c r="C1864" s="1" t="str">
        <f>HYPERLINK("https://m566.info/pgxldcm","Rotwieller")</f>
        <v>Rotwieller</v>
      </c>
    </row>
    <row r="1865">
      <c r="A1865" s="1" t="str">
        <f t="shared" si="373"/>
        <v>Dog Aggression Training</v>
      </c>
      <c r="B1865" s="1" t="str">
        <f t="shared" si="374"/>
        <v>https://m566.info/pgxldcm</v>
      </c>
      <c r="C1865" s="1" t="str">
        <f>HYPERLINK("https://m566.info/pgxldcm","Cross Bred")</f>
        <v>Cross Bred</v>
      </c>
    </row>
    <row r="1866">
      <c r="A1866" s="1" t="str">
        <f t="shared" si="373"/>
        <v>Dog Aggression Training</v>
      </c>
      <c r="B1866" s="1" t="str">
        <f t="shared" si="374"/>
        <v>https://m566.info/pgxldcm</v>
      </c>
      <c r="C1866" s="1" t="str">
        <f>HYPERLINK("https://m566.info/pgxldcm","Rotweiller")</f>
        <v>Rotweiller</v>
      </c>
    </row>
    <row r="1867">
      <c r="A1867" s="1" t="str">
        <f t="shared" ref="A1867:A1872" si="375">HYPERLINK("https://m566.info/pgxldcm","Dog Obedience Training")</f>
        <v>Dog Obedience Training</v>
      </c>
      <c r="B1867" s="1" t="str">
        <f t="shared" si="374"/>
        <v>https://m566.info/pgxldcm</v>
      </c>
      <c r="C1867" s="1" t="str">
        <f>HYPERLINK("https://m566.info/pgxldcm","Doberman")</f>
        <v>Doberman</v>
      </c>
    </row>
    <row r="1868">
      <c r="A1868" s="1" t="str">
        <f t="shared" si="375"/>
        <v>Dog Obedience Training</v>
      </c>
      <c r="B1868" s="1" t="str">
        <f t="shared" si="374"/>
        <v>https://m566.info/pgxldcm</v>
      </c>
      <c r="C1868" s="1" t="str">
        <f>HYPERLINK("https://m566.info/pgxldcm","German Shepherd")</f>
        <v>German Shepherd</v>
      </c>
    </row>
    <row r="1869">
      <c r="A1869" s="1" t="str">
        <f t="shared" si="375"/>
        <v>Dog Obedience Training</v>
      </c>
      <c r="B1869" s="1" t="str">
        <f t="shared" si="374"/>
        <v>https://m566.info/pgxldcm</v>
      </c>
      <c r="C1869" s="1" t="str">
        <f>HYPERLINK("https://m566.info/pgxldcm","Border Clollie")</f>
        <v>Border Clollie</v>
      </c>
    </row>
    <row r="1870">
      <c r="A1870" s="1" t="str">
        <f t="shared" si="375"/>
        <v>Dog Obedience Training</v>
      </c>
      <c r="B1870" s="1" t="str">
        <f t="shared" si="374"/>
        <v>https://m566.info/pgxldcm</v>
      </c>
      <c r="C1870" s="1" t="str">
        <f>HYPERLINK("https://m566.info/pgxldcm","Rotwieller")</f>
        <v>Rotwieller</v>
      </c>
    </row>
    <row r="1871">
      <c r="A1871" s="1" t="str">
        <f t="shared" si="375"/>
        <v>Dog Obedience Training</v>
      </c>
      <c r="B1871" s="1" t="str">
        <f t="shared" si="374"/>
        <v>https://m566.info/pgxldcm</v>
      </c>
      <c r="C1871" s="1" t="str">
        <f>HYPERLINK("https://m566.info/pgxldcm","Cross Bred")</f>
        <v>Cross Bred</v>
      </c>
    </row>
    <row r="1872">
      <c r="A1872" s="1" t="str">
        <f t="shared" si="375"/>
        <v>Dog Obedience Training</v>
      </c>
      <c r="B1872" s="1" t="str">
        <f t="shared" si="374"/>
        <v>https://m566.info/pgxldcm</v>
      </c>
      <c r="C1872" s="1" t="str">
        <f>HYPERLINK("https://m566.info/pgxldcm","Rotweiller")</f>
        <v>Rotweiller</v>
      </c>
    </row>
    <row r="1873">
      <c r="A1873" s="1" t="str">
        <f t="shared" ref="A1873:A1878" si="376">HYPERLINK("https://m566.info/pgxldcm","Dog House Training")</f>
        <v>Dog House Training</v>
      </c>
      <c r="B1873" s="1" t="str">
        <f t="shared" si="374"/>
        <v>https://m566.info/pgxldcm</v>
      </c>
      <c r="C1873" s="1" t="str">
        <f>HYPERLINK("https://m566.info/pgxldcm","Doberman")</f>
        <v>Doberman</v>
      </c>
    </row>
    <row r="1874">
      <c r="A1874" s="1" t="str">
        <f t="shared" si="376"/>
        <v>Dog House Training</v>
      </c>
      <c r="B1874" s="1" t="str">
        <f t="shared" si="374"/>
        <v>https://m566.info/pgxldcm</v>
      </c>
      <c r="C1874" s="1" t="str">
        <f>HYPERLINK("https://m566.info/pgxldcm","German Shepherd")</f>
        <v>German Shepherd</v>
      </c>
    </row>
    <row r="1875">
      <c r="A1875" s="1" t="str">
        <f t="shared" si="376"/>
        <v>Dog House Training</v>
      </c>
      <c r="B1875" s="1" t="str">
        <f t="shared" si="374"/>
        <v>https://m566.info/pgxldcm</v>
      </c>
      <c r="C1875" s="1" t="str">
        <f>HYPERLINK("https://m566.info/pgxldcm","Border Clollie")</f>
        <v>Border Clollie</v>
      </c>
    </row>
    <row r="1876">
      <c r="A1876" s="1" t="str">
        <f t="shared" si="376"/>
        <v>Dog House Training</v>
      </c>
      <c r="B1876" s="1" t="str">
        <f t="shared" si="374"/>
        <v>https://m566.info/pgxldcm</v>
      </c>
      <c r="C1876" s="1" t="str">
        <f>HYPERLINK("https://m566.info/pgxldcm","Rotwieller")</f>
        <v>Rotwieller</v>
      </c>
    </row>
    <row r="1877">
      <c r="A1877" s="1" t="str">
        <f t="shared" si="376"/>
        <v>Dog House Training</v>
      </c>
      <c r="B1877" s="1" t="str">
        <f t="shared" si="374"/>
        <v>https://m566.info/pgxldcm</v>
      </c>
      <c r="C1877" s="1" t="str">
        <f>HYPERLINK("https://m566.info/pgxldcm","Cross Bred")</f>
        <v>Cross Bred</v>
      </c>
    </row>
    <row r="1878">
      <c r="A1878" s="1" t="str">
        <f t="shared" si="376"/>
        <v>Dog House Training</v>
      </c>
      <c r="B1878" s="1" t="str">
        <f t="shared" si="374"/>
        <v>https://m566.info/pgxldcm</v>
      </c>
      <c r="C1878" s="1" t="str">
        <f>HYPERLINK("https://m566.info/pgxldcm","Rotweiller")</f>
        <v>Rotweiller</v>
      </c>
    </row>
    <row r="1879">
      <c r="A1879" s="1" t="str">
        <f t="shared" ref="A1879:A1884" si="377">HYPERLINK("https://m566.info/pgxldcm","Dog Behaviour Training")</f>
        <v>Dog Behaviour Training</v>
      </c>
      <c r="B1879" s="1" t="str">
        <f t="shared" si="374"/>
        <v>https://m566.info/pgxldcm</v>
      </c>
      <c r="C1879" s="1" t="str">
        <f>HYPERLINK("https://m566.info/pgxldcm","Doberman")</f>
        <v>Doberman</v>
      </c>
    </row>
    <row r="1880">
      <c r="A1880" s="1" t="str">
        <f t="shared" si="377"/>
        <v>Dog Behaviour Training</v>
      </c>
      <c r="B1880" s="1" t="str">
        <f t="shared" si="374"/>
        <v>https://m566.info/pgxldcm</v>
      </c>
      <c r="C1880" s="1" t="str">
        <f>HYPERLINK("https://m566.info/pgxldcm","German Shepherd")</f>
        <v>German Shepherd</v>
      </c>
    </row>
    <row r="1881">
      <c r="A1881" s="1" t="str">
        <f t="shared" si="377"/>
        <v>Dog Behaviour Training</v>
      </c>
      <c r="B1881" s="1" t="str">
        <f t="shared" si="374"/>
        <v>https://m566.info/pgxldcm</v>
      </c>
      <c r="C1881" s="1" t="str">
        <f>HYPERLINK("https://m566.info/pgxldcm","Border Clollie")</f>
        <v>Border Clollie</v>
      </c>
    </row>
    <row r="1882">
      <c r="A1882" s="1" t="str">
        <f t="shared" si="377"/>
        <v>Dog Behaviour Training</v>
      </c>
      <c r="B1882" s="1" t="str">
        <f t="shared" si="374"/>
        <v>https://m566.info/pgxldcm</v>
      </c>
      <c r="C1882" s="1" t="str">
        <f>HYPERLINK("https://m566.info/pgxldcm","Rotwieller")</f>
        <v>Rotwieller</v>
      </c>
    </row>
    <row r="1883">
      <c r="A1883" s="1" t="str">
        <f t="shared" si="377"/>
        <v>Dog Behaviour Training</v>
      </c>
      <c r="B1883" s="1" t="str">
        <f t="shared" si="374"/>
        <v>https://m566.info/pgxldcm</v>
      </c>
      <c r="C1883" s="1" t="str">
        <f>HYPERLINK("https://m566.info/pgxldcm","Cross Bred")</f>
        <v>Cross Bred</v>
      </c>
    </row>
    <row r="1884">
      <c r="A1884" s="1" t="str">
        <f t="shared" si="377"/>
        <v>Dog Behaviour Training</v>
      </c>
      <c r="B1884" s="1" t="str">
        <f t="shared" si="374"/>
        <v>https://m566.info/pgxldcm</v>
      </c>
      <c r="C1884" s="1" t="str">
        <f>HYPERLINK("https://m566.info/pgxldcm","Rotweiller")</f>
        <v>Rotweiller</v>
      </c>
    </row>
    <row r="1885">
      <c r="A1885" s="1" t="str">
        <f t="shared" ref="A1885:A1890" si="378">HYPERLINK("https://m566.info/pgxldcm","Dog : Elite Training")</f>
        <v>Dog : Elite Training</v>
      </c>
      <c r="B1885" s="1" t="str">
        <f t="shared" si="374"/>
        <v>https://m566.info/pgxldcm</v>
      </c>
      <c r="C1885" s="1" t="str">
        <f>HYPERLINK("https://m566.info/pgxldcm","Doberman")</f>
        <v>Doberman</v>
      </c>
    </row>
    <row r="1886">
      <c r="A1886" s="1" t="str">
        <f t="shared" si="378"/>
        <v>Dog : Elite Training</v>
      </c>
      <c r="B1886" s="1" t="str">
        <f t="shared" si="374"/>
        <v>https://m566.info/pgxldcm</v>
      </c>
      <c r="C1886" s="1" t="str">
        <f>HYPERLINK("https://m566.info/pgxldcm","German Shepherd")</f>
        <v>German Shepherd</v>
      </c>
    </row>
    <row r="1887">
      <c r="A1887" s="1" t="str">
        <f t="shared" si="378"/>
        <v>Dog : Elite Training</v>
      </c>
      <c r="B1887" s="1" t="str">
        <f t="shared" si="374"/>
        <v>https://m566.info/pgxldcm</v>
      </c>
      <c r="C1887" s="1" t="str">
        <f>HYPERLINK("https://m566.info/pgxldcm","Border Clollie")</f>
        <v>Border Clollie</v>
      </c>
    </row>
    <row r="1888">
      <c r="A1888" s="1" t="str">
        <f t="shared" si="378"/>
        <v>Dog : Elite Training</v>
      </c>
      <c r="B1888" s="1" t="str">
        <f t="shared" si="374"/>
        <v>https://m566.info/pgxldcm</v>
      </c>
      <c r="C1888" s="1" t="str">
        <f>HYPERLINK("https://m566.info/pgxldcm","Rotwieller")</f>
        <v>Rotwieller</v>
      </c>
    </row>
    <row r="1889">
      <c r="A1889" s="1" t="str">
        <f t="shared" si="378"/>
        <v>Dog : Elite Training</v>
      </c>
      <c r="B1889" s="1" t="str">
        <f t="shared" si="374"/>
        <v>https://m566.info/pgxldcm</v>
      </c>
      <c r="C1889" s="1" t="str">
        <f>HYPERLINK("https://m566.info/pgxldcm","Cross Bred")</f>
        <v>Cross Bred</v>
      </c>
    </row>
    <row r="1890">
      <c r="A1890" s="1" t="str">
        <f t="shared" si="378"/>
        <v>Dog : Elite Training</v>
      </c>
      <c r="B1890" s="1" t="str">
        <f t="shared" si="374"/>
        <v>https://m566.info/pgxldcm</v>
      </c>
      <c r="C1890" s="1" t="str">
        <f>HYPERLINK("https://m566.info/pgxldcm","Rotweiller")</f>
        <v>Rotweiller</v>
      </c>
    </row>
    <row r="1891">
      <c r="A1891" s="1" t="str">
        <f t="shared" ref="A1891:A1896" si="379">HYPERLINK("https://m566.info/c1m23zv","Dog Aggression Training")</f>
        <v>Dog Aggression Training</v>
      </c>
      <c r="B1891" s="1" t="str">
        <f t="shared" ref="B1891:B1920" si="380">HYPERLINK("https://m566.info/c1m23zv","https://m566.info/c1m23zv")</f>
        <v>https://m566.info/c1m23zv</v>
      </c>
      <c r="C1891" s="1" t="str">
        <f>HYPERLINK("https://m566.info/c1m23zv","Doberman")</f>
        <v>Doberman</v>
      </c>
    </row>
    <row r="1892">
      <c r="A1892" s="1" t="str">
        <f t="shared" si="379"/>
        <v>Dog Aggression Training</v>
      </c>
      <c r="B1892" s="1" t="str">
        <f t="shared" si="380"/>
        <v>https://m566.info/c1m23zv</v>
      </c>
      <c r="C1892" s="1" t="str">
        <f>HYPERLINK("https://m566.info/c1m23zv","German Shepherd")</f>
        <v>German Shepherd</v>
      </c>
    </row>
    <row r="1893">
      <c r="A1893" s="1" t="str">
        <f t="shared" si="379"/>
        <v>Dog Aggression Training</v>
      </c>
      <c r="B1893" s="1" t="str">
        <f t="shared" si="380"/>
        <v>https://m566.info/c1m23zv</v>
      </c>
      <c r="C1893" s="1" t="str">
        <f>HYPERLINK("https://m566.info/c1m23zv","Border Clollie")</f>
        <v>Border Clollie</v>
      </c>
    </row>
    <row r="1894">
      <c r="A1894" s="1" t="str">
        <f t="shared" si="379"/>
        <v>Dog Aggression Training</v>
      </c>
      <c r="B1894" s="1" t="str">
        <f t="shared" si="380"/>
        <v>https://m566.info/c1m23zv</v>
      </c>
      <c r="C1894" s="1" t="str">
        <f>HYPERLINK("https://m566.info/c1m23zv","Rotwieller")</f>
        <v>Rotwieller</v>
      </c>
    </row>
    <row r="1895">
      <c r="A1895" s="1" t="str">
        <f t="shared" si="379"/>
        <v>Dog Aggression Training</v>
      </c>
      <c r="B1895" s="1" t="str">
        <f t="shared" si="380"/>
        <v>https://m566.info/c1m23zv</v>
      </c>
      <c r="C1895" s="1" t="str">
        <f>HYPERLINK("https://m566.info/c1m23zv","Cross Bred")</f>
        <v>Cross Bred</v>
      </c>
    </row>
    <row r="1896">
      <c r="A1896" s="1" t="str">
        <f t="shared" si="379"/>
        <v>Dog Aggression Training</v>
      </c>
      <c r="B1896" s="1" t="str">
        <f t="shared" si="380"/>
        <v>https://m566.info/c1m23zv</v>
      </c>
      <c r="C1896" s="1" t="str">
        <f>HYPERLINK("https://m566.info/c1m23zv","Rotweiller")</f>
        <v>Rotweiller</v>
      </c>
    </row>
    <row r="1897">
      <c r="A1897" s="1" t="str">
        <f t="shared" ref="A1897:A1902" si="381">HYPERLINK("https://m566.info/c1m23zv","Dog Obedience Training")</f>
        <v>Dog Obedience Training</v>
      </c>
      <c r="B1897" s="1" t="str">
        <f t="shared" si="380"/>
        <v>https://m566.info/c1m23zv</v>
      </c>
      <c r="C1897" s="1" t="str">
        <f>HYPERLINK("https://m566.info/c1m23zv","Doberman")</f>
        <v>Doberman</v>
      </c>
    </row>
    <row r="1898">
      <c r="A1898" s="1" t="str">
        <f t="shared" si="381"/>
        <v>Dog Obedience Training</v>
      </c>
      <c r="B1898" s="1" t="str">
        <f t="shared" si="380"/>
        <v>https://m566.info/c1m23zv</v>
      </c>
      <c r="C1898" s="1" t="str">
        <f>HYPERLINK("https://m566.info/c1m23zv","German Shepherd")</f>
        <v>German Shepherd</v>
      </c>
    </row>
    <row r="1899">
      <c r="A1899" s="1" t="str">
        <f t="shared" si="381"/>
        <v>Dog Obedience Training</v>
      </c>
      <c r="B1899" s="1" t="str">
        <f t="shared" si="380"/>
        <v>https://m566.info/c1m23zv</v>
      </c>
      <c r="C1899" s="1" t="str">
        <f>HYPERLINK("https://m566.info/c1m23zv","Border Clollie")</f>
        <v>Border Clollie</v>
      </c>
    </row>
    <row r="1900">
      <c r="A1900" s="1" t="str">
        <f t="shared" si="381"/>
        <v>Dog Obedience Training</v>
      </c>
      <c r="B1900" s="1" t="str">
        <f t="shared" si="380"/>
        <v>https://m566.info/c1m23zv</v>
      </c>
      <c r="C1900" s="1" t="str">
        <f>HYPERLINK("https://m566.info/c1m23zv","Rotwieller")</f>
        <v>Rotwieller</v>
      </c>
    </row>
    <row r="1901">
      <c r="A1901" s="1" t="str">
        <f t="shared" si="381"/>
        <v>Dog Obedience Training</v>
      </c>
      <c r="B1901" s="1" t="str">
        <f t="shared" si="380"/>
        <v>https://m566.info/c1m23zv</v>
      </c>
      <c r="C1901" s="1" t="str">
        <f>HYPERLINK("https://m566.info/c1m23zv","Cross Bred")</f>
        <v>Cross Bred</v>
      </c>
    </row>
    <row r="1902">
      <c r="A1902" s="1" t="str">
        <f t="shared" si="381"/>
        <v>Dog Obedience Training</v>
      </c>
      <c r="B1902" s="1" t="str">
        <f t="shared" si="380"/>
        <v>https://m566.info/c1m23zv</v>
      </c>
      <c r="C1902" s="1" t="str">
        <f>HYPERLINK("https://m566.info/c1m23zv","Rotweiller")</f>
        <v>Rotweiller</v>
      </c>
    </row>
    <row r="1903">
      <c r="A1903" s="1" t="str">
        <f t="shared" ref="A1903:A1908" si="382">HYPERLINK("https://m566.info/c1m23zv","Dog House Training")</f>
        <v>Dog House Training</v>
      </c>
      <c r="B1903" s="1" t="str">
        <f t="shared" si="380"/>
        <v>https://m566.info/c1m23zv</v>
      </c>
      <c r="C1903" s="1" t="str">
        <f>HYPERLINK("https://m566.info/c1m23zv","Doberman")</f>
        <v>Doberman</v>
      </c>
    </row>
    <row r="1904">
      <c r="A1904" s="1" t="str">
        <f t="shared" si="382"/>
        <v>Dog House Training</v>
      </c>
      <c r="B1904" s="1" t="str">
        <f t="shared" si="380"/>
        <v>https://m566.info/c1m23zv</v>
      </c>
      <c r="C1904" s="1" t="str">
        <f>HYPERLINK("https://m566.info/c1m23zv","German Shepherd")</f>
        <v>German Shepherd</v>
      </c>
    </row>
    <row r="1905">
      <c r="A1905" s="1" t="str">
        <f t="shared" si="382"/>
        <v>Dog House Training</v>
      </c>
      <c r="B1905" s="1" t="str">
        <f t="shared" si="380"/>
        <v>https://m566.info/c1m23zv</v>
      </c>
      <c r="C1905" s="1" t="str">
        <f>HYPERLINK("https://m566.info/c1m23zv","Border Clollie")</f>
        <v>Border Clollie</v>
      </c>
    </row>
    <row r="1906">
      <c r="A1906" s="1" t="str">
        <f t="shared" si="382"/>
        <v>Dog House Training</v>
      </c>
      <c r="B1906" s="1" t="str">
        <f t="shared" si="380"/>
        <v>https://m566.info/c1m23zv</v>
      </c>
      <c r="C1906" s="1" t="str">
        <f>HYPERLINK("https://m566.info/c1m23zv","Rotwieller")</f>
        <v>Rotwieller</v>
      </c>
    </row>
    <row r="1907">
      <c r="A1907" s="1" t="str">
        <f t="shared" si="382"/>
        <v>Dog House Training</v>
      </c>
      <c r="B1907" s="1" t="str">
        <f t="shared" si="380"/>
        <v>https://m566.info/c1m23zv</v>
      </c>
      <c r="C1907" s="1" t="str">
        <f>HYPERLINK("https://m566.info/c1m23zv","Cross Bred")</f>
        <v>Cross Bred</v>
      </c>
    </row>
    <row r="1908">
      <c r="A1908" s="1" t="str">
        <f t="shared" si="382"/>
        <v>Dog House Training</v>
      </c>
      <c r="B1908" s="1" t="str">
        <f t="shared" si="380"/>
        <v>https://m566.info/c1m23zv</v>
      </c>
      <c r="C1908" s="1" t="str">
        <f>HYPERLINK("https://m566.info/c1m23zv","Rotweiller")</f>
        <v>Rotweiller</v>
      </c>
    </row>
    <row r="1909">
      <c r="A1909" s="1" t="str">
        <f t="shared" ref="A1909:A1914" si="383">HYPERLINK("https://m566.info/c1m23zv","Dog Behaviour Training")</f>
        <v>Dog Behaviour Training</v>
      </c>
      <c r="B1909" s="1" t="str">
        <f t="shared" si="380"/>
        <v>https://m566.info/c1m23zv</v>
      </c>
      <c r="C1909" s="1" t="str">
        <f>HYPERLINK("https://m566.info/c1m23zv","Doberman")</f>
        <v>Doberman</v>
      </c>
    </row>
    <row r="1910">
      <c r="A1910" s="1" t="str">
        <f t="shared" si="383"/>
        <v>Dog Behaviour Training</v>
      </c>
      <c r="B1910" s="1" t="str">
        <f t="shared" si="380"/>
        <v>https://m566.info/c1m23zv</v>
      </c>
      <c r="C1910" s="1" t="str">
        <f>HYPERLINK("https://m566.info/c1m23zv","German Shepherd")</f>
        <v>German Shepherd</v>
      </c>
    </row>
    <row r="1911">
      <c r="A1911" s="1" t="str">
        <f t="shared" si="383"/>
        <v>Dog Behaviour Training</v>
      </c>
      <c r="B1911" s="1" t="str">
        <f t="shared" si="380"/>
        <v>https://m566.info/c1m23zv</v>
      </c>
      <c r="C1911" s="1" t="str">
        <f>HYPERLINK("https://m566.info/c1m23zv","Border Clollie")</f>
        <v>Border Clollie</v>
      </c>
    </row>
    <row r="1912">
      <c r="A1912" s="1" t="str">
        <f t="shared" si="383"/>
        <v>Dog Behaviour Training</v>
      </c>
      <c r="B1912" s="1" t="str">
        <f t="shared" si="380"/>
        <v>https://m566.info/c1m23zv</v>
      </c>
      <c r="C1912" s="1" t="str">
        <f>HYPERLINK("https://m566.info/c1m23zv","Rotwieller")</f>
        <v>Rotwieller</v>
      </c>
    </row>
    <row r="1913">
      <c r="A1913" s="1" t="str">
        <f t="shared" si="383"/>
        <v>Dog Behaviour Training</v>
      </c>
      <c r="B1913" s="1" t="str">
        <f t="shared" si="380"/>
        <v>https://m566.info/c1m23zv</v>
      </c>
      <c r="C1913" s="1" t="str">
        <f>HYPERLINK("https://m566.info/c1m23zv","Cross Bred")</f>
        <v>Cross Bred</v>
      </c>
    </row>
    <row r="1914">
      <c r="A1914" s="1" t="str">
        <f t="shared" si="383"/>
        <v>Dog Behaviour Training</v>
      </c>
      <c r="B1914" s="1" t="str">
        <f t="shared" si="380"/>
        <v>https://m566.info/c1m23zv</v>
      </c>
      <c r="C1914" s="1" t="str">
        <f>HYPERLINK("https://m566.info/c1m23zv","Rotweiller")</f>
        <v>Rotweiller</v>
      </c>
    </row>
    <row r="1915">
      <c r="A1915" s="1" t="str">
        <f t="shared" ref="A1915:A1920" si="384">HYPERLINK("https://m566.info/c1m23zv","Dog : Elite Training")</f>
        <v>Dog : Elite Training</v>
      </c>
      <c r="B1915" s="1" t="str">
        <f t="shared" si="380"/>
        <v>https://m566.info/c1m23zv</v>
      </c>
      <c r="C1915" s="1" t="str">
        <f>HYPERLINK("https://m566.info/c1m23zv","Doberman")</f>
        <v>Doberman</v>
      </c>
    </row>
    <row r="1916">
      <c r="A1916" s="1" t="str">
        <f t="shared" si="384"/>
        <v>Dog : Elite Training</v>
      </c>
      <c r="B1916" s="1" t="str">
        <f t="shared" si="380"/>
        <v>https://m566.info/c1m23zv</v>
      </c>
      <c r="C1916" s="1" t="str">
        <f>HYPERLINK("https://m566.info/c1m23zv","German Shepherd")</f>
        <v>German Shepherd</v>
      </c>
    </row>
    <row r="1917">
      <c r="A1917" s="1" t="str">
        <f t="shared" si="384"/>
        <v>Dog : Elite Training</v>
      </c>
      <c r="B1917" s="1" t="str">
        <f t="shared" si="380"/>
        <v>https://m566.info/c1m23zv</v>
      </c>
      <c r="C1917" s="1" t="str">
        <f>HYPERLINK("https://m566.info/c1m23zv","Border Clollie")</f>
        <v>Border Clollie</v>
      </c>
    </row>
    <row r="1918">
      <c r="A1918" s="1" t="str">
        <f t="shared" si="384"/>
        <v>Dog : Elite Training</v>
      </c>
      <c r="B1918" s="1" t="str">
        <f t="shared" si="380"/>
        <v>https://m566.info/c1m23zv</v>
      </c>
      <c r="C1918" s="1" t="str">
        <f>HYPERLINK("https://m566.info/c1m23zv","Rotwieller")</f>
        <v>Rotwieller</v>
      </c>
    </row>
    <row r="1919">
      <c r="A1919" s="1" t="str">
        <f t="shared" si="384"/>
        <v>Dog : Elite Training</v>
      </c>
      <c r="B1919" s="1" t="str">
        <f t="shared" si="380"/>
        <v>https://m566.info/c1m23zv</v>
      </c>
      <c r="C1919" s="1" t="str">
        <f>HYPERLINK("https://m566.info/c1m23zv","Cross Bred")</f>
        <v>Cross Bred</v>
      </c>
    </row>
    <row r="1920">
      <c r="A1920" s="1" t="str">
        <f t="shared" si="384"/>
        <v>Dog : Elite Training</v>
      </c>
      <c r="B1920" s="1" t="str">
        <f t="shared" si="380"/>
        <v>https://m566.info/c1m23zv</v>
      </c>
      <c r="C1920" s="1" t="str">
        <f>HYPERLINK("https://m566.info/c1m23zv","Rotweiller")</f>
        <v>Rotweiller</v>
      </c>
    </row>
    <row r="1921">
      <c r="A1921" s="1" t="str">
        <f t="shared" ref="A1921:A1926" si="385">HYPERLINK("https://m566.info/m5h7lqr","Dog Aggression Training")</f>
        <v>Dog Aggression Training</v>
      </c>
      <c r="B1921" s="1" t="str">
        <f t="shared" ref="B1921:B1950" si="386">HYPERLINK("https://m566.info/m5h7lqr","https://m566.info/m5h7lqr")</f>
        <v>https://m566.info/m5h7lqr</v>
      </c>
      <c r="C1921" s="1" t="str">
        <f>HYPERLINK("https://m566.info/m5h7lqr","Doberman")</f>
        <v>Doberman</v>
      </c>
    </row>
    <row r="1922">
      <c r="A1922" s="1" t="str">
        <f t="shared" si="385"/>
        <v>Dog Aggression Training</v>
      </c>
      <c r="B1922" s="1" t="str">
        <f t="shared" si="386"/>
        <v>https://m566.info/m5h7lqr</v>
      </c>
      <c r="C1922" s="1" t="str">
        <f>HYPERLINK("https://m566.info/m5h7lqr","German Shepherd")</f>
        <v>German Shepherd</v>
      </c>
    </row>
    <row r="1923">
      <c r="A1923" s="1" t="str">
        <f t="shared" si="385"/>
        <v>Dog Aggression Training</v>
      </c>
      <c r="B1923" s="1" t="str">
        <f t="shared" si="386"/>
        <v>https://m566.info/m5h7lqr</v>
      </c>
      <c r="C1923" s="1" t="str">
        <f>HYPERLINK("https://m566.info/m5h7lqr","Border Clollie")</f>
        <v>Border Clollie</v>
      </c>
    </row>
    <row r="1924">
      <c r="A1924" s="1" t="str">
        <f t="shared" si="385"/>
        <v>Dog Aggression Training</v>
      </c>
      <c r="B1924" s="1" t="str">
        <f t="shared" si="386"/>
        <v>https://m566.info/m5h7lqr</v>
      </c>
      <c r="C1924" s="1" t="str">
        <f>HYPERLINK("https://m566.info/m5h7lqr","Rotwieller")</f>
        <v>Rotwieller</v>
      </c>
    </row>
    <row r="1925">
      <c r="A1925" s="1" t="str">
        <f t="shared" si="385"/>
        <v>Dog Aggression Training</v>
      </c>
      <c r="B1925" s="1" t="str">
        <f t="shared" si="386"/>
        <v>https://m566.info/m5h7lqr</v>
      </c>
      <c r="C1925" s="1" t="str">
        <f>HYPERLINK("https://m566.info/m5h7lqr","Cross Bred")</f>
        <v>Cross Bred</v>
      </c>
    </row>
    <row r="1926">
      <c r="A1926" s="1" t="str">
        <f t="shared" si="385"/>
        <v>Dog Aggression Training</v>
      </c>
      <c r="B1926" s="1" t="str">
        <f t="shared" si="386"/>
        <v>https://m566.info/m5h7lqr</v>
      </c>
      <c r="C1926" s="1" t="str">
        <f>HYPERLINK("https://m566.info/m5h7lqr","Rotweiller")</f>
        <v>Rotweiller</v>
      </c>
    </row>
    <row r="1927">
      <c r="A1927" s="1" t="str">
        <f t="shared" ref="A1927:A1932" si="387">HYPERLINK("https://m566.info/m5h7lqr","Dog Obedience Training")</f>
        <v>Dog Obedience Training</v>
      </c>
      <c r="B1927" s="1" t="str">
        <f t="shared" si="386"/>
        <v>https://m566.info/m5h7lqr</v>
      </c>
      <c r="C1927" s="1" t="str">
        <f>HYPERLINK("https://m566.info/m5h7lqr","Doberman")</f>
        <v>Doberman</v>
      </c>
    </row>
    <row r="1928">
      <c r="A1928" s="1" t="str">
        <f t="shared" si="387"/>
        <v>Dog Obedience Training</v>
      </c>
      <c r="B1928" s="1" t="str">
        <f t="shared" si="386"/>
        <v>https://m566.info/m5h7lqr</v>
      </c>
      <c r="C1928" s="1" t="str">
        <f>HYPERLINK("https://m566.info/m5h7lqr","German Shepherd")</f>
        <v>German Shepherd</v>
      </c>
    </row>
    <row r="1929">
      <c r="A1929" s="1" t="str">
        <f t="shared" si="387"/>
        <v>Dog Obedience Training</v>
      </c>
      <c r="B1929" s="1" t="str">
        <f t="shared" si="386"/>
        <v>https://m566.info/m5h7lqr</v>
      </c>
      <c r="C1929" s="1" t="str">
        <f>HYPERLINK("https://m566.info/m5h7lqr","Border Clollie")</f>
        <v>Border Clollie</v>
      </c>
    </row>
    <row r="1930">
      <c r="A1930" s="1" t="str">
        <f t="shared" si="387"/>
        <v>Dog Obedience Training</v>
      </c>
      <c r="B1930" s="1" t="str">
        <f t="shared" si="386"/>
        <v>https://m566.info/m5h7lqr</v>
      </c>
      <c r="C1930" s="1" t="str">
        <f>HYPERLINK("https://m566.info/m5h7lqr","Rotwieller")</f>
        <v>Rotwieller</v>
      </c>
    </row>
    <row r="1931">
      <c r="A1931" s="1" t="str">
        <f t="shared" si="387"/>
        <v>Dog Obedience Training</v>
      </c>
      <c r="B1931" s="1" t="str">
        <f t="shared" si="386"/>
        <v>https://m566.info/m5h7lqr</v>
      </c>
      <c r="C1931" s="1" t="str">
        <f>HYPERLINK("https://m566.info/m5h7lqr","Cross Bred")</f>
        <v>Cross Bred</v>
      </c>
    </row>
    <row r="1932">
      <c r="A1932" s="1" t="str">
        <f t="shared" si="387"/>
        <v>Dog Obedience Training</v>
      </c>
      <c r="B1932" s="1" t="str">
        <f t="shared" si="386"/>
        <v>https://m566.info/m5h7lqr</v>
      </c>
      <c r="C1932" s="1" t="str">
        <f>HYPERLINK("https://m566.info/m5h7lqr","Rotweiller")</f>
        <v>Rotweiller</v>
      </c>
    </row>
    <row r="1933">
      <c r="A1933" s="1" t="str">
        <f t="shared" ref="A1933:A1938" si="388">HYPERLINK("https://m566.info/m5h7lqr","Dog House Training")</f>
        <v>Dog House Training</v>
      </c>
      <c r="B1933" s="1" t="str">
        <f t="shared" si="386"/>
        <v>https://m566.info/m5h7lqr</v>
      </c>
      <c r="C1933" s="1" t="str">
        <f>HYPERLINK("https://m566.info/m5h7lqr","Doberman")</f>
        <v>Doberman</v>
      </c>
    </row>
    <row r="1934">
      <c r="A1934" s="1" t="str">
        <f t="shared" si="388"/>
        <v>Dog House Training</v>
      </c>
      <c r="B1934" s="1" t="str">
        <f t="shared" si="386"/>
        <v>https://m566.info/m5h7lqr</v>
      </c>
      <c r="C1934" s="1" t="str">
        <f>HYPERLINK("https://m566.info/m5h7lqr","German Shepherd")</f>
        <v>German Shepherd</v>
      </c>
    </row>
    <row r="1935">
      <c r="A1935" s="1" t="str">
        <f t="shared" si="388"/>
        <v>Dog House Training</v>
      </c>
      <c r="B1935" s="1" t="str">
        <f t="shared" si="386"/>
        <v>https://m566.info/m5h7lqr</v>
      </c>
      <c r="C1935" s="1" t="str">
        <f>HYPERLINK("https://m566.info/m5h7lqr","Border Clollie")</f>
        <v>Border Clollie</v>
      </c>
    </row>
    <row r="1936">
      <c r="A1936" s="1" t="str">
        <f t="shared" si="388"/>
        <v>Dog House Training</v>
      </c>
      <c r="B1936" s="1" t="str">
        <f t="shared" si="386"/>
        <v>https://m566.info/m5h7lqr</v>
      </c>
      <c r="C1936" s="1" t="str">
        <f>HYPERLINK("https://m566.info/m5h7lqr","Rotwieller")</f>
        <v>Rotwieller</v>
      </c>
    </row>
    <row r="1937">
      <c r="A1937" s="1" t="str">
        <f t="shared" si="388"/>
        <v>Dog House Training</v>
      </c>
      <c r="B1937" s="1" t="str">
        <f t="shared" si="386"/>
        <v>https://m566.info/m5h7lqr</v>
      </c>
      <c r="C1937" s="1" t="str">
        <f>HYPERLINK("https://m566.info/m5h7lqr","Cross Bred")</f>
        <v>Cross Bred</v>
      </c>
    </row>
    <row r="1938">
      <c r="A1938" s="1" t="str">
        <f t="shared" si="388"/>
        <v>Dog House Training</v>
      </c>
      <c r="B1938" s="1" t="str">
        <f t="shared" si="386"/>
        <v>https://m566.info/m5h7lqr</v>
      </c>
      <c r="C1938" s="1" t="str">
        <f>HYPERLINK("https://m566.info/m5h7lqr","Rotweiller")</f>
        <v>Rotweiller</v>
      </c>
    </row>
    <row r="1939">
      <c r="A1939" s="1" t="str">
        <f t="shared" ref="A1939:A1944" si="389">HYPERLINK("https://m566.info/m5h7lqr","Dog Behaviour Training")</f>
        <v>Dog Behaviour Training</v>
      </c>
      <c r="B1939" s="1" t="str">
        <f t="shared" si="386"/>
        <v>https://m566.info/m5h7lqr</v>
      </c>
      <c r="C1939" s="1" t="str">
        <f>HYPERLINK("https://m566.info/m5h7lqr","Doberman")</f>
        <v>Doberman</v>
      </c>
    </row>
    <row r="1940">
      <c r="A1940" s="1" t="str">
        <f t="shared" si="389"/>
        <v>Dog Behaviour Training</v>
      </c>
      <c r="B1940" s="1" t="str">
        <f t="shared" si="386"/>
        <v>https://m566.info/m5h7lqr</v>
      </c>
      <c r="C1940" s="1" t="str">
        <f>HYPERLINK("https://m566.info/m5h7lqr","German Shepherd")</f>
        <v>German Shepherd</v>
      </c>
    </row>
    <row r="1941">
      <c r="A1941" s="1" t="str">
        <f t="shared" si="389"/>
        <v>Dog Behaviour Training</v>
      </c>
      <c r="B1941" s="1" t="str">
        <f t="shared" si="386"/>
        <v>https://m566.info/m5h7lqr</v>
      </c>
      <c r="C1941" s="1" t="str">
        <f>HYPERLINK("https://m566.info/m5h7lqr","Border Clollie")</f>
        <v>Border Clollie</v>
      </c>
    </row>
    <row r="1942">
      <c r="A1942" s="1" t="str">
        <f t="shared" si="389"/>
        <v>Dog Behaviour Training</v>
      </c>
      <c r="B1942" s="1" t="str">
        <f t="shared" si="386"/>
        <v>https://m566.info/m5h7lqr</v>
      </c>
      <c r="C1942" s="1" t="str">
        <f>HYPERLINK("https://m566.info/m5h7lqr","Rotwieller")</f>
        <v>Rotwieller</v>
      </c>
    </row>
    <row r="1943">
      <c r="A1943" s="1" t="str">
        <f t="shared" si="389"/>
        <v>Dog Behaviour Training</v>
      </c>
      <c r="B1943" s="1" t="str">
        <f t="shared" si="386"/>
        <v>https://m566.info/m5h7lqr</v>
      </c>
      <c r="C1943" s="1" t="str">
        <f>HYPERLINK("https://m566.info/m5h7lqr","Cross Bred")</f>
        <v>Cross Bred</v>
      </c>
    </row>
    <row r="1944">
      <c r="A1944" s="1" t="str">
        <f t="shared" si="389"/>
        <v>Dog Behaviour Training</v>
      </c>
      <c r="B1944" s="1" t="str">
        <f t="shared" si="386"/>
        <v>https://m566.info/m5h7lqr</v>
      </c>
      <c r="C1944" s="1" t="str">
        <f>HYPERLINK("https://m566.info/m5h7lqr","Rotweiller")</f>
        <v>Rotweiller</v>
      </c>
    </row>
    <row r="1945">
      <c r="A1945" s="1" t="str">
        <f t="shared" ref="A1945:A1950" si="390">HYPERLINK("https://m566.info/m5h7lqr","Dog : Elite Training")</f>
        <v>Dog : Elite Training</v>
      </c>
      <c r="B1945" s="1" t="str">
        <f t="shared" si="386"/>
        <v>https://m566.info/m5h7lqr</v>
      </c>
      <c r="C1945" s="1" t="str">
        <f>HYPERLINK("https://m566.info/m5h7lqr","Doberman")</f>
        <v>Doberman</v>
      </c>
    </row>
    <row r="1946">
      <c r="A1946" s="1" t="str">
        <f t="shared" si="390"/>
        <v>Dog : Elite Training</v>
      </c>
      <c r="B1946" s="1" t="str">
        <f t="shared" si="386"/>
        <v>https://m566.info/m5h7lqr</v>
      </c>
      <c r="C1946" s="1" t="str">
        <f>HYPERLINK("https://m566.info/m5h7lqr","German Shepherd")</f>
        <v>German Shepherd</v>
      </c>
    </row>
    <row r="1947">
      <c r="A1947" s="1" t="str">
        <f t="shared" si="390"/>
        <v>Dog : Elite Training</v>
      </c>
      <c r="B1947" s="1" t="str">
        <f t="shared" si="386"/>
        <v>https://m566.info/m5h7lqr</v>
      </c>
      <c r="C1947" s="1" t="str">
        <f>HYPERLINK("https://m566.info/m5h7lqr","Border Clollie")</f>
        <v>Border Clollie</v>
      </c>
    </row>
    <row r="1948">
      <c r="A1948" s="1" t="str">
        <f t="shared" si="390"/>
        <v>Dog : Elite Training</v>
      </c>
      <c r="B1948" s="1" t="str">
        <f t="shared" si="386"/>
        <v>https://m566.info/m5h7lqr</v>
      </c>
      <c r="C1948" s="1" t="str">
        <f>HYPERLINK("https://m566.info/m5h7lqr","Rotwieller")</f>
        <v>Rotwieller</v>
      </c>
    </row>
    <row r="1949">
      <c r="A1949" s="1" t="str">
        <f t="shared" si="390"/>
        <v>Dog : Elite Training</v>
      </c>
      <c r="B1949" s="1" t="str">
        <f t="shared" si="386"/>
        <v>https://m566.info/m5h7lqr</v>
      </c>
      <c r="C1949" s="1" t="str">
        <f>HYPERLINK("https://m566.info/m5h7lqr","Cross Bred")</f>
        <v>Cross Bred</v>
      </c>
    </row>
    <row r="1950">
      <c r="A1950" s="1" t="str">
        <f t="shared" si="390"/>
        <v>Dog : Elite Training</v>
      </c>
      <c r="B1950" s="1" t="str">
        <f t="shared" si="386"/>
        <v>https://m566.info/m5h7lqr</v>
      </c>
      <c r="C1950" s="1" t="str">
        <f>HYPERLINK("https://m566.info/m5h7lqr","Rotweiller")</f>
        <v>Rotweiller</v>
      </c>
    </row>
    <row r="1951">
      <c r="A1951" s="1" t="str">
        <f t="shared" ref="A1951:A1956" si="391">HYPERLINK("https://m566.info/siwb864","Dog Aggression Training")</f>
        <v>Dog Aggression Training</v>
      </c>
      <c r="B1951" s="1" t="str">
        <f t="shared" ref="B1951:B1980" si="392">HYPERLINK("https://m566.info/siwb864","https://m566.info/siwb864")</f>
        <v>https://m566.info/siwb864</v>
      </c>
      <c r="C1951" s="1" t="str">
        <f>HYPERLINK("https://m566.info/siwb864","Doberman")</f>
        <v>Doberman</v>
      </c>
    </row>
    <row r="1952">
      <c r="A1952" s="1" t="str">
        <f t="shared" si="391"/>
        <v>Dog Aggression Training</v>
      </c>
      <c r="B1952" s="1" t="str">
        <f t="shared" si="392"/>
        <v>https://m566.info/siwb864</v>
      </c>
      <c r="C1952" s="1" t="str">
        <f>HYPERLINK("https://m566.info/siwb864","German Shepherd")</f>
        <v>German Shepherd</v>
      </c>
    </row>
    <row r="1953">
      <c r="A1953" s="1" t="str">
        <f t="shared" si="391"/>
        <v>Dog Aggression Training</v>
      </c>
      <c r="B1953" s="1" t="str">
        <f t="shared" si="392"/>
        <v>https://m566.info/siwb864</v>
      </c>
      <c r="C1953" s="1" t="str">
        <f>HYPERLINK("https://m566.info/siwb864","Border Clollie")</f>
        <v>Border Clollie</v>
      </c>
    </row>
    <row r="1954">
      <c r="A1954" s="1" t="str">
        <f t="shared" si="391"/>
        <v>Dog Aggression Training</v>
      </c>
      <c r="B1954" s="1" t="str">
        <f t="shared" si="392"/>
        <v>https://m566.info/siwb864</v>
      </c>
      <c r="C1954" s="1" t="str">
        <f>HYPERLINK("https://m566.info/siwb864","Rotwieller")</f>
        <v>Rotwieller</v>
      </c>
    </row>
    <row r="1955">
      <c r="A1955" s="1" t="str">
        <f t="shared" si="391"/>
        <v>Dog Aggression Training</v>
      </c>
      <c r="B1955" s="1" t="str">
        <f t="shared" si="392"/>
        <v>https://m566.info/siwb864</v>
      </c>
      <c r="C1955" s="1" t="str">
        <f>HYPERLINK("https://m566.info/siwb864","Cross Bred")</f>
        <v>Cross Bred</v>
      </c>
    </row>
    <row r="1956">
      <c r="A1956" s="1" t="str">
        <f t="shared" si="391"/>
        <v>Dog Aggression Training</v>
      </c>
      <c r="B1956" s="1" t="str">
        <f t="shared" si="392"/>
        <v>https://m566.info/siwb864</v>
      </c>
      <c r="C1956" s="1" t="str">
        <f>HYPERLINK("https://m566.info/siwb864","Rotweiller")</f>
        <v>Rotweiller</v>
      </c>
    </row>
    <row r="1957">
      <c r="A1957" s="1" t="str">
        <f t="shared" ref="A1957:A1962" si="393">HYPERLINK("https://m566.info/siwb864","Dog Obedience Training")</f>
        <v>Dog Obedience Training</v>
      </c>
      <c r="B1957" s="1" t="str">
        <f t="shared" si="392"/>
        <v>https://m566.info/siwb864</v>
      </c>
      <c r="C1957" s="1" t="str">
        <f>HYPERLINK("https://m566.info/siwb864","Doberman")</f>
        <v>Doberman</v>
      </c>
    </row>
    <row r="1958">
      <c r="A1958" s="1" t="str">
        <f t="shared" si="393"/>
        <v>Dog Obedience Training</v>
      </c>
      <c r="B1958" s="1" t="str">
        <f t="shared" si="392"/>
        <v>https://m566.info/siwb864</v>
      </c>
      <c r="C1958" s="1" t="str">
        <f>HYPERLINK("https://m566.info/siwb864","German Shepherd")</f>
        <v>German Shepherd</v>
      </c>
    </row>
    <row r="1959">
      <c r="A1959" s="1" t="str">
        <f t="shared" si="393"/>
        <v>Dog Obedience Training</v>
      </c>
      <c r="B1959" s="1" t="str">
        <f t="shared" si="392"/>
        <v>https://m566.info/siwb864</v>
      </c>
      <c r="C1959" s="1" t="str">
        <f>HYPERLINK("https://m566.info/siwb864","Border Clollie")</f>
        <v>Border Clollie</v>
      </c>
    </row>
    <row r="1960">
      <c r="A1960" s="1" t="str">
        <f t="shared" si="393"/>
        <v>Dog Obedience Training</v>
      </c>
      <c r="B1960" s="1" t="str">
        <f t="shared" si="392"/>
        <v>https://m566.info/siwb864</v>
      </c>
      <c r="C1960" s="1" t="str">
        <f>HYPERLINK("https://m566.info/siwb864","Rotwieller")</f>
        <v>Rotwieller</v>
      </c>
    </row>
    <row r="1961">
      <c r="A1961" s="1" t="str">
        <f t="shared" si="393"/>
        <v>Dog Obedience Training</v>
      </c>
      <c r="B1961" s="1" t="str">
        <f t="shared" si="392"/>
        <v>https://m566.info/siwb864</v>
      </c>
      <c r="C1961" s="1" t="str">
        <f>HYPERLINK("https://m566.info/siwb864","Cross Bred")</f>
        <v>Cross Bred</v>
      </c>
    </row>
    <row r="1962">
      <c r="A1962" s="1" t="str">
        <f t="shared" si="393"/>
        <v>Dog Obedience Training</v>
      </c>
      <c r="B1962" s="1" t="str">
        <f t="shared" si="392"/>
        <v>https://m566.info/siwb864</v>
      </c>
      <c r="C1962" s="1" t="str">
        <f>HYPERLINK("https://m566.info/siwb864","Rotweiller")</f>
        <v>Rotweiller</v>
      </c>
    </row>
    <row r="1963">
      <c r="A1963" s="1" t="str">
        <f t="shared" ref="A1963:A1968" si="394">HYPERLINK("https://m566.info/siwb864","Dog House Training")</f>
        <v>Dog House Training</v>
      </c>
      <c r="B1963" s="1" t="str">
        <f t="shared" si="392"/>
        <v>https://m566.info/siwb864</v>
      </c>
      <c r="C1963" s="1" t="str">
        <f>HYPERLINK("https://m566.info/siwb864","Doberman")</f>
        <v>Doberman</v>
      </c>
    </row>
    <row r="1964">
      <c r="A1964" s="1" t="str">
        <f t="shared" si="394"/>
        <v>Dog House Training</v>
      </c>
      <c r="B1964" s="1" t="str">
        <f t="shared" si="392"/>
        <v>https://m566.info/siwb864</v>
      </c>
      <c r="C1964" s="1" t="str">
        <f>HYPERLINK("https://m566.info/siwb864","German Shepherd")</f>
        <v>German Shepherd</v>
      </c>
    </row>
    <row r="1965">
      <c r="A1965" s="1" t="str">
        <f t="shared" si="394"/>
        <v>Dog House Training</v>
      </c>
      <c r="B1965" s="1" t="str">
        <f t="shared" si="392"/>
        <v>https://m566.info/siwb864</v>
      </c>
      <c r="C1965" s="1" t="str">
        <f>HYPERLINK("https://m566.info/siwb864","Border Clollie")</f>
        <v>Border Clollie</v>
      </c>
    </row>
    <row r="1966">
      <c r="A1966" s="1" t="str">
        <f t="shared" si="394"/>
        <v>Dog House Training</v>
      </c>
      <c r="B1966" s="1" t="str">
        <f t="shared" si="392"/>
        <v>https://m566.info/siwb864</v>
      </c>
      <c r="C1966" s="1" t="str">
        <f>HYPERLINK("https://m566.info/siwb864","Rotwieller")</f>
        <v>Rotwieller</v>
      </c>
    </row>
    <row r="1967">
      <c r="A1967" s="1" t="str">
        <f t="shared" si="394"/>
        <v>Dog House Training</v>
      </c>
      <c r="B1967" s="1" t="str">
        <f t="shared" si="392"/>
        <v>https://m566.info/siwb864</v>
      </c>
      <c r="C1967" s="1" t="str">
        <f>HYPERLINK("https://m566.info/siwb864","Cross Bred")</f>
        <v>Cross Bred</v>
      </c>
    </row>
    <row r="1968">
      <c r="A1968" s="1" t="str">
        <f t="shared" si="394"/>
        <v>Dog House Training</v>
      </c>
      <c r="B1968" s="1" t="str">
        <f t="shared" si="392"/>
        <v>https://m566.info/siwb864</v>
      </c>
      <c r="C1968" s="1" t="str">
        <f>HYPERLINK("https://m566.info/siwb864","Rotweiller")</f>
        <v>Rotweiller</v>
      </c>
    </row>
    <row r="1969">
      <c r="A1969" s="1" t="str">
        <f t="shared" ref="A1969:A1974" si="395">HYPERLINK("https://m566.info/siwb864","Dog Behaviour Training")</f>
        <v>Dog Behaviour Training</v>
      </c>
      <c r="B1969" s="1" t="str">
        <f t="shared" si="392"/>
        <v>https://m566.info/siwb864</v>
      </c>
      <c r="C1969" s="1" t="str">
        <f>HYPERLINK("https://m566.info/siwb864","Doberman")</f>
        <v>Doberman</v>
      </c>
    </row>
    <row r="1970">
      <c r="A1970" s="1" t="str">
        <f t="shared" si="395"/>
        <v>Dog Behaviour Training</v>
      </c>
      <c r="B1970" s="1" t="str">
        <f t="shared" si="392"/>
        <v>https://m566.info/siwb864</v>
      </c>
      <c r="C1970" s="1" t="str">
        <f>HYPERLINK("https://m566.info/siwb864","German Shepherd")</f>
        <v>German Shepherd</v>
      </c>
    </row>
    <row r="1971">
      <c r="A1971" s="1" t="str">
        <f t="shared" si="395"/>
        <v>Dog Behaviour Training</v>
      </c>
      <c r="B1971" s="1" t="str">
        <f t="shared" si="392"/>
        <v>https://m566.info/siwb864</v>
      </c>
      <c r="C1971" s="1" t="str">
        <f>HYPERLINK("https://m566.info/siwb864","Border Clollie")</f>
        <v>Border Clollie</v>
      </c>
    </row>
    <row r="1972">
      <c r="A1972" s="1" t="str">
        <f t="shared" si="395"/>
        <v>Dog Behaviour Training</v>
      </c>
      <c r="B1972" s="1" t="str">
        <f t="shared" si="392"/>
        <v>https://m566.info/siwb864</v>
      </c>
      <c r="C1972" s="1" t="str">
        <f>HYPERLINK("https://m566.info/siwb864","Rotwieller")</f>
        <v>Rotwieller</v>
      </c>
    </row>
    <row r="1973">
      <c r="A1973" s="1" t="str">
        <f t="shared" si="395"/>
        <v>Dog Behaviour Training</v>
      </c>
      <c r="B1973" s="1" t="str">
        <f t="shared" si="392"/>
        <v>https://m566.info/siwb864</v>
      </c>
      <c r="C1973" s="1" t="str">
        <f>HYPERLINK("https://m566.info/siwb864","Cross Bred")</f>
        <v>Cross Bred</v>
      </c>
    </row>
    <row r="1974">
      <c r="A1974" s="1" t="str">
        <f t="shared" si="395"/>
        <v>Dog Behaviour Training</v>
      </c>
      <c r="B1974" s="1" t="str">
        <f t="shared" si="392"/>
        <v>https://m566.info/siwb864</v>
      </c>
      <c r="C1974" s="1" t="str">
        <f>HYPERLINK("https://m566.info/siwb864","Rotweiller")</f>
        <v>Rotweiller</v>
      </c>
    </row>
    <row r="1975">
      <c r="A1975" s="1" t="str">
        <f t="shared" ref="A1975:A1980" si="396">HYPERLINK("https://m566.info/siwb864","Dog : Elite Training")</f>
        <v>Dog : Elite Training</v>
      </c>
      <c r="B1975" s="1" t="str">
        <f t="shared" si="392"/>
        <v>https://m566.info/siwb864</v>
      </c>
      <c r="C1975" s="1" t="str">
        <f>HYPERLINK("https://m566.info/siwb864","Doberman")</f>
        <v>Doberman</v>
      </c>
    </row>
    <row r="1976">
      <c r="A1976" s="1" t="str">
        <f t="shared" si="396"/>
        <v>Dog : Elite Training</v>
      </c>
      <c r="B1976" s="1" t="str">
        <f t="shared" si="392"/>
        <v>https://m566.info/siwb864</v>
      </c>
      <c r="C1976" s="1" t="str">
        <f>HYPERLINK("https://m566.info/siwb864","German Shepherd")</f>
        <v>German Shepherd</v>
      </c>
    </row>
    <row r="1977">
      <c r="A1977" s="1" t="str">
        <f t="shared" si="396"/>
        <v>Dog : Elite Training</v>
      </c>
      <c r="B1977" s="1" t="str">
        <f t="shared" si="392"/>
        <v>https://m566.info/siwb864</v>
      </c>
      <c r="C1977" s="1" t="str">
        <f>HYPERLINK("https://m566.info/siwb864","Border Clollie")</f>
        <v>Border Clollie</v>
      </c>
    </row>
    <row r="1978">
      <c r="A1978" s="1" t="str">
        <f t="shared" si="396"/>
        <v>Dog : Elite Training</v>
      </c>
      <c r="B1978" s="1" t="str">
        <f t="shared" si="392"/>
        <v>https://m566.info/siwb864</v>
      </c>
      <c r="C1978" s="1" t="str">
        <f>HYPERLINK("https://m566.info/siwb864","Rotwieller")</f>
        <v>Rotwieller</v>
      </c>
    </row>
    <row r="1979">
      <c r="A1979" s="1" t="str">
        <f t="shared" si="396"/>
        <v>Dog : Elite Training</v>
      </c>
      <c r="B1979" s="1" t="str">
        <f t="shared" si="392"/>
        <v>https://m566.info/siwb864</v>
      </c>
      <c r="C1979" s="1" t="str">
        <f>HYPERLINK("https://m566.info/siwb864","Cross Bred")</f>
        <v>Cross Bred</v>
      </c>
    </row>
    <row r="1980">
      <c r="A1980" s="1" t="str">
        <f t="shared" si="396"/>
        <v>Dog : Elite Training</v>
      </c>
      <c r="B1980" s="1" t="str">
        <f t="shared" si="392"/>
        <v>https://m566.info/siwb864</v>
      </c>
      <c r="C1980" s="1" t="str">
        <f>HYPERLINK("https://m566.info/siwb864","Rotweiller")</f>
        <v>Rotweiller</v>
      </c>
    </row>
    <row r="1981">
      <c r="A1981" s="1" t="str">
        <f t="shared" ref="A1981:A1986" si="397">HYPERLINK("https://m566.info/4n8rjem","Dog Aggression Training")</f>
        <v>Dog Aggression Training</v>
      </c>
      <c r="B1981" s="1" t="str">
        <f t="shared" ref="B1981:B2010" si="398">HYPERLINK("https://m566.info/4n8rjem","https://m566.info/4n8rjem")</f>
        <v>https://m566.info/4n8rjem</v>
      </c>
      <c r="C1981" s="1" t="str">
        <f>HYPERLINK("https://m566.info/4n8rjem","Doberman")</f>
        <v>Doberman</v>
      </c>
    </row>
    <row r="1982">
      <c r="A1982" s="1" t="str">
        <f t="shared" si="397"/>
        <v>Dog Aggression Training</v>
      </c>
      <c r="B1982" s="1" t="str">
        <f t="shared" si="398"/>
        <v>https://m566.info/4n8rjem</v>
      </c>
      <c r="C1982" s="1" t="str">
        <f>HYPERLINK("https://m566.info/4n8rjem","German Shepherd")</f>
        <v>German Shepherd</v>
      </c>
    </row>
    <row r="1983">
      <c r="A1983" s="1" t="str">
        <f t="shared" si="397"/>
        <v>Dog Aggression Training</v>
      </c>
      <c r="B1983" s="1" t="str">
        <f t="shared" si="398"/>
        <v>https://m566.info/4n8rjem</v>
      </c>
      <c r="C1983" s="1" t="str">
        <f>HYPERLINK("https://m566.info/4n8rjem","Border Clollie")</f>
        <v>Border Clollie</v>
      </c>
    </row>
    <row r="1984">
      <c r="A1984" s="1" t="str">
        <f t="shared" si="397"/>
        <v>Dog Aggression Training</v>
      </c>
      <c r="B1984" s="1" t="str">
        <f t="shared" si="398"/>
        <v>https://m566.info/4n8rjem</v>
      </c>
      <c r="C1984" s="1" t="str">
        <f>HYPERLINK("https://m566.info/4n8rjem","Rotwieller")</f>
        <v>Rotwieller</v>
      </c>
    </row>
    <row r="1985">
      <c r="A1985" s="1" t="str">
        <f t="shared" si="397"/>
        <v>Dog Aggression Training</v>
      </c>
      <c r="B1985" s="1" t="str">
        <f t="shared" si="398"/>
        <v>https://m566.info/4n8rjem</v>
      </c>
      <c r="C1985" s="1" t="str">
        <f>HYPERLINK("https://m566.info/4n8rjem","Cross Bred")</f>
        <v>Cross Bred</v>
      </c>
    </row>
    <row r="1986">
      <c r="A1986" s="1" t="str">
        <f t="shared" si="397"/>
        <v>Dog Aggression Training</v>
      </c>
      <c r="B1986" s="1" t="str">
        <f t="shared" si="398"/>
        <v>https://m566.info/4n8rjem</v>
      </c>
      <c r="C1986" s="1" t="str">
        <f>HYPERLINK("https://m566.info/4n8rjem","Rotweiller")</f>
        <v>Rotweiller</v>
      </c>
    </row>
    <row r="1987">
      <c r="A1987" s="1" t="str">
        <f t="shared" ref="A1987:A1992" si="399">HYPERLINK("https://m566.info/4n8rjem","Dog Obedience Training")</f>
        <v>Dog Obedience Training</v>
      </c>
      <c r="B1987" s="1" t="str">
        <f t="shared" si="398"/>
        <v>https://m566.info/4n8rjem</v>
      </c>
      <c r="C1987" s="1" t="str">
        <f>HYPERLINK("https://m566.info/4n8rjem","Doberman")</f>
        <v>Doberman</v>
      </c>
    </row>
    <row r="1988">
      <c r="A1988" s="1" t="str">
        <f t="shared" si="399"/>
        <v>Dog Obedience Training</v>
      </c>
      <c r="B1988" s="1" t="str">
        <f t="shared" si="398"/>
        <v>https://m566.info/4n8rjem</v>
      </c>
      <c r="C1988" s="1" t="str">
        <f>HYPERLINK("https://m566.info/4n8rjem","German Shepherd")</f>
        <v>German Shepherd</v>
      </c>
    </row>
    <row r="1989">
      <c r="A1989" s="1" t="str">
        <f t="shared" si="399"/>
        <v>Dog Obedience Training</v>
      </c>
      <c r="B1989" s="1" t="str">
        <f t="shared" si="398"/>
        <v>https://m566.info/4n8rjem</v>
      </c>
      <c r="C1989" s="1" t="str">
        <f>HYPERLINK("https://m566.info/4n8rjem","Border Clollie")</f>
        <v>Border Clollie</v>
      </c>
    </row>
    <row r="1990">
      <c r="A1990" s="1" t="str">
        <f t="shared" si="399"/>
        <v>Dog Obedience Training</v>
      </c>
      <c r="B1990" s="1" t="str">
        <f t="shared" si="398"/>
        <v>https://m566.info/4n8rjem</v>
      </c>
      <c r="C1990" s="1" t="str">
        <f>HYPERLINK("https://m566.info/4n8rjem","Rotwieller")</f>
        <v>Rotwieller</v>
      </c>
    </row>
    <row r="1991">
      <c r="A1991" s="1" t="str">
        <f t="shared" si="399"/>
        <v>Dog Obedience Training</v>
      </c>
      <c r="B1991" s="1" t="str">
        <f t="shared" si="398"/>
        <v>https://m566.info/4n8rjem</v>
      </c>
      <c r="C1991" s="1" t="str">
        <f>HYPERLINK("https://m566.info/4n8rjem","Cross Bred")</f>
        <v>Cross Bred</v>
      </c>
    </row>
    <row r="1992">
      <c r="A1992" s="1" t="str">
        <f t="shared" si="399"/>
        <v>Dog Obedience Training</v>
      </c>
      <c r="B1992" s="1" t="str">
        <f t="shared" si="398"/>
        <v>https://m566.info/4n8rjem</v>
      </c>
      <c r="C1992" s="1" t="str">
        <f>HYPERLINK("https://m566.info/4n8rjem","Rotweiller")</f>
        <v>Rotweiller</v>
      </c>
    </row>
    <row r="1993">
      <c r="A1993" s="1" t="str">
        <f t="shared" ref="A1993:A1998" si="400">HYPERLINK("https://m566.info/4n8rjem","Dog House Training")</f>
        <v>Dog House Training</v>
      </c>
      <c r="B1993" s="1" t="str">
        <f t="shared" si="398"/>
        <v>https://m566.info/4n8rjem</v>
      </c>
      <c r="C1993" s="1" t="str">
        <f>HYPERLINK("https://m566.info/4n8rjem","Doberman")</f>
        <v>Doberman</v>
      </c>
    </row>
    <row r="1994">
      <c r="A1994" s="1" t="str">
        <f t="shared" si="400"/>
        <v>Dog House Training</v>
      </c>
      <c r="B1994" s="1" t="str">
        <f t="shared" si="398"/>
        <v>https://m566.info/4n8rjem</v>
      </c>
      <c r="C1994" s="1" t="str">
        <f>HYPERLINK("https://m566.info/4n8rjem","German Shepherd")</f>
        <v>German Shepherd</v>
      </c>
    </row>
    <row r="1995">
      <c r="A1995" s="1" t="str">
        <f t="shared" si="400"/>
        <v>Dog House Training</v>
      </c>
      <c r="B1995" s="1" t="str">
        <f t="shared" si="398"/>
        <v>https://m566.info/4n8rjem</v>
      </c>
      <c r="C1995" s="1" t="str">
        <f>HYPERLINK("https://m566.info/4n8rjem","Border Clollie")</f>
        <v>Border Clollie</v>
      </c>
    </row>
    <row r="1996">
      <c r="A1996" s="1" t="str">
        <f t="shared" si="400"/>
        <v>Dog House Training</v>
      </c>
      <c r="B1996" s="1" t="str">
        <f t="shared" si="398"/>
        <v>https://m566.info/4n8rjem</v>
      </c>
      <c r="C1996" s="1" t="str">
        <f>HYPERLINK("https://m566.info/4n8rjem","Rotwieller")</f>
        <v>Rotwieller</v>
      </c>
    </row>
    <row r="1997">
      <c r="A1997" s="1" t="str">
        <f t="shared" si="400"/>
        <v>Dog House Training</v>
      </c>
      <c r="B1997" s="1" t="str">
        <f t="shared" si="398"/>
        <v>https://m566.info/4n8rjem</v>
      </c>
      <c r="C1997" s="1" t="str">
        <f>HYPERLINK("https://m566.info/4n8rjem","Cross Bred")</f>
        <v>Cross Bred</v>
      </c>
    </row>
    <row r="1998">
      <c r="A1998" s="1" t="str">
        <f t="shared" si="400"/>
        <v>Dog House Training</v>
      </c>
      <c r="B1998" s="1" t="str">
        <f t="shared" si="398"/>
        <v>https://m566.info/4n8rjem</v>
      </c>
      <c r="C1998" s="1" t="str">
        <f>HYPERLINK("https://m566.info/4n8rjem","Rotweiller")</f>
        <v>Rotweiller</v>
      </c>
    </row>
    <row r="1999">
      <c r="A1999" s="1" t="str">
        <f t="shared" ref="A1999:A2004" si="401">HYPERLINK("https://m566.info/4n8rjem","Dog Behaviour Training")</f>
        <v>Dog Behaviour Training</v>
      </c>
      <c r="B1999" s="1" t="str">
        <f t="shared" si="398"/>
        <v>https://m566.info/4n8rjem</v>
      </c>
      <c r="C1999" s="1" t="str">
        <f>HYPERLINK("https://m566.info/4n8rjem","Doberman")</f>
        <v>Doberman</v>
      </c>
    </row>
    <row r="2000">
      <c r="A2000" s="1" t="str">
        <f t="shared" si="401"/>
        <v>Dog Behaviour Training</v>
      </c>
      <c r="B2000" s="1" t="str">
        <f t="shared" si="398"/>
        <v>https://m566.info/4n8rjem</v>
      </c>
      <c r="C2000" s="1" t="str">
        <f>HYPERLINK("https://m566.info/4n8rjem","German Shepherd")</f>
        <v>German Shepherd</v>
      </c>
    </row>
    <row r="2001">
      <c r="A2001" s="1" t="str">
        <f t="shared" si="401"/>
        <v>Dog Behaviour Training</v>
      </c>
      <c r="B2001" s="1" t="str">
        <f t="shared" si="398"/>
        <v>https://m566.info/4n8rjem</v>
      </c>
      <c r="C2001" s="1" t="str">
        <f>HYPERLINK("https://m566.info/4n8rjem","Border Clollie")</f>
        <v>Border Clollie</v>
      </c>
    </row>
    <row r="2002">
      <c r="A2002" s="1" t="str">
        <f t="shared" si="401"/>
        <v>Dog Behaviour Training</v>
      </c>
      <c r="B2002" s="1" t="str">
        <f t="shared" si="398"/>
        <v>https://m566.info/4n8rjem</v>
      </c>
      <c r="C2002" s="1" t="str">
        <f>HYPERLINK("https://m566.info/4n8rjem","Rotwieller")</f>
        <v>Rotwieller</v>
      </c>
    </row>
    <row r="2003">
      <c r="A2003" s="1" t="str">
        <f t="shared" si="401"/>
        <v>Dog Behaviour Training</v>
      </c>
      <c r="B2003" s="1" t="str">
        <f t="shared" si="398"/>
        <v>https://m566.info/4n8rjem</v>
      </c>
      <c r="C2003" s="1" t="str">
        <f>HYPERLINK("https://m566.info/4n8rjem","Cross Bred")</f>
        <v>Cross Bred</v>
      </c>
    </row>
    <row r="2004">
      <c r="A2004" s="1" t="str">
        <f t="shared" si="401"/>
        <v>Dog Behaviour Training</v>
      </c>
      <c r="B2004" s="1" t="str">
        <f t="shared" si="398"/>
        <v>https://m566.info/4n8rjem</v>
      </c>
      <c r="C2004" s="1" t="str">
        <f>HYPERLINK("https://m566.info/4n8rjem","Rotweiller")</f>
        <v>Rotweiller</v>
      </c>
    </row>
    <row r="2005">
      <c r="A2005" s="1" t="str">
        <f t="shared" ref="A2005:A2010" si="402">HYPERLINK("https://m566.info/4n8rjem","Dog : Elite Training")</f>
        <v>Dog : Elite Training</v>
      </c>
      <c r="B2005" s="1" t="str">
        <f t="shared" si="398"/>
        <v>https://m566.info/4n8rjem</v>
      </c>
      <c r="C2005" s="1" t="str">
        <f>HYPERLINK("https://m566.info/4n8rjem","Doberman")</f>
        <v>Doberman</v>
      </c>
    </row>
    <row r="2006">
      <c r="A2006" s="1" t="str">
        <f t="shared" si="402"/>
        <v>Dog : Elite Training</v>
      </c>
      <c r="B2006" s="1" t="str">
        <f t="shared" si="398"/>
        <v>https://m566.info/4n8rjem</v>
      </c>
      <c r="C2006" s="1" t="str">
        <f>HYPERLINK("https://m566.info/4n8rjem","German Shepherd")</f>
        <v>German Shepherd</v>
      </c>
    </row>
    <row r="2007">
      <c r="A2007" s="1" t="str">
        <f t="shared" si="402"/>
        <v>Dog : Elite Training</v>
      </c>
      <c r="B2007" s="1" t="str">
        <f t="shared" si="398"/>
        <v>https://m566.info/4n8rjem</v>
      </c>
      <c r="C2007" s="1" t="str">
        <f>HYPERLINK("https://m566.info/4n8rjem","Border Clollie")</f>
        <v>Border Clollie</v>
      </c>
    </row>
    <row r="2008">
      <c r="A2008" s="1" t="str">
        <f t="shared" si="402"/>
        <v>Dog : Elite Training</v>
      </c>
      <c r="B2008" s="1" t="str">
        <f t="shared" si="398"/>
        <v>https://m566.info/4n8rjem</v>
      </c>
      <c r="C2008" s="1" t="str">
        <f>HYPERLINK("https://m566.info/4n8rjem","Rotwieller")</f>
        <v>Rotwieller</v>
      </c>
    </row>
    <row r="2009">
      <c r="A2009" s="1" t="str">
        <f t="shared" si="402"/>
        <v>Dog : Elite Training</v>
      </c>
      <c r="B2009" s="1" t="str">
        <f t="shared" si="398"/>
        <v>https://m566.info/4n8rjem</v>
      </c>
      <c r="C2009" s="1" t="str">
        <f>HYPERLINK("https://m566.info/4n8rjem","Cross Bred")</f>
        <v>Cross Bred</v>
      </c>
    </row>
    <row r="2010">
      <c r="A2010" s="1" t="str">
        <f t="shared" si="402"/>
        <v>Dog : Elite Training</v>
      </c>
      <c r="B2010" s="1" t="str">
        <f t="shared" si="398"/>
        <v>https://m566.info/4n8rjem</v>
      </c>
      <c r="C2010" s="1" t="str">
        <f>HYPERLINK("https://m566.info/4n8rjem","Rotweiller")</f>
        <v>Rotweiller</v>
      </c>
    </row>
    <row r="2011">
      <c r="A2011" s="1" t="str">
        <f t="shared" ref="A2011:A2016" si="403">HYPERLINK("https://m566.info/wbudb1c","Dog Aggression Training")</f>
        <v>Dog Aggression Training</v>
      </c>
      <c r="B2011" s="1" t="str">
        <f t="shared" ref="B2011:B2040" si="404">HYPERLINK("https://m566.info/wbudb1c","https://m566.info/wbudb1c")</f>
        <v>https://m566.info/wbudb1c</v>
      </c>
      <c r="C2011" s="1" t="str">
        <f>HYPERLINK("https://m566.info/wbudb1c","Doberman")</f>
        <v>Doberman</v>
      </c>
    </row>
    <row r="2012">
      <c r="A2012" s="1" t="str">
        <f t="shared" si="403"/>
        <v>Dog Aggression Training</v>
      </c>
      <c r="B2012" s="1" t="str">
        <f t="shared" si="404"/>
        <v>https://m566.info/wbudb1c</v>
      </c>
      <c r="C2012" s="1" t="str">
        <f>HYPERLINK("https://m566.info/wbudb1c","German Shepherd")</f>
        <v>German Shepherd</v>
      </c>
    </row>
    <row r="2013">
      <c r="A2013" s="1" t="str">
        <f t="shared" si="403"/>
        <v>Dog Aggression Training</v>
      </c>
      <c r="B2013" s="1" t="str">
        <f t="shared" si="404"/>
        <v>https://m566.info/wbudb1c</v>
      </c>
      <c r="C2013" s="1" t="str">
        <f>HYPERLINK("https://m566.info/wbudb1c","Border Clollie")</f>
        <v>Border Clollie</v>
      </c>
    </row>
    <row r="2014">
      <c r="A2014" s="1" t="str">
        <f t="shared" si="403"/>
        <v>Dog Aggression Training</v>
      </c>
      <c r="B2014" s="1" t="str">
        <f t="shared" si="404"/>
        <v>https://m566.info/wbudb1c</v>
      </c>
      <c r="C2014" s="1" t="str">
        <f>HYPERLINK("https://m566.info/wbudb1c","Rotwieller")</f>
        <v>Rotwieller</v>
      </c>
    </row>
    <row r="2015">
      <c r="A2015" s="1" t="str">
        <f t="shared" si="403"/>
        <v>Dog Aggression Training</v>
      </c>
      <c r="B2015" s="1" t="str">
        <f t="shared" si="404"/>
        <v>https://m566.info/wbudb1c</v>
      </c>
      <c r="C2015" s="1" t="str">
        <f>HYPERLINK("https://m566.info/wbudb1c","Cross Bred")</f>
        <v>Cross Bred</v>
      </c>
    </row>
    <row r="2016">
      <c r="A2016" s="1" t="str">
        <f t="shared" si="403"/>
        <v>Dog Aggression Training</v>
      </c>
      <c r="B2016" s="1" t="str">
        <f t="shared" si="404"/>
        <v>https://m566.info/wbudb1c</v>
      </c>
      <c r="C2016" s="1" t="str">
        <f>HYPERLINK("https://m566.info/wbudb1c","Rotweiller")</f>
        <v>Rotweiller</v>
      </c>
    </row>
    <row r="2017">
      <c r="A2017" s="1" t="str">
        <f t="shared" ref="A2017:A2022" si="405">HYPERLINK("https://m566.info/wbudb1c","Dog Obedience Training")</f>
        <v>Dog Obedience Training</v>
      </c>
      <c r="B2017" s="1" t="str">
        <f t="shared" si="404"/>
        <v>https://m566.info/wbudb1c</v>
      </c>
      <c r="C2017" s="1" t="str">
        <f>HYPERLINK("https://m566.info/wbudb1c","Doberman")</f>
        <v>Doberman</v>
      </c>
    </row>
    <row r="2018">
      <c r="A2018" s="1" t="str">
        <f t="shared" si="405"/>
        <v>Dog Obedience Training</v>
      </c>
      <c r="B2018" s="1" t="str">
        <f t="shared" si="404"/>
        <v>https://m566.info/wbudb1c</v>
      </c>
      <c r="C2018" s="1" t="str">
        <f>HYPERLINK("https://m566.info/wbudb1c","German Shepherd")</f>
        <v>German Shepherd</v>
      </c>
    </row>
    <row r="2019">
      <c r="A2019" s="1" t="str">
        <f t="shared" si="405"/>
        <v>Dog Obedience Training</v>
      </c>
      <c r="B2019" s="1" t="str">
        <f t="shared" si="404"/>
        <v>https://m566.info/wbudb1c</v>
      </c>
      <c r="C2019" s="1" t="str">
        <f>HYPERLINK("https://m566.info/wbudb1c","Border Clollie")</f>
        <v>Border Clollie</v>
      </c>
    </row>
    <row r="2020">
      <c r="A2020" s="1" t="str">
        <f t="shared" si="405"/>
        <v>Dog Obedience Training</v>
      </c>
      <c r="B2020" s="1" t="str">
        <f t="shared" si="404"/>
        <v>https://m566.info/wbudb1c</v>
      </c>
      <c r="C2020" s="1" t="str">
        <f>HYPERLINK("https://m566.info/wbudb1c","Rotwieller")</f>
        <v>Rotwieller</v>
      </c>
    </row>
    <row r="2021">
      <c r="A2021" s="1" t="str">
        <f t="shared" si="405"/>
        <v>Dog Obedience Training</v>
      </c>
      <c r="B2021" s="1" t="str">
        <f t="shared" si="404"/>
        <v>https://m566.info/wbudb1c</v>
      </c>
      <c r="C2021" s="1" t="str">
        <f>HYPERLINK("https://m566.info/wbudb1c","Cross Bred")</f>
        <v>Cross Bred</v>
      </c>
    </row>
    <row r="2022">
      <c r="A2022" s="1" t="str">
        <f t="shared" si="405"/>
        <v>Dog Obedience Training</v>
      </c>
      <c r="B2022" s="1" t="str">
        <f t="shared" si="404"/>
        <v>https://m566.info/wbudb1c</v>
      </c>
      <c r="C2022" s="1" t="str">
        <f>HYPERLINK("https://m566.info/wbudb1c","Rotweiller")</f>
        <v>Rotweiller</v>
      </c>
    </row>
    <row r="2023">
      <c r="A2023" s="1" t="str">
        <f t="shared" ref="A2023:A2028" si="406">HYPERLINK("https://m566.info/wbudb1c","Dog House Training")</f>
        <v>Dog House Training</v>
      </c>
      <c r="B2023" s="1" t="str">
        <f t="shared" si="404"/>
        <v>https://m566.info/wbudb1c</v>
      </c>
      <c r="C2023" s="1" t="str">
        <f>HYPERLINK("https://m566.info/wbudb1c","Doberman")</f>
        <v>Doberman</v>
      </c>
    </row>
    <row r="2024">
      <c r="A2024" s="1" t="str">
        <f t="shared" si="406"/>
        <v>Dog House Training</v>
      </c>
      <c r="B2024" s="1" t="str">
        <f t="shared" si="404"/>
        <v>https://m566.info/wbudb1c</v>
      </c>
      <c r="C2024" s="1" t="str">
        <f>HYPERLINK("https://m566.info/wbudb1c","German Shepherd")</f>
        <v>German Shepherd</v>
      </c>
    </row>
    <row r="2025">
      <c r="A2025" s="1" t="str">
        <f t="shared" si="406"/>
        <v>Dog House Training</v>
      </c>
      <c r="B2025" s="1" t="str">
        <f t="shared" si="404"/>
        <v>https://m566.info/wbudb1c</v>
      </c>
      <c r="C2025" s="1" t="str">
        <f>HYPERLINK("https://m566.info/wbudb1c","Border Clollie")</f>
        <v>Border Clollie</v>
      </c>
    </row>
    <row r="2026">
      <c r="A2026" s="1" t="str">
        <f t="shared" si="406"/>
        <v>Dog House Training</v>
      </c>
      <c r="B2026" s="1" t="str">
        <f t="shared" si="404"/>
        <v>https://m566.info/wbudb1c</v>
      </c>
      <c r="C2026" s="1" t="str">
        <f>HYPERLINK("https://m566.info/wbudb1c","Rotwieller")</f>
        <v>Rotwieller</v>
      </c>
    </row>
    <row r="2027">
      <c r="A2027" s="1" t="str">
        <f t="shared" si="406"/>
        <v>Dog House Training</v>
      </c>
      <c r="B2027" s="1" t="str">
        <f t="shared" si="404"/>
        <v>https://m566.info/wbudb1c</v>
      </c>
      <c r="C2027" s="1" t="str">
        <f>HYPERLINK("https://m566.info/wbudb1c","Cross Bred")</f>
        <v>Cross Bred</v>
      </c>
    </row>
    <row r="2028">
      <c r="A2028" s="1" t="str">
        <f t="shared" si="406"/>
        <v>Dog House Training</v>
      </c>
      <c r="B2028" s="1" t="str">
        <f t="shared" si="404"/>
        <v>https://m566.info/wbudb1c</v>
      </c>
      <c r="C2028" s="1" t="str">
        <f>HYPERLINK("https://m566.info/wbudb1c","Rotweiller")</f>
        <v>Rotweiller</v>
      </c>
    </row>
    <row r="2029">
      <c r="A2029" s="1" t="str">
        <f t="shared" ref="A2029:A2034" si="407">HYPERLINK("https://m566.info/wbudb1c","Dog Behaviour Training")</f>
        <v>Dog Behaviour Training</v>
      </c>
      <c r="B2029" s="1" t="str">
        <f t="shared" si="404"/>
        <v>https://m566.info/wbudb1c</v>
      </c>
      <c r="C2029" s="1" t="str">
        <f>HYPERLINK("https://m566.info/wbudb1c","Doberman")</f>
        <v>Doberman</v>
      </c>
    </row>
    <row r="2030">
      <c r="A2030" s="1" t="str">
        <f t="shared" si="407"/>
        <v>Dog Behaviour Training</v>
      </c>
      <c r="B2030" s="1" t="str">
        <f t="shared" si="404"/>
        <v>https://m566.info/wbudb1c</v>
      </c>
      <c r="C2030" s="1" t="str">
        <f>HYPERLINK("https://m566.info/wbudb1c","German Shepherd")</f>
        <v>German Shepherd</v>
      </c>
    </row>
    <row r="2031">
      <c r="A2031" s="1" t="str">
        <f t="shared" si="407"/>
        <v>Dog Behaviour Training</v>
      </c>
      <c r="B2031" s="1" t="str">
        <f t="shared" si="404"/>
        <v>https://m566.info/wbudb1c</v>
      </c>
      <c r="C2031" s="1" t="str">
        <f>HYPERLINK("https://m566.info/wbudb1c","Border Clollie")</f>
        <v>Border Clollie</v>
      </c>
    </row>
    <row r="2032">
      <c r="A2032" s="1" t="str">
        <f t="shared" si="407"/>
        <v>Dog Behaviour Training</v>
      </c>
      <c r="B2032" s="1" t="str">
        <f t="shared" si="404"/>
        <v>https://m566.info/wbudb1c</v>
      </c>
      <c r="C2032" s="1" t="str">
        <f>HYPERLINK("https://m566.info/wbudb1c","Rotwieller")</f>
        <v>Rotwieller</v>
      </c>
    </row>
    <row r="2033">
      <c r="A2033" s="1" t="str">
        <f t="shared" si="407"/>
        <v>Dog Behaviour Training</v>
      </c>
      <c r="B2033" s="1" t="str">
        <f t="shared" si="404"/>
        <v>https://m566.info/wbudb1c</v>
      </c>
      <c r="C2033" s="1" t="str">
        <f>HYPERLINK("https://m566.info/wbudb1c","Cross Bred")</f>
        <v>Cross Bred</v>
      </c>
    </row>
    <row r="2034">
      <c r="A2034" s="1" t="str">
        <f t="shared" si="407"/>
        <v>Dog Behaviour Training</v>
      </c>
      <c r="B2034" s="1" t="str">
        <f t="shared" si="404"/>
        <v>https://m566.info/wbudb1c</v>
      </c>
      <c r="C2034" s="1" t="str">
        <f>HYPERLINK("https://m566.info/wbudb1c","Rotweiller")</f>
        <v>Rotweiller</v>
      </c>
    </row>
    <row r="2035">
      <c r="A2035" s="1" t="str">
        <f t="shared" ref="A2035:A2040" si="408">HYPERLINK("https://m566.info/wbudb1c","Dog : Elite Training")</f>
        <v>Dog : Elite Training</v>
      </c>
      <c r="B2035" s="1" t="str">
        <f t="shared" si="404"/>
        <v>https://m566.info/wbudb1c</v>
      </c>
      <c r="C2035" s="1" t="str">
        <f>HYPERLINK("https://m566.info/wbudb1c","Doberman")</f>
        <v>Doberman</v>
      </c>
    </row>
    <row r="2036">
      <c r="A2036" s="1" t="str">
        <f t="shared" si="408"/>
        <v>Dog : Elite Training</v>
      </c>
      <c r="B2036" s="1" t="str">
        <f t="shared" si="404"/>
        <v>https://m566.info/wbudb1c</v>
      </c>
      <c r="C2036" s="1" t="str">
        <f>HYPERLINK("https://m566.info/wbudb1c","German Shepherd")</f>
        <v>German Shepherd</v>
      </c>
    </row>
    <row r="2037">
      <c r="A2037" s="1" t="str">
        <f t="shared" si="408"/>
        <v>Dog : Elite Training</v>
      </c>
      <c r="B2037" s="1" t="str">
        <f t="shared" si="404"/>
        <v>https://m566.info/wbudb1c</v>
      </c>
      <c r="C2037" s="1" t="str">
        <f>HYPERLINK("https://m566.info/wbudb1c","Border Clollie")</f>
        <v>Border Clollie</v>
      </c>
    </row>
    <row r="2038">
      <c r="A2038" s="1" t="str">
        <f t="shared" si="408"/>
        <v>Dog : Elite Training</v>
      </c>
      <c r="B2038" s="1" t="str">
        <f t="shared" si="404"/>
        <v>https://m566.info/wbudb1c</v>
      </c>
      <c r="C2038" s="1" t="str">
        <f>HYPERLINK("https://m566.info/wbudb1c","Rotwieller")</f>
        <v>Rotwieller</v>
      </c>
    </row>
    <row r="2039">
      <c r="A2039" s="1" t="str">
        <f t="shared" si="408"/>
        <v>Dog : Elite Training</v>
      </c>
      <c r="B2039" s="1" t="str">
        <f t="shared" si="404"/>
        <v>https://m566.info/wbudb1c</v>
      </c>
      <c r="C2039" s="1" t="str">
        <f>HYPERLINK("https://m566.info/wbudb1c","Cross Bred")</f>
        <v>Cross Bred</v>
      </c>
    </row>
    <row r="2040">
      <c r="A2040" s="1" t="str">
        <f t="shared" si="408"/>
        <v>Dog : Elite Training</v>
      </c>
      <c r="B2040" s="1" t="str">
        <f t="shared" si="404"/>
        <v>https://m566.info/wbudb1c</v>
      </c>
      <c r="C2040" s="1" t="str">
        <f>HYPERLINK("https://m566.info/wbudb1c","Rotweiller")</f>
        <v>Rotweiller</v>
      </c>
    </row>
    <row r="2041">
      <c r="A2041" s="1" t="str">
        <f t="shared" ref="A2041:A2046" si="409">HYPERLINK("https://m566.info/bnaj6bi","Dog Aggression Training")</f>
        <v>Dog Aggression Training</v>
      </c>
      <c r="B2041" s="1" t="str">
        <f t="shared" ref="B2041:B2070" si="410">HYPERLINK("https://m566.info/bnaj6bi","https://m566.info/bnaj6bi")</f>
        <v>https://m566.info/bnaj6bi</v>
      </c>
      <c r="C2041" s="1" t="str">
        <f>HYPERLINK("https://m566.info/bnaj6bi","Doberman")</f>
        <v>Doberman</v>
      </c>
    </row>
    <row r="2042">
      <c r="A2042" s="1" t="str">
        <f t="shared" si="409"/>
        <v>Dog Aggression Training</v>
      </c>
      <c r="B2042" s="1" t="str">
        <f t="shared" si="410"/>
        <v>https://m566.info/bnaj6bi</v>
      </c>
      <c r="C2042" s="1" t="str">
        <f>HYPERLINK("https://m566.info/bnaj6bi","German Shepherd")</f>
        <v>German Shepherd</v>
      </c>
    </row>
    <row r="2043">
      <c r="A2043" s="1" t="str">
        <f t="shared" si="409"/>
        <v>Dog Aggression Training</v>
      </c>
      <c r="B2043" s="1" t="str">
        <f t="shared" si="410"/>
        <v>https://m566.info/bnaj6bi</v>
      </c>
      <c r="C2043" s="1" t="str">
        <f>HYPERLINK("https://m566.info/bnaj6bi","Border Clollie")</f>
        <v>Border Clollie</v>
      </c>
    </row>
    <row r="2044">
      <c r="A2044" s="1" t="str">
        <f t="shared" si="409"/>
        <v>Dog Aggression Training</v>
      </c>
      <c r="B2044" s="1" t="str">
        <f t="shared" si="410"/>
        <v>https://m566.info/bnaj6bi</v>
      </c>
      <c r="C2044" s="1" t="str">
        <f>HYPERLINK("https://m566.info/bnaj6bi","Rotwieller")</f>
        <v>Rotwieller</v>
      </c>
    </row>
    <row r="2045">
      <c r="A2045" s="1" t="str">
        <f t="shared" si="409"/>
        <v>Dog Aggression Training</v>
      </c>
      <c r="B2045" s="1" t="str">
        <f t="shared" si="410"/>
        <v>https://m566.info/bnaj6bi</v>
      </c>
      <c r="C2045" s="1" t="str">
        <f>HYPERLINK("https://m566.info/bnaj6bi","Cross Bred")</f>
        <v>Cross Bred</v>
      </c>
    </row>
    <row r="2046">
      <c r="A2046" s="1" t="str">
        <f t="shared" si="409"/>
        <v>Dog Aggression Training</v>
      </c>
      <c r="B2046" s="1" t="str">
        <f t="shared" si="410"/>
        <v>https://m566.info/bnaj6bi</v>
      </c>
      <c r="C2046" s="1" t="str">
        <f>HYPERLINK("https://m566.info/bnaj6bi","Rotweiller")</f>
        <v>Rotweiller</v>
      </c>
    </row>
    <row r="2047">
      <c r="A2047" s="1" t="str">
        <f t="shared" ref="A2047:A2052" si="411">HYPERLINK("https://m566.info/bnaj6bi","Dog Obedience Training")</f>
        <v>Dog Obedience Training</v>
      </c>
      <c r="B2047" s="1" t="str">
        <f t="shared" si="410"/>
        <v>https://m566.info/bnaj6bi</v>
      </c>
      <c r="C2047" s="1" t="str">
        <f>HYPERLINK("https://m566.info/bnaj6bi","Doberman")</f>
        <v>Doberman</v>
      </c>
    </row>
    <row r="2048">
      <c r="A2048" s="1" t="str">
        <f t="shared" si="411"/>
        <v>Dog Obedience Training</v>
      </c>
      <c r="B2048" s="1" t="str">
        <f t="shared" si="410"/>
        <v>https://m566.info/bnaj6bi</v>
      </c>
      <c r="C2048" s="1" t="str">
        <f>HYPERLINK("https://m566.info/bnaj6bi","German Shepherd")</f>
        <v>German Shepherd</v>
      </c>
    </row>
    <row r="2049">
      <c r="A2049" s="1" t="str">
        <f t="shared" si="411"/>
        <v>Dog Obedience Training</v>
      </c>
      <c r="B2049" s="1" t="str">
        <f t="shared" si="410"/>
        <v>https://m566.info/bnaj6bi</v>
      </c>
      <c r="C2049" s="1" t="str">
        <f>HYPERLINK("https://m566.info/bnaj6bi","Border Clollie")</f>
        <v>Border Clollie</v>
      </c>
    </row>
    <row r="2050">
      <c r="A2050" s="1" t="str">
        <f t="shared" si="411"/>
        <v>Dog Obedience Training</v>
      </c>
      <c r="B2050" s="1" t="str">
        <f t="shared" si="410"/>
        <v>https://m566.info/bnaj6bi</v>
      </c>
      <c r="C2050" s="1" t="str">
        <f>HYPERLINK("https://m566.info/bnaj6bi","Rotwieller")</f>
        <v>Rotwieller</v>
      </c>
    </row>
    <row r="2051">
      <c r="A2051" s="1" t="str">
        <f t="shared" si="411"/>
        <v>Dog Obedience Training</v>
      </c>
      <c r="B2051" s="1" t="str">
        <f t="shared" si="410"/>
        <v>https://m566.info/bnaj6bi</v>
      </c>
      <c r="C2051" s="1" t="str">
        <f>HYPERLINK("https://m566.info/bnaj6bi","Cross Bred")</f>
        <v>Cross Bred</v>
      </c>
    </row>
    <row r="2052">
      <c r="A2052" s="1" t="str">
        <f t="shared" si="411"/>
        <v>Dog Obedience Training</v>
      </c>
      <c r="B2052" s="1" t="str">
        <f t="shared" si="410"/>
        <v>https://m566.info/bnaj6bi</v>
      </c>
      <c r="C2052" s="1" t="str">
        <f>HYPERLINK("https://m566.info/bnaj6bi","Rotweiller")</f>
        <v>Rotweiller</v>
      </c>
    </row>
    <row r="2053">
      <c r="A2053" s="1" t="str">
        <f t="shared" ref="A2053:A2058" si="412">HYPERLINK("https://m566.info/bnaj6bi","Dog House Training")</f>
        <v>Dog House Training</v>
      </c>
      <c r="B2053" s="1" t="str">
        <f t="shared" si="410"/>
        <v>https://m566.info/bnaj6bi</v>
      </c>
      <c r="C2053" s="1" t="str">
        <f>HYPERLINK("https://m566.info/bnaj6bi","Doberman")</f>
        <v>Doberman</v>
      </c>
    </row>
    <row r="2054">
      <c r="A2054" s="1" t="str">
        <f t="shared" si="412"/>
        <v>Dog House Training</v>
      </c>
      <c r="B2054" s="1" t="str">
        <f t="shared" si="410"/>
        <v>https://m566.info/bnaj6bi</v>
      </c>
      <c r="C2054" s="1" t="str">
        <f>HYPERLINK("https://m566.info/bnaj6bi","German Shepherd")</f>
        <v>German Shepherd</v>
      </c>
    </row>
    <row r="2055">
      <c r="A2055" s="1" t="str">
        <f t="shared" si="412"/>
        <v>Dog House Training</v>
      </c>
      <c r="B2055" s="1" t="str">
        <f t="shared" si="410"/>
        <v>https://m566.info/bnaj6bi</v>
      </c>
      <c r="C2055" s="1" t="str">
        <f>HYPERLINK("https://m566.info/bnaj6bi","Border Clollie")</f>
        <v>Border Clollie</v>
      </c>
    </row>
    <row r="2056">
      <c r="A2056" s="1" t="str">
        <f t="shared" si="412"/>
        <v>Dog House Training</v>
      </c>
      <c r="B2056" s="1" t="str">
        <f t="shared" si="410"/>
        <v>https://m566.info/bnaj6bi</v>
      </c>
      <c r="C2056" s="1" t="str">
        <f>HYPERLINK("https://m566.info/bnaj6bi","Rotwieller")</f>
        <v>Rotwieller</v>
      </c>
    </row>
    <row r="2057">
      <c r="A2057" s="1" t="str">
        <f t="shared" si="412"/>
        <v>Dog House Training</v>
      </c>
      <c r="B2057" s="1" t="str">
        <f t="shared" si="410"/>
        <v>https://m566.info/bnaj6bi</v>
      </c>
      <c r="C2057" s="1" t="str">
        <f>HYPERLINK("https://m566.info/bnaj6bi","Cross Bred")</f>
        <v>Cross Bred</v>
      </c>
    </row>
    <row r="2058">
      <c r="A2058" s="1" t="str">
        <f t="shared" si="412"/>
        <v>Dog House Training</v>
      </c>
      <c r="B2058" s="1" t="str">
        <f t="shared" si="410"/>
        <v>https://m566.info/bnaj6bi</v>
      </c>
      <c r="C2058" s="1" t="str">
        <f>HYPERLINK("https://m566.info/bnaj6bi","Rotweiller")</f>
        <v>Rotweiller</v>
      </c>
    </row>
    <row r="2059">
      <c r="A2059" s="1" t="str">
        <f t="shared" ref="A2059:A2064" si="413">HYPERLINK("https://m566.info/bnaj6bi","Dog Behaviour Training")</f>
        <v>Dog Behaviour Training</v>
      </c>
      <c r="B2059" s="1" t="str">
        <f t="shared" si="410"/>
        <v>https://m566.info/bnaj6bi</v>
      </c>
      <c r="C2059" s="1" t="str">
        <f>HYPERLINK("https://m566.info/bnaj6bi","Doberman")</f>
        <v>Doberman</v>
      </c>
    </row>
    <row r="2060">
      <c r="A2060" s="1" t="str">
        <f t="shared" si="413"/>
        <v>Dog Behaviour Training</v>
      </c>
      <c r="B2060" s="1" t="str">
        <f t="shared" si="410"/>
        <v>https://m566.info/bnaj6bi</v>
      </c>
      <c r="C2060" s="1" t="str">
        <f>HYPERLINK("https://m566.info/bnaj6bi","German Shepherd")</f>
        <v>German Shepherd</v>
      </c>
    </row>
    <row r="2061">
      <c r="A2061" s="1" t="str">
        <f t="shared" si="413"/>
        <v>Dog Behaviour Training</v>
      </c>
      <c r="B2061" s="1" t="str">
        <f t="shared" si="410"/>
        <v>https://m566.info/bnaj6bi</v>
      </c>
      <c r="C2061" s="1" t="str">
        <f>HYPERLINK("https://m566.info/bnaj6bi","Border Clollie")</f>
        <v>Border Clollie</v>
      </c>
    </row>
    <row r="2062">
      <c r="A2062" s="1" t="str">
        <f t="shared" si="413"/>
        <v>Dog Behaviour Training</v>
      </c>
      <c r="B2062" s="1" t="str">
        <f t="shared" si="410"/>
        <v>https://m566.info/bnaj6bi</v>
      </c>
      <c r="C2062" s="1" t="str">
        <f>HYPERLINK("https://m566.info/bnaj6bi","Rotwieller")</f>
        <v>Rotwieller</v>
      </c>
    </row>
    <row r="2063">
      <c r="A2063" s="1" t="str">
        <f t="shared" si="413"/>
        <v>Dog Behaviour Training</v>
      </c>
      <c r="B2063" s="1" t="str">
        <f t="shared" si="410"/>
        <v>https://m566.info/bnaj6bi</v>
      </c>
      <c r="C2063" s="1" t="str">
        <f>HYPERLINK("https://m566.info/bnaj6bi","Cross Bred")</f>
        <v>Cross Bred</v>
      </c>
    </row>
    <row r="2064">
      <c r="A2064" s="1" t="str">
        <f t="shared" si="413"/>
        <v>Dog Behaviour Training</v>
      </c>
      <c r="B2064" s="1" t="str">
        <f t="shared" si="410"/>
        <v>https://m566.info/bnaj6bi</v>
      </c>
      <c r="C2064" s="1" t="str">
        <f>HYPERLINK("https://m566.info/bnaj6bi","Rotweiller")</f>
        <v>Rotweiller</v>
      </c>
    </row>
    <row r="2065">
      <c r="A2065" s="1" t="str">
        <f t="shared" ref="A2065:A2070" si="414">HYPERLINK("https://m566.info/bnaj6bi","Dog : Elite Training")</f>
        <v>Dog : Elite Training</v>
      </c>
      <c r="B2065" s="1" t="str">
        <f t="shared" si="410"/>
        <v>https://m566.info/bnaj6bi</v>
      </c>
      <c r="C2065" s="1" t="str">
        <f>HYPERLINK("https://m566.info/bnaj6bi","Doberman")</f>
        <v>Doberman</v>
      </c>
    </row>
    <row r="2066">
      <c r="A2066" s="1" t="str">
        <f t="shared" si="414"/>
        <v>Dog : Elite Training</v>
      </c>
      <c r="B2066" s="1" t="str">
        <f t="shared" si="410"/>
        <v>https://m566.info/bnaj6bi</v>
      </c>
      <c r="C2066" s="1" t="str">
        <f>HYPERLINK("https://m566.info/bnaj6bi","German Shepherd")</f>
        <v>German Shepherd</v>
      </c>
    </row>
    <row r="2067">
      <c r="A2067" s="1" t="str">
        <f t="shared" si="414"/>
        <v>Dog : Elite Training</v>
      </c>
      <c r="B2067" s="1" t="str">
        <f t="shared" si="410"/>
        <v>https://m566.info/bnaj6bi</v>
      </c>
      <c r="C2067" s="1" t="str">
        <f>HYPERLINK("https://m566.info/bnaj6bi","Border Clollie")</f>
        <v>Border Clollie</v>
      </c>
    </row>
    <row r="2068">
      <c r="A2068" s="1" t="str">
        <f t="shared" si="414"/>
        <v>Dog : Elite Training</v>
      </c>
      <c r="B2068" s="1" t="str">
        <f t="shared" si="410"/>
        <v>https://m566.info/bnaj6bi</v>
      </c>
      <c r="C2068" s="1" t="str">
        <f>HYPERLINK("https://m566.info/bnaj6bi","Rotwieller")</f>
        <v>Rotwieller</v>
      </c>
    </row>
    <row r="2069">
      <c r="A2069" s="1" t="str">
        <f t="shared" si="414"/>
        <v>Dog : Elite Training</v>
      </c>
      <c r="B2069" s="1" t="str">
        <f t="shared" si="410"/>
        <v>https://m566.info/bnaj6bi</v>
      </c>
      <c r="C2069" s="1" t="str">
        <f>HYPERLINK("https://m566.info/bnaj6bi","Cross Bred")</f>
        <v>Cross Bred</v>
      </c>
    </row>
    <row r="2070">
      <c r="A2070" s="1" t="str">
        <f t="shared" si="414"/>
        <v>Dog : Elite Training</v>
      </c>
      <c r="B2070" s="1" t="str">
        <f t="shared" si="410"/>
        <v>https://m566.info/bnaj6bi</v>
      </c>
      <c r="C2070" s="1" t="str">
        <f>HYPERLINK("https://m566.info/bnaj6bi","Rotweiller")</f>
        <v>Rotweiller</v>
      </c>
    </row>
    <row r="2071">
      <c r="A2071" s="1" t="str">
        <f t="shared" ref="A2071:A2076" si="415">HYPERLINK("https://m566.info/y6ztyt0","Dog Aggression Training")</f>
        <v>Dog Aggression Training</v>
      </c>
      <c r="B2071" s="1" t="str">
        <f t="shared" ref="B2071:B2100" si="416">HYPERLINK("https://m566.info/y6ztyt0","https://m566.info/y6ztyt0")</f>
        <v>https://m566.info/y6ztyt0</v>
      </c>
      <c r="C2071" s="1" t="str">
        <f>HYPERLINK("https://m566.info/y6ztyt0","Doberman")</f>
        <v>Doberman</v>
      </c>
    </row>
    <row r="2072">
      <c r="A2072" s="1" t="str">
        <f t="shared" si="415"/>
        <v>Dog Aggression Training</v>
      </c>
      <c r="B2072" s="1" t="str">
        <f t="shared" si="416"/>
        <v>https://m566.info/y6ztyt0</v>
      </c>
      <c r="C2072" s="1" t="str">
        <f>HYPERLINK("https://m566.info/y6ztyt0","German Shepherd")</f>
        <v>German Shepherd</v>
      </c>
    </row>
    <row r="2073">
      <c r="A2073" s="1" t="str">
        <f t="shared" si="415"/>
        <v>Dog Aggression Training</v>
      </c>
      <c r="B2073" s="1" t="str">
        <f t="shared" si="416"/>
        <v>https://m566.info/y6ztyt0</v>
      </c>
      <c r="C2073" s="1" t="str">
        <f>HYPERLINK("https://m566.info/y6ztyt0","Border Clollie")</f>
        <v>Border Clollie</v>
      </c>
    </row>
    <row r="2074">
      <c r="A2074" s="1" t="str">
        <f t="shared" si="415"/>
        <v>Dog Aggression Training</v>
      </c>
      <c r="B2074" s="1" t="str">
        <f t="shared" si="416"/>
        <v>https://m566.info/y6ztyt0</v>
      </c>
      <c r="C2074" s="1" t="str">
        <f>HYPERLINK("https://m566.info/y6ztyt0","Rotwieller")</f>
        <v>Rotwieller</v>
      </c>
    </row>
    <row r="2075">
      <c r="A2075" s="1" t="str">
        <f t="shared" si="415"/>
        <v>Dog Aggression Training</v>
      </c>
      <c r="B2075" s="1" t="str">
        <f t="shared" si="416"/>
        <v>https://m566.info/y6ztyt0</v>
      </c>
      <c r="C2075" s="1" t="str">
        <f>HYPERLINK("https://m566.info/y6ztyt0","Cross Bred")</f>
        <v>Cross Bred</v>
      </c>
    </row>
    <row r="2076">
      <c r="A2076" s="1" t="str">
        <f t="shared" si="415"/>
        <v>Dog Aggression Training</v>
      </c>
      <c r="B2076" s="1" t="str">
        <f t="shared" si="416"/>
        <v>https://m566.info/y6ztyt0</v>
      </c>
      <c r="C2076" s="1" t="str">
        <f>HYPERLINK("https://m566.info/y6ztyt0","Rotweiller")</f>
        <v>Rotweiller</v>
      </c>
    </row>
    <row r="2077">
      <c r="A2077" s="1" t="str">
        <f t="shared" ref="A2077:A2082" si="417">HYPERLINK("https://m566.info/y6ztyt0","Dog Obedience Training")</f>
        <v>Dog Obedience Training</v>
      </c>
      <c r="B2077" s="1" t="str">
        <f t="shared" si="416"/>
        <v>https://m566.info/y6ztyt0</v>
      </c>
      <c r="C2077" s="1" t="str">
        <f>HYPERLINK("https://m566.info/y6ztyt0","Doberman")</f>
        <v>Doberman</v>
      </c>
    </row>
    <row r="2078">
      <c r="A2078" s="1" t="str">
        <f t="shared" si="417"/>
        <v>Dog Obedience Training</v>
      </c>
      <c r="B2078" s="1" t="str">
        <f t="shared" si="416"/>
        <v>https://m566.info/y6ztyt0</v>
      </c>
      <c r="C2078" s="1" t="str">
        <f>HYPERLINK("https://m566.info/y6ztyt0","German Shepherd")</f>
        <v>German Shepherd</v>
      </c>
    </row>
    <row r="2079">
      <c r="A2079" s="1" t="str">
        <f t="shared" si="417"/>
        <v>Dog Obedience Training</v>
      </c>
      <c r="B2079" s="1" t="str">
        <f t="shared" si="416"/>
        <v>https://m566.info/y6ztyt0</v>
      </c>
      <c r="C2079" s="1" t="str">
        <f>HYPERLINK("https://m566.info/y6ztyt0","Border Clollie")</f>
        <v>Border Clollie</v>
      </c>
    </row>
    <row r="2080">
      <c r="A2080" s="1" t="str">
        <f t="shared" si="417"/>
        <v>Dog Obedience Training</v>
      </c>
      <c r="B2080" s="1" t="str">
        <f t="shared" si="416"/>
        <v>https://m566.info/y6ztyt0</v>
      </c>
      <c r="C2080" s="1" t="str">
        <f>HYPERLINK("https://m566.info/y6ztyt0","Rotwieller")</f>
        <v>Rotwieller</v>
      </c>
    </row>
    <row r="2081">
      <c r="A2081" s="1" t="str">
        <f t="shared" si="417"/>
        <v>Dog Obedience Training</v>
      </c>
      <c r="B2081" s="1" t="str">
        <f t="shared" si="416"/>
        <v>https://m566.info/y6ztyt0</v>
      </c>
      <c r="C2081" s="1" t="str">
        <f>HYPERLINK("https://m566.info/y6ztyt0","Cross Bred")</f>
        <v>Cross Bred</v>
      </c>
    </row>
    <row r="2082">
      <c r="A2082" s="1" t="str">
        <f t="shared" si="417"/>
        <v>Dog Obedience Training</v>
      </c>
      <c r="B2082" s="1" t="str">
        <f t="shared" si="416"/>
        <v>https://m566.info/y6ztyt0</v>
      </c>
      <c r="C2082" s="1" t="str">
        <f>HYPERLINK("https://m566.info/y6ztyt0","Rotweiller")</f>
        <v>Rotweiller</v>
      </c>
    </row>
    <row r="2083">
      <c r="A2083" s="1" t="str">
        <f t="shared" ref="A2083:A2088" si="418">HYPERLINK("https://m566.info/y6ztyt0","Dog House Training")</f>
        <v>Dog House Training</v>
      </c>
      <c r="B2083" s="1" t="str">
        <f t="shared" si="416"/>
        <v>https://m566.info/y6ztyt0</v>
      </c>
      <c r="C2083" s="1" t="str">
        <f>HYPERLINK("https://m566.info/y6ztyt0","Doberman")</f>
        <v>Doberman</v>
      </c>
    </row>
    <row r="2084">
      <c r="A2084" s="1" t="str">
        <f t="shared" si="418"/>
        <v>Dog House Training</v>
      </c>
      <c r="B2084" s="1" t="str">
        <f t="shared" si="416"/>
        <v>https://m566.info/y6ztyt0</v>
      </c>
      <c r="C2084" s="1" t="str">
        <f>HYPERLINK("https://m566.info/y6ztyt0","German Shepherd")</f>
        <v>German Shepherd</v>
      </c>
    </row>
    <row r="2085">
      <c r="A2085" s="1" t="str">
        <f t="shared" si="418"/>
        <v>Dog House Training</v>
      </c>
      <c r="B2085" s="1" t="str">
        <f t="shared" si="416"/>
        <v>https://m566.info/y6ztyt0</v>
      </c>
      <c r="C2085" s="1" t="str">
        <f>HYPERLINK("https://m566.info/y6ztyt0","Border Clollie")</f>
        <v>Border Clollie</v>
      </c>
    </row>
    <row r="2086">
      <c r="A2086" s="1" t="str">
        <f t="shared" si="418"/>
        <v>Dog House Training</v>
      </c>
      <c r="B2086" s="1" t="str">
        <f t="shared" si="416"/>
        <v>https://m566.info/y6ztyt0</v>
      </c>
      <c r="C2086" s="1" t="str">
        <f>HYPERLINK("https://m566.info/y6ztyt0","Rotwieller")</f>
        <v>Rotwieller</v>
      </c>
    </row>
    <row r="2087">
      <c r="A2087" s="1" t="str">
        <f t="shared" si="418"/>
        <v>Dog House Training</v>
      </c>
      <c r="B2087" s="1" t="str">
        <f t="shared" si="416"/>
        <v>https://m566.info/y6ztyt0</v>
      </c>
      <c r="C2087" s="1" t="str">
        <f>HYPERLINK("https://m566.info/y6ztyt0","Cross Bred")</f>
        <v>Cross Bred</v>
      </c>
    </row>
    <row r="2088">
      <c r="A2088" s="1" t="str">
        <f t="shared" si="418"/>
        <v>Dog House Training</v>
      </c>
      <c r="B2088" s="1" t="str">
        <f t="shared" si="416"/>
        <v>https://m566.info/y6ztyt0</v>
      </c>
      <c r="C2088" s="1" t="str">
        <f>HYPERLINK("https://m566.info/y6ztyt0","Rotweiller")</f>
        <v>Rotweiller</v>
      </c>
    </row>
    <row r="2089">
      <c r="A2089" s="1" t="str">
        <f t="shared" ref="A2089:A2094" si="419">HYPERLINK("https://m566.info/y6ztyt0","Dog Behaviour Training")</f>
        <v>Dog Behaviour Training</v>
      </c>
      <c r="B2089" s="1" t="str">
        <f t="shared" si="416"/>
        <v>https://m566.info/y6ztyt0</v>
      </c>
      <c r="C2089" s="1" t="str">
        <f>HYPERLINK("https://m566.info/y6ztyt0","Doberman")</f>
        <v>Doberman</v>
      </c>
    </row>
    <row r="2090">
      <c r="A2090" s="1" t="str">
        <f t="shared" si="419"/>
        <v>Dog Behaviour Training</v>
      </c>
      <c r="B2090" s="1" t="str">
        <f t="shared" si="416"/>
        <v>https://m566.info/y6ztyt0</v>
      </c>
      <c r="C2090" s="1" t="str">
        <f>HYPERLINK("https://m566.info/y6ztyt0","German Shepherd")</f>
        <v>German Shepherd</v>
      </c>
    </row>
    <row r="2091">
      <c r="A2091" s="1" t="str">
        <f t="shared" si="419"/>
        <v>Dog Behaviour Training</v>
      </c>
      <c r="B2091" s="1" t="str">
        <f t="shared" si="416"/>
        <v>https://m566.info/y6ztyt0</v>
      </c>
      <c r="C2091" s="1" t="str">
        <f>HYPERLINK("https://m566.info/y6ztyt0","Border Clollie")</f>
        <v>Border Clollie</v>
      </c>
    </row>
    <row r="2092">
      <c r="A2092" s="1" t="str">
        <f t="shared" si="419"/>
        <v>Dog Behaviour Training</v>
      </c>
      <c r="B2092" s="1" t="str">
        <f t="shared" si="416"/>
        <v>https://m566.info/y6ztyt0</v>
      </c>
      <c r="C2092" s="1" t="str">
        <f>HYPERLINK("https://m566.info/y6ztyt0","Rotwieller")</f>
        <v>Rotwieller</v>
      </c>
    </row>
    <row r="2093">
      <c r="A2093" s="1" t="str">
        <f t="shared" si="419"/>
        <v>Dog Behaviour Training</v>
      </c>
      <c r="B2093" s="1" t="str">
        <f t="shared" si="416"/>
        <v>https://m566.info/y6ztyt0</v>
      </c>
      <c r="C2093" s="1" t="str">
        <f>HYPERLINK("https://m566.info/y6ztyt0","Cross Bred")</f>
        <v>Cross Bred</v>
      </c>
    </row>
    <row r="2094">
      <c r="A2094" s="1" t="str">
        <f t="shared" si="419"/>
        <v>Dog Behaviour Training</v>
      </c>
      <c r="B2094" s="1" t="str">
        <f t="shared" si="416"/>
        <v>https://m566.info/y6ztyt0</v>
      </c>
      <c r="C2094" s="1" t="str">
        <f>HYPERLINK("https://m566.info/y6ztyt0","Rotweiller")</f>
        <v>Rotweiller</v>
      </c>
    </row>
    <row r="2095">
      <c r="A2095" s="1" t="str">
        <f t="shared" ref="A2095:A2100" si="420">HYPERLINK("https://m566.info/y6ztyt0","Dog : Elite Training")</f>
        <v>Dog : Elite Training</v>
      </c>
      <c r="B2095" s="1" t="str">
        <f t="shared" si="416"/>
        <v>https://m566.info/y6ztyt0</v>
      </c>
      <c r="C2095" s="1" t="str">
        <f>HYPERLINK("https://m566.info/y6ztyt0","Doberman")</f>
        <v>Doberman</v>
      </c>
    </row>
    <row r="2096">
      <c r="A2096" s="1" t="str">
        <f t="shared" si="420"/>
        <v>Dog : Elite Training</v>
      </c>
      <c r="B2096" s="1" t="str">
        <f t="shared" si="416"/>
        <v>https://m566.info/y6ztyt0</v>
      </c>
      <c r="C2096" s="1" t="str">
        <f>HYPERLINK("https://m566.info/y6ztyt0","German Shepherd")</f>
        <v>German Shepherd</v>
      </c>
    </row>
    <row r="2097">
      <c r="A2097" s="1" t="str">
        <f t="shared" si="420"/>
        <v>Dog : Elite Training</v>
      </c>
      <c r="B2097" s="1" t="str">
        <f t="shared" si="416"/>
        <v>https://m566.info/y6ztyt0</v>
      </c>
      <c r="C2097" s="1" t="str">
        <f>HYPERLINK("https://m566.info/y6ztyt0","Border Clollie")</f>
        <v>Border Clollie</v>
      </c>
    </row>
    <row r="2098">
      <c r="A2098" s="1" t="str">
        <f t="shared" si="420"/>
        <v>Dog : Elite Training</v>
      </c>
      <c r="B2098" s="1" t="str">
        <f t="shared" si="416"/>
        <v>https://m566.info/y6ztyt0</v>
      </c>
      <c r="C2098" s="1" t="str">
        <f>HYPERLINK("https://m566.info/y6ztyt0","Rotwieller")</f>
        <v>Rotwieller</v>
      </c>
    </row>
    <row r="2099">
      <c r="A2099" s="1" t="str">
        <f t="shared" si="420"/>
        <v>Dog : Elite Training</v>
      </c>
      <c r="B2099" s="1" t="str">
        <f t="shared" si="416"/>
        <v>https://m566.info/y6ztyt0</v>
      </c>
      <c r="C2099" s="1" t="str">
        <f>HYPERLINK("https://m566.info/y6ztyt0","Cross Bred")</f>
        <v>Cross Bred</v>
      </c>
    </row>
    <row r="2100">
      <c r="A2100" s="1" t="str">
        <f t="shared" si="420"/>
        <v>Dog : Elite Training</v>
      </c>
      <c r="B2100" s="1" t="str">
        <f t="shared" si="416"/>
        <v>https://m566.info/y6ztyt0</v>
      </c>
      <c r="C2100" s="1" t="str">
        <f>HYPERLINK("https://m566.info/y6ztyt0","Rotweiller")</f>
        <v>Rotweiller</v>
      </c>
    </row>
    <row r="2101">
      <c r="A2101" s="1" t="str">
        <f t="shared" ref="A2101:A2106" si="421">HYPERLINK("https://m566.info/vgoq4dw","Dog Aggression Training")</f>
        <v>Dog Aggression Training</v>
      </c>
      <c r="B2101" s="1" t="str">
        <f t="shared" ref="B2101:B2130" si="422">HYPERLINK("https://m566.info/vgoq4dw","https://m566.info/vgoq4dw")</f>
        <v>https://m566.info/vgoq4dw</v>
      </c>
      <c r="C2101" s="1" t="str">
        <f>HYPERLINK("https://m566.info/vgoq4dw","Doberman")</f>
        <v>Doberman</v>
      </c>
    </row>
    <row r="2102">
      <c r="A2102" s="1" t="str">
        <f t="shared" si="421"/>
        <v>Dog Aggression Training</v>
      </c>
      <c r="B2102" s="1" t="str">
        <f t="shared" si="422"/>
        <v>https://m566.info/vgoq4dw</v>
      </c>
      <c r="C2102" s="1" t="str">
        <f>HYPERLINK("https://m566.info/vgoq4dw","German Shepherd")</f>
        <v>German Shepherd</v>
      </c>
    </row>
    <row r="2103">
      <c r="A2103" s="1" t="str">
        <f t="shared" si="421"/>
        <v>Dog Aggression Training</v>
      </c>
      <c r="B2103" s="1" t="str">
        <f t="shared" si="422"/>
        <v>https://m566.info/vgoq4dw</v>
      </c>
      <c r="C2103" s="1" t="str">
        <f>HYPERLINK("https://m566.info/vgoq4dw","Border Clollie")</f>
        <v>Border Clollie</v>
      </c>
    </row>
    <row r="2104">
      <c r="A2104" s="1" t="str">
        <f t="shared" si="421"/>
        <v>Dog Aggression Training</v>
      </c>
      <c r="B2104" s="1" t="str">
        <f t="shared" si="422"/>
        <v>https://m566.info/vgoq4dw</v>
      </c>
      <c r="C2104" s="1" t="str">
        <f>HYPERLINK("https://m566.info/vgoq4dw","Rotwieller")</f>
        <v>Rotwieller</v>
      </c>
    </row>
    <row r="2105">
      <c r="A2105" s="1" t="str">
        <f t="shared" si="421"/>
        <v>Dog Aggression Training</v>
      </c>
      <c r="B2105" s="1" t="str">
        <f t="shared" si="422"/>
        <v>https://m566.info/vgoq4dw</v>
      </c>
      <c r="C2105" s="1" t="str">
        <f>HYPERLINK("https://m566.info/vgoq4dw","Cross Bred")</f>
        <v>Cross Bred</v>
      </c>
    </row>
    <row r="2106">
      <c r="A2106" s="1" t="str">
        <f t="shared" si="421"/>
        <v>Dog Aggression Training</v>
      </c>
      <c r="B2106" s="1" t="str">
        <f t="shared" si="422"/>
        <v>https://m566.info/vgoq4dw</v>
      </c>
      <c r="C2106" s="1" t="str">
        <f>HYPERLINK("https://m566.info/vgoq4dw","Rotweiller")</f>
        <v>Rotweiller</v>
      </c>
    </row>
    <row r="2107">
      <c r="A2107" s="1" t="str">
        <f t="shared" ref="A2107:A2112" si="423">HYPERLINK("https://m566.info/vgoq4dw","Dog Obedience Training")</f>
        <v>Dog Obedience Training</v>
      </c>
      <c r="B2107" s="1" t="str">
        <f t="shared" si="422"/>
        <v>https://m566.info/vgoq4dw</v>
      </c>
      <c r="C2107" s="1" t="str">
        <f>HYPERLINK("https://m566.info/vgoq4dw","Doberman")</f>
        <v>Doberman</v>
      </c>
    </row>
    <row r="2108">
      <c r="A2108" s="1" t="str">
        <f t="shared" si="423"/>
        <v>Dog Obedience Training</v>
      </c>
      <c r="B2108" s="1" t="str">
        <f t="shared" si="422"/>
        <v>https://m566.info/vgoq4dw</v>
      </c>
      <c r="C2108" s="1" t="str">
        <f>HYPERLINK("https://m566.info/vgoq4dw","German Shepherd")</f>
        <v>German Shepherd</v>
      </c>
    </row>
    <row r="2109">
      <c r="A2109" s="1" t="str">
        <f t="shared" si="423"/>
        <v>Dog Obedience Training</v>
      </c>
      <c r="B2109" s="1" t="str">
        <f t="shared" si="422"/>
        <v>https://m566.info/vgoq4dw</v>
      </c>
      <c r="C2109" s="1" t="str">
        <f>HYPERLINK("https://m566.info/vgoq4dw","Border Clollie")</f>
        <v>Border Clollie</v>
      </c>
    </row>
    <row r="2110">
      <c r="A2110" s="1" t="str">
        <f t="shared" si="423"/>
        <v>Dog Obedience Training</v>
      </c>
      <c r="B2110" s="1" t="str">
        <f t="shared" si="422"/>
        <v>https://m566.info/vgoq4dw</v>
      </c>
      <c r="C2110" s="1" t="str">
        <f>HYPERLINK("https://m566.info/vgoq4dw","Rotwieller")</f>
        <v>Rotwieller</v>
      </c>
    </row>
    <row r="2111">
      <c r="A2111" s="1" t="str">
        <f t="shared" si="423"/>
        <v>Dog Obedience Training</v>
      </c>
      <c r="B2111" s="1" t="str">
        <f t="shared" si="422"/>
        <v>https://m566.info/vgoq4dw</v>
      </c>
      <c r="C2111" s="1" t="str">
        <f>HYPERLINK("https://m566.info/vgoq4dw","Cross Bred")</f>
        <v>Cross Bred</v>
      </c>
    </row>
    <row r="2112">
      <c r="A2112" s="1" t="str">
        <f t="shared" si="423"/>
        <v>Dog Obedience Training</v>
      </c>
      <c r="B2112" s="1" t="str">
        <f t="shared" si="422"/>
        <v>https://m566.info/vgoq4dw</v>
      </c>
      <c r="C2112" s="1" t="str">
        <f>HYPERLINK("https://m566.info/vgoq4dw","Rotweiller")</f>
        <v>Rotweiller</v>
      </c>
    </row>
    <row r="2113">
      <c r="A2113" s="1" t="str">
        <f t="shared" ref="A2113:A2118" si="424">HYPERLINK("https://m566.info/vgoq4dw","Dog House Training")</f>
        <v>Dog House Training</v>
      </c>
      <c r="B2113" s="1" t="str">
        <f t="shared" si="422"/>
        <v>https://m566.info/vgoq4dw</v>
      </c>
      <c r="C2113" s="1" t="str">
        <f>HYPERLINK("https://m566.info/vgoq4dw","Doberman")</f>
        <v>Doberman</v>
      </c>
    </row>
    <row r="2114">
      <c r="A2114" s="1" t="str">
        <f t="shared" si="424"/>
        <v>Dog House Training</v>
      </c>
      <c r="B2114" s="1" t="str">
        <f t="shared" si="422"/>
        <v>https://m566.info/vgoq4dw</v>
      </c>
      <c r="C2114" s="1" t="str">
        <f>HYPERLINK("https://m566.info/vgoq4dw","German Shepherd")</f>
        <v>German Shepherd</v>
      </c>
    </row>
    <row r="2115">
      <c r="A2115" s="1" t="str">
        <f t="shared" si="424"/>
        <v>Dog House Training</v>
      </c>
      <c r="B2115" s="1" t="str">
        <f t="shared" si="422"/>
        <v>https://m566.info/vgoq4dw</v>
      </c>
      <c r="C2115" s="1" t="str">
        <f>HYPERLINK("https://m566.info/vgoq4dw","Border Clollie")</f>
        <v>Border Clollie</v>
      </c>
    </row>
    <row r="2116">
      <c r="A2116" s="1" t="str">
        <f t="shared" si="424"/>
        <v>Dog House Training</v>
      </c>
      <c r="B2116" s="1" t="str">
        <f t="shared" si="422"/>
        <v>https://m566.info/vgoq4dw</v>
      </c>
      <c r="C2116" s="1" t="str">
        <f>HYPERLINK("https://m566.info/vgoq4dw","Rotwieller")</f>
        <v>Rotwieller</v>
      </c>
    </row>
    <row r="2117">
      <c r="A2117" s="1" t="str">
        <f t="shared" si="424"/>
        <v>Dog House Training</v>
      </c>
      <c r="B2117" s="1" t="str">
        <f t="shared" si="422"/>
        <v>https://m566.info/vgoq4dw</v>
      </c>
      <c r="C2117" s="1" t="str">
        <f>HYPERLINK("https://m566.info/vgoq4dw","Cross Bred")</f>
        <v>Cross Bred</v>
      </c>
    </row>
    <row r="2118">
      <c r="A2118" s="1" t="str">
        <f t="shared" si="424"/>
        <v>Dog House Training</v>
      </c>
      <c r="B2118" s="1" t="str">
        <f t="shared" si="422"/>
        <v>https://m566.info/vgoq4dw</v>
      </c>
      <c r="C2118" s="1" t="str">
        <f>HYPERLINK("https://m566.info/vgoq4dw","Rotweiller")</f>
        <v>Rotweiller</v>
      </c>
    </row>
    <row r="2119">
      <c r="A2119" s="1" t="str">
        <f t="shared" ref="A2119:A2124" si="425">HYPERLINK("https://m566.info/vgoq4dw","Dog Behaviour Training")</f>
        <v>Dog Behaviour Training</v>
      </c>
      <c r="B2119" s="1" t="str">
        <f t="shared" si="422"/>
        <v>https://m566.info/vgoq4dw</v>
      </c>
      <c r="C2119" s="1" t="str">
        <f>HYPERLINK("https://m566.info/vgoq4dw","Doberman")</f>
        <v>Doberman</v>
      </c>
    </row>
    <row r="2120">
      <c r="A2120" s="1" t="str">
        <f t="shared" si="425"/>
        <v>Dog Behaviour Training</v>
      </c>
      <c r="B2120" s="1" t="str">
        <f t="shared" si="422"/>
        <v>https://m566.info/vgoq4dw</v>
      </c>
      <c r="C2120" s="1" t="str">
        <f>HYPERLINK("https://m566.info/vgoq4dw","German Shepherd")</f>
        <v>German Shepherd</v>
      </c>
    </row>
    <row r="2121">
      <c r="A2121" s="1" t="str">
        <f t="shared" si="425"/>
        <v>Dog Behaviour Training</v>
      </c>
      <c r="B2121" s="1" t="str">
        <f t="shared" si="422"/>
        <v>https://m566.info/vgoq4dw</v>
      </c>
      <c r="C2121" s="1" t="str">
        <f>HYPERLINK("https://m566.info/vgoq4dw","Border Clollie")</f>
        <v>Border Clollie</v>
      </c>
    </row>
    <row r="2122">
      <c r="A2122" s="1" t="str">
        <f t="shared" si="425"/>
        <v>Dog Behaviour Training</v>
      </c>
      <c r="B2122" s="1" t="str">
        <f t="shared" si="422"/>
        <v>https://m566.info/vgoq4dw</v>
      </c>
      <c r="C2122" s="1" t="str">
        <f>HYPERLINK("https://m566.info/vgoq4dw","Rotwieller")</f>
        <v>Rotwieller</v>
      </c>
    </row>
    <row r="2123">
      <c r="A2123" s="1" t="str">
        <f t="shared" si="425"/>
        <v>Dog Behaviour Training</v>
      </c>
      <c r="B2123" s="1" t="str">
        <f t="shared" si="422"/>
        <v>https://m566.info/vgoq4dw</v>
      </c>
      <c r="C2123" s="1" t="str">
        <f>HYPERLINK("https://m566.info/vgoq4dw","Cross Bred")</f>
        <v>Cross Bred</v>
      </c>
    </row>
    <row r="2124">
      <c r="A2124" s="1" t="str">
        <f t="shared" si="425"/>
        <v>Dog Behaviour Training</v>
      </c>
      <c r="B2124" s="1" t="str">
        <f t="shared" si="422"/>
        <v>https://m566.info/vgoq4dw</v>
      </c>
      <c r="C2124" s="1" t="str">
        <f>HYPERLINK("https://m566.info/vgoq4dw","Rotweiller")</f>
        <v>Rotweiller</v>
      </c>
    </row>
    <row r="2125">
      <c r="A2125" s="1" t="str">
        <f t="shared" ref="A2125:A2130" si="426">HYPERLINK("https://m566.info/vgoq4dw","Dog : Elite Training")</f>
        <v>Dog : Elite Training</v>
      </c>
      <c r="B2125" s="1" t="str">
        <f t="shared" si="422"/>
        <v>https://m566.info/vgoq4dw</v>
      </c>
      <c r="C2125" s="1" t="str">
        <f>HYPERLINK("https://m566.info/vgoq4dw","Doberman")</f>
        <v>Doberman</v>
      </c>
    </row>
    <row r="2126">
      <c r="A2126" s="1" t="str">
        <f t="shared" si="426"/>
        <v>Dog : Elite Training</v>
      </c>
      <c r="B2126" s="1" t="str">
        <f t="shared" si="422"/>
        <v>https://m566.info/vgoq4dw</v>
      </c>
      <c r="C2126" s="1" t="str">
        <f>HYPERLINK("https://m566.info/vgoq4dw","German Shepherd")</f>
        <v>German Shepherd</v>
      </c>
    </row>
    <row r="2127">
      <c r="A2127" s="1" t="str">
        <f t="shared" si="426"/>
        <v>Dog : Elite Training</v>
      </c>
      <c r="B2127" s="1" t="str">
        <f t="shared" si="422"/>
        <v>https://m566.info/vgoq4dw</v>
      </c>
      <c r="C2127" s="1" t="str">
        <f>HYPERLINK("https://m566.info/vgoq4dw","Border Clollie")</f>
        <v>Border Clollie</v>
      </c>
    </row>
    <row r="2128">
      <c r="A2128" s="1" t="str">
        <f t="shared" si="426"/>
        <v>Dog : Elite Training</v>
      </c>
      <c r="B2128" s="1" t="str">
        <f t="shared" si="422"/>
        <v>https://m566.info/vgoq4dw</v>
      </c>
      <c r="C2128" s="1" t="str">
        <f>HYPERLINK("https://m566.info/vgoq4dw","Rotwieller")</f>
        <v>Rotwieller</v>
      </c>
    </row>
    <row r="2129">
      <c r="A2129" s="1" t="str">
        <f t="shared" si="426"/>
        <v>Dog : Elite Training</v>
      </c>
      <c r="B2129" s="1" t="str">
        <f t="shared" si="422"/>
        <v>https://m566.info/vgoq4dw</v>
      </c>
      <c r="C2129" s="1" t="str">
        <f>HYPERLINK("https://m566.info/vgoq4dw","Cross Bred")</f>
        <v>Cross Bred</v>
      </c>
    </row>
    <row r="2130">
      <c r="A2130" s="1" t="str">
        <f t="shared" si="426"/>
        <v>Dog : Elite Training</v>
      </c>
      <c r="B2130" s="1" t="str">
        <f t="shared" si="422"/>
        <v>https://m566.info/vgoq4dw</v>
      </c>
      <c r="C2130" s="1" t="str">
        <f>HYPERLINK("https://m566.info/vgoq4dw","Rotweiller")</f>
        <v>Rotweiller</v>
      </c>
    </row>
    <row r="2131">
      <c r="A2131" s="1" t="str">
        <f t="shared" ref="A2131:A2136" si="427">HYPERLINK("https://m566.info/h3wnh25","Dog Aggression Training")</f>
        <v>Dog Aggression Training</v>
      </c>
      <c r="B2131" s="1" t="str">
        <f t="shared" ref="B2131:B2160" si="428">HYPERLINK("https://m566.info/h3wnh25","https://m566.info/h3wnh25")</f>
        <v>https://m566.info/h3wnh25</v>
      </c>
      <c r="C2131" s="1" t="str">
        <f>HYPERLINK("https://m566.info/h3wnh25","Doberman")</f>
        <v>Doberman</v>
      </c>
    </row>
    <row r="2132">
      <c r="A2132" s="1" t="str">
        <f t="shared" si="427"/>
        <v>Dog Aggression Training</v>
      </c>
      <c r="B2132" s="1" t="str">
        <f t="shared" si="428"/>
        <v>https://m566.info/h3wnh25</v>
      </c>
      <c r="C2132" s="1" t="str">
        <f>HYPERLINK("https://m566.info/h3wnh25","German Shepherd")</f>
        <v>German Shepherd</v>
      </c>
    </row>
    <row r="2133">
      <c r="A2133" s="1" t="str">
        <f t="shared" si="427"/>
        <v>Dog Aggression Training</v>
      </c>
      <c r="B2133" s="1" t="str">
        <f t="shared" si="428"/>
        <v>https://m566.info/h3wnh25</v>
      </c>
      <c r="C2133" s="1" t="str">
        <f>HYPERLINK("https://m566.info/h3wnh25","Border Clollie")</f>
        <v>Border Clollie</v>
      </c>
    </row>
    <row r="2134">
      <c r="A2134" s="1" t="str">
        <f t="shared" si="427"/>
        <v>Dog Aggression Training</v>
      </c>
      <c r="B2134" s="1" t="str">
        <f t="shared" si="428"/>
        <v>https://m566.info/h3wnh25</v>
      </c>
      <c r="C2134" s="1" t="str">
        <f>HYPERLINK("https://m566.info/h3wnh25","Rotwieller")</f>
        <v>Rotwieller</v>
      </c>
    </row>
    <row r="2135">
      <c r="A2135" s="1" t="str">
        <f t="shared" si="427"/>
        <v>Dog Aggression Training</v>
      </c>
      <c r="B2135" s="1" t="str">
        <f t="shared" si="428"/>
        <v>https://m566.info/h3wnh25</v>
      </c>
      <c r="C2135" s="1" t="str">
        <f>HYPERLINK("https://m566.info/h3wnh25","Cross Bred")</f>
        <v>Cross Bred</v>
      </c>
    </row>
    <row r="2136">
      <c r="A2136" s="1" t="str">
        <f t="shared" si="427"/>
        <v>Dog Aggression Training</v>
      </c>
      <c r="B2136" s="1" t="str">
        <f t="shared" si="428"/>
        <v>https://m566.info/h3wnh25</v>
      </c>
      <c r="C2136" s="1" t="str">
        <f>HYPERLINK("https://m566.info/h3wnh25","Rotweiller")</f>
        <v>Rotweiller</v>
      </c>
    </row>
    <row r="2137">
      <c r="A2137" s="1" t="str">
        <f t="shared" ref="A2137:A2142" si="429">HYPERLINK("https://m566.info/h3wnh25","Dog Obedience Training")</f>
        <v>Dog Obedience Training</v>
      </c>
      <c r="B2137" s="1" t="str">
        <f t="shared" si="428"/>
        <v>https://m566.info/h3wnh25</v>
      </c>
      <c r="C2137" s="1" t="str">
        <f>HYPERLINK("https://m566.info/h3wnh25","Doberman")</f>
        <v>Doberman</v>
      </c>
    </row>
    <row r="2138">
      <c r="A2138" s="1" t="str">
        <f t="shared" si="429"/>
        <v>Dog Obedience Training</v>
      </c>
      <c r="B2138" s="1" t="str">
        <f t="shared" si="428"/>
        <v>https://m566.info/h3wnh25</v>
      </c>
      <c r="C2138" s="1" t="str">
        <f>HYPERLINK("https://m566.info/h3wnh25","German Shepherd")</f>
        <v>German Shepherd</v>
      </c>
    </row>
    <row r="2139">
      <c r="A2139" s="1" t="str">
        <f t="shared" si="429"/>
        <v>Dog Obedience Training</v>
      </c>
      <c r="B2139" s="1" t="str">
        <f t="shared" si="428"/>
        <v>https://m566.info/h3wnh25</v>
      </c>
      <c r="C2139" s="1" t="str">
        <f>HYPERLINK("https://m566.info/h3wnh25","Border Clollie")</f>
        <v>Border Clollie</v>
      </c>
    </row>
    <row r="2140">
      <c r="A2140" s="1" t="str">
        <f t="shared" si="429"/>
        <v>Dog Obedience Training</v>
      </c>
      <c r="B2140" s="1" t="str">
        <f t="shared" si="428"/>
        <v>https://m566.info/h3wnh25</v>
      </c>
      <c r="C2140" s="1" t="str">
        <f>HYPERLINK("https://m566.info/h3wnh25","Rotwieller")</f>
        <v>Rotwieller</v>
      </c>
    </row>
    <row r="2141">
      <c r="A2141" s="1" t="str">
        <f t="shared" si="429"/>
        <v>Dog Obedience Training</v>
      </c>
      <c r="B2141" s="1" t="str">
        <f t="shared" si="428"/>
        <v>https://m566.info/h3wnh25</v>
      </c>
      <c r="C2141" s="1" t="str">
        <f>HYPERLINK("https://m566.info/h3wnh25","Cross Bred")</f>
        <v>Cross Bred</v>
      </c>
    </row>
    <row r="2142">
      <c r="A2142" s="1" t="str">
        <f t="shared" si="429"/>
        <v>Dog Obedience Training</v>
      </c>
      <c r="B2142" s="1" t="str">
        <f t="shared" si="428"/>
        <v>https://m566.info/h3wnh25</v>
      </c>
      <c r="C2142" s="1" t="str">
        <f>HYPERLINK("https://m566.info/h3wnh25","Rotweiller")</f>
        <v>Rotweiller</v>
      </c>
    </row>
    <row r="2143">
      <c r="A2143" s="1" t="str">
        <f t="shared" ref="A2143:A2148" si="430">HYPERLINK("https://m566.info/h3wnh25","Dog House Training")</f>
        <v>Dog House Training</v>
      </c>
      <c r="B2143" s="1" t="str">
        <f t="shared" si="428"/>
        <v>https://m566.info/h3wnh25</v>
      </c>
      <c r="C2143" s="1" t="str">
        <f>HYPERLINK("https://m566.info/h3wnh25","Doberman")</f>
        <v>Doberman</v>
      </c>
    </row>
    <row r="2144">
      <c r="A2144" s="1" t="str">
        <f t="shared" si="430"/>
        <v>Dog House Training</v>
      </c>
      <c r="B2144" s="1" t="str">
        <f t="shared" si="428"/>
        <v>https://m566.info/h3wnh25</v>
      </c>
      <c r="C2144" s="1" t="str">
        <f>HYPERLINK("https://m566.info/h3wnh25","German Shepherd")</f>
        <v>German Shepherd</v>
      </c>
    </row>
    <row r="2145">
      <c r="A2145" s="1" t="str">
        <f t="shared" si="430"/>
        <v>Dog House Training</v>
      </c>
      <c r="B2145" s="1" t="str">
        <f t="shared" si="428"/>
        <v>https://m566.info/h3wnh25</v>
      </c>
      <c r="C2145" s="1" t="str">
        <f>HYPERLINK("https://m566.info/h3wnh25","Border Clollie")</f>
        <v>Border Clollie</v>
      </c>
    </row>
    <row r="2146">
      <c r="A2146" s="1" t="str">
        <f t="shared" si="430"/>
        <v>Dog House Training</v>
      </c>
      <c r="B2146" s="1" t="str">
        <f t="shared" si="428"/>
        <v>https://m566.info/h3wnh25</v>
      </c>
      <c r="C2146" s="1" t="str">
        <f>HYPERLINK("https://m566.info/h3wnh25","Rotwieller")</f>
        <v>Rotwieller</v>
      </c>
    </row>
    <row r="2147">
      <c r="A2147" s="1" t="str">
        <f t="shared" si="430"/>
        <v>Dog House Training</v>
      </c>
      <c r="B2147" s="1" t="str">
        <f t="shared" si="428"/>
        <v>https://m566.info/h3wnh25</v>
      </c>
      <c r="C2147" s="1" t="str">
        <f>HYPERLINK("https://m566.info/h3wnh25","Cross Bred")</f>
        <v>Cross Bred</v>
      </c>
    </row>
    <row r="2148">
      <c r="A2148" s="1" t="str">
        <f t="shared" si="430"/>
        <v>Dog House Training</v>
      </c>
      <c r="B2148" s="1" t="str">
        <f t="shared" si="428"/>
        <v>https://m566.info/h3wnh25</v>
      </c>
      <c r="C2148" s="1" t="str">
        <f>HYPERLINK("https://m566.info/h3wnh25","Rotweiller")</f>
        <v>Rotweiller</v>
      </c>
    </row>
    <row r="2149">
      <c r="A2149" s="1" t="str">
        <f t="shared" ref="A2149:A2154" si="431">HYPERLINK("https://m566.info/h3wnh25","Dog Behaviour Training")</f>
        <v>Dog Behaviour Training</v>
      </c>
      <c r="B2149" s="1" t="str">
        <f t="shared" si="428"/>
        <v>https://m566.info/h3wnh25</v>
      </c>
      <c r="C2149" s="1" t="str">
        <f>HYPERLINK("https://m566.info/h3wnh25","Doberman")</f>
        <v>Doberman</v>
      </c>
    </row>
    <row r="2150">
      <c r="A2150" s="1" t="str">
        <f t="shared" si="431"/>
        <v>Dog Behaviour Training</v>
      </c>
      <c r="B2150" s="1" t="str">
        <f t="shared" si="428"/>
        <v>https://m566.info/h3wnh25</v>
      </c>
      <c r="C2150" s="1" t="str">
        <f>HYPERLINK("https://m566.info/h3wnh25","German Shepherd")</f>
        <v>German Shepherd</v>
      </c>
    </row>
    <row r="2151">
      <c r="A2151" s="1" t="str">
        <f t="shared" si="431"/>
        <v>Dog Behaviour Training</v>
      </c>
      <c r="B2151" s="1" t="str">
        <f t="shared" si="428"/>
        <v>https://m566.info/h3wnh25</v>
      </c>
      <c r="C2151" s="1" t="str">
        <f>HYPERLINK("https://m566.info/h3wnh25","Border Clollie")</f>
        <v>Border Clollie</v>
      </c>
    </row>
    <row r="2152">
      <c r="A2152" s="1" t="str">
        <f t="shared" si="431"/>
        <v>Dog Behaviour Training</v>
      </c>
      <c r="B2152" s="1" t="str">
        <f t="shared" si="428"/>
        <v>https://m566.info/h3wnh25</v>
      </c>
      <c r="C2152" s="1" t="str">
        <f>HYPERLINK("https://m566.info/h3wnh25","Rotwieller")</f>
        <v>Rotwieller</v>
      </c>
    </row>
    <row r="2153">
      <c r="A2153" s="1" t="str">
        <f t="shared" si="431"/>
        <v>Dog Behaviour Training</v>
      </c>
      <c r="B2153" s="1" t="str">
        <f t="shared" si="428"/>
        <v>https://m566.info/h3wnh25</v>
      </c>
      <c r="C2153" s="1" t="str">
        <f>HYPERLINK("https://m566.info/h3wnh25","Cross Bred")</f>
        <v>Cross Bred</v>
      </c>
    </row>
    <row r="2154">
      <c r="A2154" s="1" t="str">
        <f t="shared" si="431"/>
        <v>Dog Behaviour Training</v>
      </c>
      <c r="B2154" s="1" t="str">
        <f t="shared" si="428"/>
        <v>https://m566.info/h3wnh25</v>
      </c>
      <c r="C2154" s="1" t="str">
        <f>HYPERLINK("https://m566.info/h3wnh25","Rotweiller")</f>
        <v>Rotweiller</v>
      </c>
    </row>
    <row r="2155">
      <c r="A2155" s="1" t="str">
        <f t="shared" ref="A2155:A2160" si="432">HYPERLINK("https://m566.info/h3wnh25","Dog : Elite Training")</f>
        <v>Dog : Elite Training</v>
      </c>
      <c r="B2155" s="1" t="str">
        <f t="shared" si="428"/>
        <v>https://m566.info/h3wnh25</v>
      </c>
      <c r="C2155" s="1" t="str">
        <f>HYPERLINK("https://m566.info/h3wnh25","Doberman")</f>
        <v>Doberman</v>
      </c>
    </row>
    <row r="2156">
      <c r="A2156" s="1" t="str">
        <f t="shared" si="432"/>
        <v>Dog : Elite Training</v>
      </c>
      <c r="B2156" s="1" t="str">
        <f t="shared" si="428"/>
        <v>https://m566.info/h3wnh25</v>
      </c>
      <c r="C2156" s="1" t="str">
        <f>HYPERLINK("https://m566.info/h3wnh25","German Shepherd")</f>
        <v>German Shepherd</v>
      </c>
    </row>
    <row r="2157">
      <c r="A2157" s="1" t="str">
        <f t="shared" si="432"/>
        <v>Dog : Elite Training</v>
      </c>
      <c r="B2157" s="1" t="str">
        <f t="shared" si="428"/>
        <v>https://m566.info/h3wnh25</v>
      </c>
      <c r="C2157" s="1" t="str">
        <f>HYPERLINK("https://m566.info/h3wnh25","Border Clollie")</f>
        <v>Border Clollie</v>
      </c>
    </row>
    <row r="2158">
      <c r="A2158" s="1" t="str">
        <f t="shared" si="432"/>
        <v>Dog : Elite Training</v>
      </c>
      <c r="B2158" s="1" t="str">
        <f t="shared" si="428"/>
        <v>https://m566.info/h3wnh25</v>
      </c>
      <c r="C2158" s="1" t="str">
        <f>HYPERLINK("https://m566.info/h3wnh25","Rotwieller")</f>
        <v>Rotwieller</v>
      </c>
    </row>
    <row r="2159">
      <c r="A2159" s="1" t="str">
        <f t="shared" si="432"/>
        <v>Dog : Elite Training</v>
      </c>
      <c r="B2159" s="1" t="str">
        <f t="shared" si="428"/>
        <v>https://m566.info/h3wnh25</v>
      </c>
      <c r="C2159" s="1" t="str">
        <f>HYPERLINK("https://m566.info/h3wnh25","Cross Bred")</f>
        <v>Cross Bred</v>
      </c>
    </row>
    <row r="2160">
      <c r="A2160" s="1" t="str">
        <f t="shared" si="432"/>
        <v>Dog : Elite Training</v>
      </c>
      <c r="B2160" s="1" t="str">
        <f t="shared" si="428"/>
        <v>https://m566.info/h3wnh25</v>
      </c>
      <c r="C2160" s="1" t="str">
        <f>HYPERLINK("https://m566.info/h3wnh25","Rotweiller")</f>
        <v>Rotweiller</v>
      </c>
    </row>
    <row r="2161">
      <c r="A2161" s="1" t="str">
        <f t="shared" ref="A2161:A2166" si="433">HYPERLINK("https://m566.info/61n9a9l","Dog Aggression Training")</f>
        <v>Dog Aggression Training</v>
      </c>
      <c r="B2161" s="1" t="str">
        <f t="shared" ref="B2161:B2190" si="434">HYPERLINK("https://m566.info/61n9a9l","https://m566.info/61n9a9l")</f>
        <v>https://m566.info/61n9a9l</v>
      </c>
      <c r="C2161" s="1" t="str">
        <f>HYPERLINK("https://m566.info/61n9a9l","Doberman")</f>
        <v>Doberman</v>
      </c>
    </row>
    <row r="2162">
      <c r="A2162" s="1" t="str">
        <f t="shared" si="433"/>
        <v>Dog Aggression Training</v>
      </c>
      <c r="B2162" s="1" t="str">
        <f t="shared" si="434"/>
        <v>https://m566.info/61n9a9l</v>
      </c>
      <c r="C2162" s="1" t="str">
        <f>HYPERLINK("https://m566.info/61n9a9l","German Shepherd")</f>
        <v>German Shepherd</v>
      </c>
    </row>
    <row r="2163">
      <c r="A2163" s="1" t="str">
        <f t="shared" si="433"/>
        <v>Dog Aggression Training</v>
      </c>
      <c r="B2163" s="1" t="str">
        <f t="shared" si="434"/>
        <v>https://m566.info/61n9a9l</v>
      </c>
      <c r="C2163" s="1" t="str">
        <f>HYPERLINK("https://m566.info/61n9a9l","Border Clollie")</f>
        <v>Border Clollie</v>
      </c>
    </row>
    <row r="2164">
      <c r="A2164" s="1" t="str">
        <f t="shared" si="433"/>
        <v>Dog Aggression Training</v>
      </c>
      <c r="B2164" s="1" t="str">
        <f t="shared" si="434"/>
        <v>https://m566.info/61n9a9l</v>
      </c>
      <c r="C2164" s="1" t="str">
        <f>HYPERLINK("https://m566.info/61n9a9l","Rotwieller")</f>
        <v>Rotwieller</v>
      </c>
    </row>
    <row r="2165">
      <c r="A2165" s="1" t="str">
        <f t="shared" si="433"/>
        <v>Dog Aggression Training</v>
      </c>
      <c r="B2165" s="1" t="str">
        <f t="shared" si="434"/>
        <v>https://m566.info/61n9a9l</v>
      </c>
      <c r="C2165" s="1" t="str">
        <f>HYPERLINK("https://m566.info/61n9a9l","Cross Bred")</f>
        <v>Cross Bred</v>
      </c>
    </row>
    <row r="2166">
      <c r="A2166" s="1" t="str">
        <f t="shared" si="433"/>
        <v>Dog Aggression Training</v>
      </c>
      <c r="B2166" s="1" t="str">
        <f t="shared" si="434"/>
        <v>https://m566.info/61n9a9l</v>
      </c>
      <c r="C2166" s="1" t="str">
        <f>HYPERLINK("https://m566.info/61n9a9l","Rotweiller")</f>
        <v>Rotweiller</v>
      </c>
    </row>
    <row r="2167">
      <c r="A2167" s="1" t="str">
        <f t="shared" ref="A2167:A2172" si="435">HYPERLINK("https://m566.info/61n9a9l","Dog Obedience Training")</f>
        <v>Dog Obedience Training</v>
      </c>
      <c r="B2167" s="1" t="str">
        <f t="shared" si="434"/>
        <v>https://m566.info/61n9a9l</v>
      </c>
      <c r="C2167" s="1" t="str">
        <f>HYPERLINK("https://m566.info/61n9a9l","Doberman")</f>
        <v>Doberman</v>
      </c>
    </row>
    <row r="2168">
      <c r="A2168" s="1" t="str">
        <f t="shared" si="435"/>
        <v>Dog Obedience Training</v>
      </c>
      <c r="B2168" s="1" t="str">
        <f t="shared" si="434"/>
        <v>https://m566.info/61n9a9l</v>
      </c>
      <c r="C2168" s="1" t="str">
        <f>HYPERLINK("https://m566.info/61n9a9l","German Shepherd")</f>
        <v>German Shepherd</v>
      </c>
    </row>
    <row r="2169">
      <c r="A2169" s="1" t="str">
        <f t="shared" si="435"/>
        <v>Dog Obedience Training</v>
      </c>
      <c r="B2169" s="1" t="str">
        <f t="shared" si="434"/>
        <v>https://m566.info/61n9a9l</v>
      </c>
      <c r="C2169" s="1" t="str">
        <f>HYPERLINK("https://m566.info/61n9a9l","Border Clollie")</f>
        <v>Border Clollie</v>
      </c>
    </row>
    <row r="2170">
      <c r="A2170" s="1" t="str">
        <f t="shared" si="435"/>
        <v>Dog Obedience Training</v>
      </c>
      <c r="B2170" s="1" t="str">
        <f t="shared" si="434"/>
        <v>https://m566.info/61n9a9l</v>
      </c>
      <c r="C2170" s="1" t="str">
        <f>HYPERLINK("https://m566.info/61n9a9l","Rotwieller")</f>
        <v>Rotwieller</v>
      </c>
    </row>
    <row r="2171">
      <c r="A2171" s="1" t="str">
        <f t="shared" si="435"/>
        <v>Dog Obedience Training</v>
      </c>
      <c r="B2171" s="1" t="str">
        <f t="shared" si="434"/>
        <v>https://m566.info/61n9a9l</v>
      </c>
      <c r="C2171" s="1" t="str">
        <f>HYPERLINK("https://m566.info/61n9a9l","Cross Bred")</f>
        <v>Cross Bred</v>
      </c>
    </row>
    <row r="2172">
      <c r="A2172" s="1" t="str">
        <f t="shared" si="435"/>
        <v>Dog Obedience Training</v>
      </c>
      <c r="B2172" s="1" t="str">
        <f t="shared" si="434"/>
        <v>https://m566.info/61n9a9l</v>
      </c>
      <c r="C2172" s="1" t="str">
        <f>HYPERLINK("https://m566.info/61n9a9l","Rotweiller")</f>
        <v>Rotweiller</v>
      </c>
    </row>
    <row r="2173">
      <c r="A2173" s="1" t="str">
        <f t="shared" ref="A2173:A2178" si="436">HYPERLINK("https://m566.info/61n9a9l","Dog House Training")</f>
        <v>Dog House Training</v>
      </c>
      <c r="B2173" s="1" t="str">
        <f t="shared" si="434"/>
        <v>https://m566.info/61n9a9l</v>
      </c>
      <c r="C2173" s="1" t="str">
        <f>HYPERLINK("https://m566.info/61n9a9l","Doberman")</f>
        <v>Doberman</v>
      </c>
    </row>
    <row r="2174">
      <c r="A2174" s="1" t="str">
        <f t="shared" si="436"/>
        <v>Dog House Training</v>
      </c>
      <c r="B2174" s="1" t="str">
        <f t="shared" si="434"/>
        <v>https://m566.info/61n9a9l</v>
      </c>
      <c r="C2174" s="1" t="str">
        <f>HYPERLINK("https://m566.info/61n9a9l","German Shepherd")</f>
        <v>German Shepherd</v>
      </c>
    </row>
    <row r="2175">
      <c r="A2175" s="1" t="str">
        <f t="shared" si="436"/>
        <v>Dog House Training</v>
      </c>
      <c r="B2175" s="1" t="str">
        <f t="shared" si="434"/>
        <v>https://m566.info/61n9a9l</v>
      </c>
      <c r="C2175" s="1" t="str">
        <f>HYPERLINK("https://m566.info/61n9a9l","Border Clollie")</f>
        <v>Border Clollie</v>
      </c>
    </row>
    <row r="2176">
      <c r="A2176" s="1" t="str">
        <f t="shared" si="436"/>
        <v>Dog House Training</v>
      </c>
      <c r="B2176" s="1" t="str">
        <f t="shared" si="434"/>
        <v>https://m566.info/61n9a9l</v>
      </c>
      <c r="C2176" s="1" t="str">
        <f>HYPERLINK("https://m566.info/61n9a9l","Rotwieller")</f>
        <v>Rotwieller</v>
      </c>
    </row>
    <row r="2177">
      <c r="A2177" s="1" t="str">
        <f t="shared" si="436"/>
        <v>Dog House Training</v>
      </c>
      <c r="B2177" s="1" t="str">
        <f t="shared" si="434"/>
        <v>https://m566.info/61n9a9l</v>
      </c>
      <c r="C2177" s="1" t="str">
        <f>HYPERLINK("https://m566.info/61n9a9l","Cross Bred")</f>
        <v>Cross Bred</v>
      </c>
    </row>
    <row r="2178">
      <c r="A2178" s="1" t="str">
        <f t="shared" si="436"/>
        <v>Dog House Training</v>
      </c>
      <c r="B2178" s="1" t="str">
        <f t="shared" si="434"/>
        <v>https://m566.info/61n9a9l</v>
      </c>
      <c r="C2178" s="1" t="str">
        <f>HYPERLINK("https://m566.info/61n9a9l","Rotweiller")</f>
        <v>Rotweiller</v>
      </c>
    </row>
    <row r="2179">
      <c r="A2179" s="1" t="str">
        <f t="shared" ref="A2179:A2184" si="437">HYPERLINK("https://m566.info/61n9a9l","Dog Behaviour Training")</f>
        <v>Dog Behaviour Training</v>
      </c>
      <c r="B2179" s="1" t="str">
        <f t="shared" si="434"/>
        <v>https://m566.info/61n9a9l</v>
      </c>
      <c r="C2179" s="1" t="str">
        <f>HYPERLINK("https://m566.info/61n9a9l","Doberman")</f>
        <v>Doberman</v>
      </c>
    </row>
    <row r="2180">
      <c r="A2180" s="1" t="str">
        <f t="shared" si="437"/>
        <v>Dog Behaviour Training</v>
      </c>
      <c r="B2180" s="1" t="str">
        <f t="shared" si="434"/>
        <v>https://m566.info/61n9a9l</v>
      </c>
      <c r="C2180" s="1" t="str">
        <f>HYPERLINK("https://m566.info/61n9a9l","German Shepherd")</f>
        <v>German Shepherd</v>
      </c>
    </row>
    <row r="2181">
      <c r="A2181" s="1" t="str">
        <f t="shared" si="437"/>
        <v>Dog Behaviour Training</v>
      </c>
      <c r="B2181" s="1" t="str">
        <f t="shared" si="434"/>
        <v>https://m566.info/61n9a9l</v>
      </c>
      <c r="C2181" s="1" t="str">
        <f>HYPERLINK("https://m566.info/61n9a9l","Border Clollie")</f>
        <v>Border Clollie</v>
      </c>
    </row>
    <row r="2182">
      <c r="A2182" s="1" t="str">
        <f t="shared" si="437"/>
        <v>Dog Behaviour Training</v>
      </c>
      <c r="B2182" s="1" t="str">
        <f t="shared" si="434"/>
        <v>https://m566.info/61n9a9l</v>
      </c>
      <c r="C2182" s="1" t="str">
        <f>HYPERLINK("https://m566.info/61n9a9l","Rotwieller")</f>
        <v>Rotwieller</v>
      </c>
    </row>
    <row r="2183">
      <c r="A2183" s="1" t="str">
        <f t="shared" si="437"/>
        <v>Dog Behaviour Training</v>
      </c>
      <c r="B2183" s="1" t="str">
        <f t="shared" si="434"/>
        <v>https://m566.info/61n9a9l</v>
      </c>
      <c r="C2183" s="1" t="str">
        <f>HYPERLINK("https://m566.info/61n9a9l","Cross Bred")</f>
        <v>Cross Bred</v>
      </c>
    </row>
    <row r="2184">
      <c r="A2184" s="1" t="str">
        <f t="shared" si="437"/>
        <v>Dog Behaviour Training</v>
      </c>
      <c r="B2184" s="1" t="str">
        <f t="shared" si="434"/>
        <v>https://m566.info/61n9a9l</v>
      </c>
      <c r="C2184" s="1" t="str">
        <f>HYPERLINK("https://m566.info/61n9a9l","Rotweiller")</f>
        <v>Rotweiller</v>
      </c>
    </row>
    <row r="2185">
      <c r="A2185" s="1" t="str">
        <f t="shared" ref="A2185:A2190" si="438">HYPERLINK("https://m566.info/61n9a9l","Dog : Elite Training")</f>
        <v>Dog : Elite Training</v>
      </c>
      <c r="B2185" s="1" t="str">
        <f t="shared" si="434"/>
        <v>https://m566.info/61n9a9l</v>
      </c>
      <c r="C2185" s="1" t="str">
        <f>HYPERLINK("https://m566.info/61n9a9l","Doberman")</f>
        <v>Doberman</v>
      </c>
    </row>
    <row r="2186">
      <c r="A2186" s="1" t="str">
        <f t="shared" si="438"/>
        <v>Dog : Elite Training</v>
      </c>
      <c r="B2186" s="1" t="str">
        <f t="shared" si="434"/>
        <v>https://m566.info/61n9a9l</v>
      </c>
      <c r="C2186" s="1" t="str">
        <f>HYPERLINK("https://m566.info/61n9a9l","German Shepherd")</f>
        <v>German Shepherd</v>
      </c>
    </row>
    <row r="2187">
      <c r="A2187" s="1" t="str">
        <f t="shared" si="438"/>
        <v>Dog : Elite Training</v>
      </c>
      <c r="B2187" s="1" t="str">
        <f t="shared" si="434"/>
        <v>https://m566.info/61n9a9l</v>
      </c>
      <c r="C2187" s="1" t="str">
        <f>HYPERLINK("https://m566.info/61n9a9l","Border Clollie")</f>
        <v>Border Clollie</v>
      </c>
    </row>
    <row r="2188">
      <c r="A2188" s="1" t="str">
        <f t="shared" si="438"/>
        <v>Dog : Elite Training</v>
      </c>
      <c r="B2188" s="1" t="str">
        <f t="shared" si="434"/>
        <v>https://m566.info/61n9a9l</v>
      </c>
      <c r="C2188" s="1" t="str">
        <f>HYPERLINK("https://m566.info/61n9a9l","Rotwieller")</f>
        <v>Rotwieller</v>
      </c>
    </row>
    <row r="2189">
      <c r="A2189" s="1" t="str">
        <f t="shared" si="438"/>
        <v>Dog : Elite Training</v>
      </c>
      <c r="B2189" s="1" t="str">
        <f t="shared" si="434"/>
        <v>https://m566.info/61n9a9l</v>
      </c>
      <c r="C2189" s="1" t="str">
        <f>HYPERLINK("https://m566.info/61n9a9l","Cross Bred")</f>
        <v>Cross Bred</v>
      </c>
    </row>
    <row r="2190">
      <c r="A2190" s="1" t="str">
        <f t="shared" si="438"/>
        <v>Dog : Elite Training</v>
      </c>
      <c r="B2190" s="1" t="str">
        <f t="shared" si="434"/>
        <v>https://m566.info/61n9a9l</v>
      </c>
      <c r="C2190" s="1" t="str">
        <f>HYPERLINK("https://m566.info/61n9a9l","Rotweiller")</f>
        <v>Rotweiller</v>
      </c>
    </row>
    <row r="2191">
      <c r="A2191" s="1" t="str">
        <f t="shared" ref="A2191:A2196" si="439">HYPERLINK("https://m566.info/ry0xmoa","Dog Aggression Training")</f>
        <v>Dog Aggression Training</v>
      </c>
      <c r="B2191" s="1" t="str">
        <f t="shared" ref="B2191:B2220" si="440">HYPERLINK("https://m566.info/ry0xmoa","https://m566.info/ry0xmoa")</f>
        <v>https://m566.info/ry0xmoa</v>
      </c>
      <c r="C2191" s="1" t="str">
        <f>HYPERLINK("https://m566.info/ry0xmoa","Doberman")</f>
        <v>Doberman</v>
      </c>
    </row>
    <row r="2192">
      <c r="A2192" s="1" t="str">
        <f t="shared" si="439"/>
        <v>Dog Aggression Training</v>
      </c>
      <c r="B2192" s="1" t="str">
        <f t="shared" si="440"/>
        <v>https://m566.info/ry0xmoa</v>
      </c>
      <c r="C2192" s="1" t="str">
        <f>HYPERLINK("https://m566.info/ry0xmoa","German Shepherd")</f>
        <v>German Shepherd</v>
      </c>
    </row>
    <row r="2193">
      <c r="A2193" s="1" t="str">
        <f t="shared" si="439"/>
        <v>Dog Aggression Training</v>
      </c>
      <c r="B2193" s="1" t="str">
        <f t="shared" si="440"/>
        <v>https://m566.info/ry0xmoa</v>
      </c>
      <c r="C2193" s="1" t="str">
        <f>HYPERLINK("https://m566.info/ry0xmoa","Border Clollie")</f>
        <v>Border Clollie</v>
      </c>
    </row>
    <row r="2194">
      <c r="A2194" s="1" t="str">
        <f t="shared" si="439"/>
        <v>Dog Aggression Training</v>
      </c>
      <c r="B2194" s="1" t="str">
        <f t="shared" si="440"/>
        <v>https://m566.info/ry0xmoa</v>
      </c>
      <c r="C2194" s="1" t="str">
        <f>HYPERLINK("https://m566.info/ry0xmoa","Rotwieller")</f>
        <v>Rotwieller</v>
      </c>
    </row>
    <row r="2195">
      <c r="A2195" s="1" t="str">
        <f t="shared" si="439"/>
        <v>Dog Aggression Training</v>
      </c>
      <c r="B2195" s="1" t="str">
        <f t="shared" si="440"/>
        <v>https://m566.info/ry0xmoa</v>
      </c>
      <c r="C2195" s="1" t="str">
        <f>HYPERLINK("https://m566.info/ry0xmoa","Cross Bred")</f>
        <v>Cross Bred</v>
      </c>
    </row>
    <row r="2196">
      <c r="A2196" s="1" t="str">
        <f t="shared" si="439"/>
        <v>Dog Aggression Training</v>
      </c>
      <c r="B2196" s="1" t="str">
        <f t="shared" si="440"/>
        <v>https://m566.info/ry0xmoa</v>
      </c>
      <c r="C2196" s="1" t="str">
        <f>HYPERLINK("https://m566.info/ry0xmoa","Rotweiller")</f>
        <v>Rotweiller</v>
      </c>
    </row>
    <row r="2197">
      <c r="A2197" s="1" t="str">
        <f t="shared" ref="A2197:A2202" si="441">HYPERLINK("https://m566.info/ry0xmoa","Dog Obedience Training")</f>
        <v>Dog Obedience Training</v>
      </c>
      <c r="B2197" s="1" t="str">
        <f t="shared" si="440"/>
        <v>https://m566.info/ry0xmoa</v>
      </c>
      <c r="C2197" s="1" t="str">
        <f>HYPERLINK("https://m566.info/ry0xmoa","Doberman")</f>
        <v>Doberman</v>
      </c>
    </row>
    <row r="2198">
      <c r="A2198" s="1" t="str">
        <f t="shared" si="441"/>
        <v>Dog Obedience Training</v>
      </c>
      <c r="B2198" s="1" t="str">
        <f t="shared" si="440"/>
        <v>https://m566.info/ry0xmoa</v>
      </c>
      <c r="C2198" s="1" t="str">
        <f>HYPERLINK("https://m566.info/ry0xmoa","German Shepherd")</f>
        <v>German Shepherd</v>
      </c>
    </row>
    <row r="2199">
      <c r="A2199" s="1" t="str">
        <f t="shared" si="441"/>
        <v>Dog Obedience Training</v>
      </c>
      <c r="B2199" s="1" t="str">
        <f t="shared" si="440"/>
        <v>https://m566.info/ry0xmoa</v>
      </c>
      <c r="C2199" s="1" t="str">
        <f>HYPERLINK("https://m566.info/ry0xmoa","Border Clollie")</f>
        <v>Border Clollie</v>
      </c>
    </row>
    <row r="2200">
      <c r="A2200" s="1" t="str">
        <f t="shared" si="441"/>
        <v>Dog Obedience Training</v>
      </c>
      <c r="B2200" s="1" t="str">
        <f t="shared" si="440"/>
        <v>https://m566.info/ry0xmoa</v>
      </c>
      <c r="C2200" s="1" t="str">
        <f>HYPERLINK("https://m566.info/ry0xmoa","Rotwieller")</f>
        <v>Rotwieller</v>
      </c>
    </row>
    <row r="2201">
      <c r="A2201" s="1" t="str">
        <f t="shared" si="441"/>
        <v>Dog Obedience Training</v>
      </c>
      <c r="B2201" s="1" t="str">
        <f t="shared" si="440"/>
        <v>https://m566.info/ry0xmoa</v>
      </c>
      <c r="C2201" s="1" t="str">
        <f>HYPERLINK("https://m566.info/ry0xmoa","Cross Bred")</f>
        <v>Cross Bred</v>
      </c>
    </row>
    <row r="2202">
      <c r="A2202" s="1" t="str">
        <f t="shared" si="441"/>
        <v>Dog Obedience Training</v>
      </c>
      <c r="B2202" s="1" t="str">
        <f t="shared" si="440"/>
        <v>https://m566.info/ry0xmoa</v>
      </c>
      <c r="C2202" s="1" t="str">
        <f>HYPERLINK("https://m566.info/ry0xmoa","Rotweiller")</f>
        <v>Rotweiller</v>
      </c>
    </row>
    <row r="2203">
      <c r="A2203" s="1" t="str">
        <f t="shared" ref="A2203:A2208" si="442">HYPERLINK("https://m566.info/ry0xmoa","Dog House Training")</f>
        <v>Dog House Training</v>
      </c>
      <c r="B2203" s="1" t="str">
        <f t="shared" si="440"/>
        <v>https://m566.info/ry0xmoa</v>
      </c>
      <c r="C2203" s="1" t="str">
        <f>HYPERLINK("https://m566.info/ry0xmoa","Doberman")</f>
        <v>Doberman</v>
      </c>
    </row>
    <row r="2204">
      <c r="A2204" s="1" t="str">
        <f t="shared" si="442"/>
        <v>Dog House Training</v>
      </c>
      <c r="B2204" s="1" t="str">
        <f t="shared" si="440"/>
        <v>https://m566.info/ry0xmoa</v>
      </c>
      <c r="C2204" s="1" t="str">
        <f>HYPERLINK("https://m566.info/ry0xmoa","German Shepherd")</f>
        <v>German Shepherd</v>
      </c>
    </row>
    <row r="2205">
      <c r="A2205" s="1" t="str">
        <f t="shared" si="442"/>
        <v>Dog House Training</v>
      </c>
      <c r="B2205" s="1" t="str">
        <f t="shared" si="440"/>
        <v>https://m566.info/ry0xmoa</v>
      </c>
      <c r="C2205" s="1" t="str">
        <f>HYPERLINK("https://m566.info/ry0xmoa","Border Clollie")</f>
        <v>Border Clollie</v>
      </c>
    </row>
    <row r="2206">
      <c r="A2206" s="1" t="str">
        <f t="shared" si="442"/>
        <v>Dog House Training</v>
      </c>
      <c r="B2206" s="1" t="str">
        <f t="shared" si="440"/>
        <v>https://m566.info/ry0xmoa</v>
      </c>
      <c r="C2206" s="1" t="str">
        <f>HYPERLINK("https://m566.info/ry0xmoa","Rotwieller")</f>
        <v>Rotwieller</v>
      </c>
    </row>
    <row r="2207">
      <c r="A2207" s="1" t="str">
        <f t="shared" si="442"/>
        <v>Dog House Training</v>
      </c>
      <c r="B2207" s="1" t="str">
        <f t="shared" si="440"/>
        <v>https://m566.info/ry0xmoa</v>
      </c>
      <c r="C2207" s="1" t="str">
        <f>HYPERLINK("https://m566.info/ry0xmoa","Cross Bred")</f>
        <v>Cross Bred</v>
      </c>
    </row>
    <row r="2208">
      <c r="A2208" s="1" t="str">
        <f t="shared" si="442"/>
        <v>Dog House Training</v>
      </c>
      <c r="B2208" s="1" t="str">
        <f t="shared" si="440"/>
        <v>https://m566.info/ry0xmoa</v>
      </c>
      <c r="C2208" s="1" t="str">
        <f>HYPERLINK("https://m566.info/ry0xmoa","Rotweiller")</f>
        <v>Rotweiller</v>
      </c>
    </row>
    <row r="2209">
      <c r="A2209" s="1" t="str">
        <f t="shared" ref="A2209:A2214" si="443">HYPERLINK("https://m566.info/ry0xmoa","Dog Behaviour Training")</f>
        <v>Dog Behaviour Training</v>
      </c>
      <c r="B2209" s="1" t="str">
        <f t="shared" si="440"/>
        <v>https://m566.info/ry0xmoa</v>
      </c>
      <c r="C2209" s="1" t="str">
        <f>HYPERLINK("https://m566.info/ry0xmoa","Doberman")</f>
        <v>Doberman</v>
      </c>
    </row>
    <row r="2210">
      <c r="A2210" s="1" t="str">
        <f t="shared" si="443"/>
        <v>Dog Behaviour Training</v>
      </c>
      <c r="B2210" s="1" t="str">
        <f t="shared" si="440"/>
        <v>https://m566.info/ry0xmoa</v>
      </c>
      <c r="C2210" s="1" t="str">
        <f>HYPERLINK("https://m566.info/ry0xmoa","German Shepherd")</f>
        <v>German Shepherd</v>
      </c>
    </row>
    <row r="2211">
      <c r="A2211" s="1" t="str">
        <f t="shared" si="443"/>
        <v>Dog Behaviour Training</v>
      </c>
      <c r="B2211" s="1" t="str">
        <f t="shared" si="440"/>
        <v>https://m566.info/ry0xmoa</v>
      </c>
      <c r="C2211" s="1" t="str">
        <f>HYPERLINK("https://m566.info/ry0xmoa","Border Clollie")</f>
        <v>Border Clollie</v>
      </c>
    </row>
    <row r="2212">
      <c r="A2212" s="1" t="str">
        <f t="shared" si="443"/>
        <v>Dog Behaviour Training</v>
      </c>
      <c r="B2212" s="1" t="str">
        <f t="shared" si="440"/>
        <v>https://m566.info/ry0xmoa</v>
      </c>
      <c r="C2212" s="1" t="str">
        <f>HYPERLINK("https://m566.info/ry0xmoa","Rotwieller")</f>
        <v>Rotwieller</v>
      </c>
    </row>
    <row r="2213">
      <c r="A2213" s="1" t="str">
        <f t="shared" si="443"/>
        <v>Dog Behaviour Training</v>
      </c>
      <c r="B2213" s="1" t="str">
        <f t="shared" si="440"/>
        <v>https://m566.info/ry0xmoa</v>
      </c>
      <c r="C2213" s="1" t="str">
        <f>HYPERLINK("https://m566.info/ry0xmoa","Cross Bred")</f>
        <v>Cross Bred</v>
      </c>
    </row>
    <row r="2214">
      <c r="A2214" s="1" t="str">
        <f t="shared" si="443"/>
        <v>Dog Behaviour Training</v>
      </c>
      <c r="B2214" s="1" t="str">
        <f t="shared" si="440"/>
        <v>https://m566.info/ry0xmoa</v>
      </c>
      <c r="C2214" s="1" t="str">
        <f>HYPERLINK("https://m566.info/ry0xmoa","Rotweiller")</f>
        <v>Rotweiller</v>
      </c>
    </row>
    <row r="2215">
      <c r="A2215" s="1" t="str">
        <f t="shared" ref="A2215:A2220" si="444">HYPERLINK("https://m566.info/ry0xmoa","Dog : Elite Training")</f>
        <v>Dog : Elite Training</v>
      </c>
      <c r="B2215" s="1" t="str">
        <f t="shared" si="440"/>
        <v>https://m566.info/ry0xmoa</v>
      </c>
      <c r="C2215" s="1" t="str">
        <f>HYPERLINK("https://m566.info/ry0xmoa","Doberman")</f>
        <v>Doberman</v>
      </c>
    </row>
    <row r="2216">
      <c r="A2216" s="1" t="str">
        <f t="shared" si="444"/>
        <v>Dog : Elite Training</v>
      </c>
      <c r="B2216" s="1" t="str">
        <f t="shared" si="440"/>
        <v>https://m566.info/ry0xmoa</v>
      </c>
      <c r="C2216" s="1" t="str">
        <f>HYPERLINK("https://m566.info/ry0xmoa","German Shepherd")</f>
        <v>German Shepherd</v>
      </c>
    </row>
    <row r="2217">
      <c r="A2217" s="1" t="str">
        <f t="shared" si="444"/>
        <v>Dog : Elite Training</v>
      </c>
      <c r="B2217" s="1" t="str">
        <f t="shared" si="440"/>
        <v>https://m566.info/ry0xmoa</v>
      </c>
      <c r="C2217" s="1" t="str">
        <f>HYPERLINK("https://m566.info/ry0xmoa","Border Clollie")</f>
        <v>Border Clollie</v>
      </c>
    </row>
    <row r="2218">
      <c r="A2218" s="1" t="str">
        <f t="shared" si="444"/>
        <v>Dog : Elite Training</v>
      </c>
      <c r="B2218" s="1" t="str">
        <f t="shared" si="440"/>
        <v>https://m566.info/ry0xmoa</v>
      </c>
      <c r="C2218" s="1" t="str">
        <f>HYPERLINK("https://m566.info/ry0xmoa","Rotwieller")</f>
        <v>Rotwieller</v>
      </c>
    </row>
    <row r="2219">
      <c r="A2219" s="1" t="str">
        <f t="shared" si="444"/>
        <v>Dog : Elite Training</v>
      </c>
      <c r="B2219" s="1" t="str">
        <f t="shared" si="440"/>
        <v>https://m566.info/ry0xmoa</v>
      </c>
      <c r="C2219" s="1" t="str">
        <f>HYPERLINK("https://m566.info/ry0xmoa","Cross Bred")</f>
        <v>Cross Bred</v>
      </c>
    </row>
    <row r="2220">
      <c r="A2220" s="1" t="str">
        <f t="shared" si="444"/>
        <v>Dog : Elite Training</v>
      </c>
      <c r="B2220" s="1" t="str">
        <f t="shared" si="440"/>
        <v>https://m566.info/ry0xmoa</v>
      </c>
      <c r="C2220" s="1" t="str">
        <f>HYPERLINK("https://m566.info/ry0xmoa","Rotweiller")</f>
        <v>Rotweiller</v>
      </c>
    </row>
    <row r="2221">
      <c r="A2221" s="1" t="str">
        <f t="shared" ref="A2221:A2226" si="445">HYPERLINK("https://m566.info/lmc7fws","Dog Aggression Training")</f>
        <v>Dog Aggression Training</v>
      </c>
      <c r="B2221" s="1" t="str">
        <f t="shared" ref="B2221:B2250" si="446">HYPERLINK("https://m566.info/lmc7fws","https://m566.info/lmc7fws")</f>
        <v>https://m566.info/lmc7fws</v>
      </c>
      <c r="C2221" s="1" t="str">
        <f>HYPERLINK("https://m566.info/lmc7fws","Doberman")</f>
        <v>Doberman</v>
      </c>
    </row>
    <row r="2222">
      <c r="A2222" s="1" t="str">
        <f t="shared" si="445"/>
        <v>Dog Aggression Training</v>
      </c>
      <c r="B2222" s="1" t="str">
        <f t="shared" si="446"/>
        <v>https://m566.info/lmc7fws</v>
      </c>
      <c r="C2222" s="1" t="str">
        <f>HYPERLINK("https://m566.info/lmc7fws","German Shepherd")</f>
        <v>German Shepherd</v>
      </c>
    </row>
    <row r="2223">
      <c r="A2223" s="1" t="str">
        <f t="shared" si="445"/>
        <v>Dog Aggression Training</v>
      </c>
      <c r="B2223" s="1" t="str">
        <f t="shared" si="446"/>
        <v>https://m566.info/lmc7fws</v>
      </c>
      <c r="C2223" s="1" t="str">
        <f>HYPERLINK("https://m566.info/lmc7fws","Border Clollie")</f>
        <v>Border Clollie</v>
      </c>
    </row>
    <row r="2224">
      <c r="A2224" s="1" t="str">
        <f t="shared" si="445"/>
        <v>Dog Aggression Training</v>
      </c>
      <c r="B2224" s="1" t="str">
        <f t="shared" si="446"/>
        <v>https://m566.info/lmc7fws</v>
      </c>
      <c r="C2224" s="1" t="str">
        <f>HYPERLINK("https://m566.info/lmc7fws","Rotwieller")</f>
        <v>Rotwieller</v>
      </c>
    </row>
    <row r="2225">
      <c r="A2225" s="1" t="str">
        <f t="shared" si="445"/>
        <v>Dog Aggression Training</v>
      </c>
      <c r="B2225" s="1" t="str">
        <f t="shared" si="446"/>
        <v>https://m566.info/lmc7fws</v>
      </c>
      <c r="C2225" s="1" t="str">
        <f>HYPERLINK("https://m566.info/lmc7fws","Cross Bred")</f>
        <v>Cross Bred</v>
      </c>
    </row>
    <row r="2226">
      <c r="A2226" s="1" t="str">
        <f t="shared" si="445"/>
        <v>Dog Aggression Training</v>
      </c>
      <c r="B2226" s="1" t="str">
        <f t="shared" si="446"/>
        <v>https://m566.info/lmc7fws</v>
      </c>
      <c r="C2226" s="1" t="str">
        <f>HYPERLINK("https://m566.info/lmc7fws","Rotweiller")</f>
        <v>Rotweiller</v>
      </c>
    </row>
    <row r="2227">
      <c r="A2227" s="1" t="str">
        <f t="shared" ref="A2227:A2232" si="447">HYPERLINK("https://m566.info/lmc7fws","Dog Obedience Training")</f>
        <v>Dog Obedience Training</v>
      </c>
      <c r="B2227" s="1" t="str">
        <f t="shared" si="446"/>
        <v>https://m566.info/lmc7fws</v>
      </c>
      <c r="C2227" s="1" t="str">
        <f>HYPERLINK("https://m566.info/lmc7fws","Doberman")</f>
        <v>Doberman</v>
      </c>
    </row>
    <row r="2228">
      <c r="A2228" s="1" t="str">
        <f t="shared" si="447"/>
        <v>Dog Obedience Training</v>
      </c>
      <c r="B2228" s="1" t="str">
        <f t="shared" si="446"/>
        <v>https://m566.info/lmc7fws</v>
      </c>
      <c r="C2228" s="1" t="str">
        <f>HYPERLINK("https://m566.info/lmc7fws","German Shepherd")</f>
        <v>German Shepherd</v>
      </c>
    </row>
    <row r="2229">
      <c r="A2229" s="1" t="str">
        <f t="shared" si="447"/>
        <v>Dog Obedience Training</v>
      </c>
      <c r="B2229" s="1" t="str">
        <f t="shared" si="446"/>
        <v>https://m566.info/lmc7fws</v>
      </c>
      <c r="C2229" s="1" t="str">
        <f>HYPERLINK("https://m566.info/lmc7fws","Border Clollie")</f>
        <v>Border Clollie</v>
      </c>
    </row>
    <row r="2230">
      <c r="A2230" s="1" t="str">
        <f t="shared" si="447"/>
        <v>Dog Obedience Training</v>
      </c>
      <c r="B2230" s="1" t="str">
        <f t="shared" si="446"/>
        <v>https://m566.info/lmc7fws</v>
      </c>
      <c r="C2230" s="1" t="str">
        <f>HYPERLINK("https://m566.info/lmc7fws","Rotwieller")</f>
        <v>Rotwieller</v>
      </c>
    </row>
    <row r="2231">
      <c r="A2231" s="1" t="str">
        <f t="shared" si="447"/>
        <v>Dog Obedience Training</v>
      </c>
      <c r="B2231" s="1" t="str">
        <f t="shared" si="446"/>
        <v>https://m566.info/lmc7fws</v>
      </c>
      <c r="C2231" s="1" t="str">
        <f>HYPERLINK("https://m566.info/lmc7fws","Cross Bred")</f>
        <v>Cross Bred</v>
      </c>
    </row>
    <row r="2232">
      <c r="A2232" s="1" t="str">
        <f t="shared" si="447"/>
        <v>Dog Obedience Training</v>
      </c>
      <c r="B2232" s="1" t="str">
        <f t="shared" si="446"/>
        <v>https://m566.info/lmc7fws</v>
      </c>
      <c r="C2232" s="1" t="str">
        <f>HYPERLINK("https://m566.info/lmc7fws","Rotweiller")</f>
        <v>Rotweiller</v>
      </c>
    </row>
    <row r="2233">
      <c r="A2233" s="1" t="str">
        <f t="shared" ref="A2233:A2238" si="448">HYPERLINK("https://m566.info/lmc7fws","Dog House Training")</f>
        <v>Dog House Training</v>
      </c>
      <c r="B2233" s="1" t="str">
        <f t="shared" si="446"/>
        <v>https://m566.info/lmc7fws</v>
      </c>
      <c r="C2233" s="1" t="str">
        <f>HYPERLINK("https://m566.info/lmc7fws","Doberman")</f>
        <v>Doberman</v>
      </c>
    </row>
    <row r="2234">
      <c r="A2234" s="1" t="str">
        <f t="shared" si="448"/>
        <v>Dog House Training</v>
      </c>
      <c r="B2234" s="1" t="str">
        <f t="shared" si="446"/>
        <v>https://m566.info/lmc7fws</v>
      </c>
      <c r="C2234" s="1" t="str">
        <f>HYPERLINK("https://m566.info/lmc7fws","German Shepherd")</f>
        <v>German Shepherd</v>
      </c>
    </row>
    <row r="2235">
      <c r="A2235" s="1" t="str">
        <f t="shared" si="448"/>
        <v>Dog House Training</v>
      </c>
      <c r="B2235" s="1" t="str">
        <f t="shared" si="446"/>
        <v>https://m566.info/lmc7fws</v>
      </c>
      <c r="C2235" s="1" t="str">
        <f>HYPERLINK("https://m566.info/lmc7fws","Border Clollie")</f>
        <v>Border Clollie</v>
      </c>
    </row>
    <row r="2236">
      <c r="A2236" s="1" t="str">
        <f t="shared" si="448"/>
        <v>Dog House Training</v>
      </c>
      <c r="B2236" s="1" t="str">
        <f t="shared" si="446"/>
        <v>https://m566.info/lmc7fws</v>
      </c>
      <c r="C2236" s="1" t="str">
        <f>HYPERLINK("https://m566.info/lmc7fws","Rotwieller")</f>
        <v>Rotwieller</v>
      </c>
    </row>
    <row r="2237">
      <c r="A2237" s="1" t="str">
        <f t="shared" si="448"/>
        <v>Dog House Training</v>
      </c>
      <c r="B2237" s="1" t="str">
        <f t="shared" si="446"/>
        <v>https://m566.info/lmc7fws</v>
      </c>
      <c r="C2237" s="1" t="str">
        <f>HYPERLINK("https://m566.info/lmc7fws","Cross Bred")</f>
        <v>Cross Bred</v>
      </c>
    </row>
    <row r="2238">
      <c r="A2238" s="1" t="str">
        <f t="shared" si="448"/>
        <v>Dog House Training</v>
      </c>
      <c r="B2238" s="1" t="str">
        <f t="shared" si="446"/>
        <v>https://m566.info/lmc7fws</v>
      </c>
      <c r="C2238" s="1" t="str">
        <f>HYPERLINK("https://m566.info/lmc7fws","Rotweiller")</f>
        <v>Rotweiller</v>
      </c>
    </row>
    <row r="2239">
      <c r="A2239" s="1" t="str">
        <f t="shared" ref="A2239:A2244" si="449">HYPERLINK("https://m566.info/lmc7fws","Dog Behaviour Training")</f>
        <v>Dog Behaviour Training</v>
      </c>
      <c r="B2239" s="1" t="str">
        <f t="shared" si="446"/>
        <v>https://m566.info/lmc7fws</v>
      </c>
      <c r="C2239" s="1" t="str">
        <f>HYPERLINK("https://m566.info/lmc7fws","Doberman")</f>
        <v>Doberman</v>
      </c>
    </row>
    <row r="2240">
      <c r="A2240" s="1" t="str">
        <f t="shared" si="449"/>
        <v>Dog Behaviour Training</v>
      </c>
      <c r="B2240" s="1" t="str">
        <f t="shared" si="446"/>
        <v>https://m566.info/lmc7fws</v>
      </c>
      <c r="C2240" s="1" t="str">
        <f>HYPERLINK("https://m566.info/lmc7fws","German Shepherd")</f>
        <v>German Shepherd</v>
      </c>
    </row>
    <row r="2241">
      <c r="A2241" s="1" t="str">
        <f t="shared" si="449"/>
        <v>Dog Behaviour Training</v>
      </c>
      <c r="B2241" s="1" t="str">
        <f t="shared" si="446"/>
        <v>https://m566.info/lmc7fws</v>
      </c>
      <c r="C2241" s="1" t="str">
        <f>HYPERLINK("https://m566.info/lmc7fws","Border Clollie")</f>
        <v>Border Clollie</v>
      </c>
    </row>
    <row r="2242">
      <c r="A2242" s="1" t="str">
        <f t="shared" si="449"/>
        <v>Dog Behaviour Training</v>
      </c>
      <c r="B2242" s="1" t="str">
        <f t="shared" si="446"/>
        <v>https://m566.info/lmc7fws</v>
      </c>
      <c r="C2242" s="1" t="str">
        <f>HYPERLINK("https://m566.info/lmc7fws","Rotwieller")</f>
        <v>Rotwieller</v>
      </c>
    </row>
    <row r="2243">
      <c r="A2243" s="1" t="str">
        <f t="shared" si="449"/>
        <v>Dog Behaviour Training</v>
      </c>
      <c r="B2243" s="1" t="str">
        <f t="shared" si="446"/>
        <v>https://m566.info/lmc7fws</v>
      </c>
      <c r="C2243" s="1" t="str">
        <f>HYPERLINK("https://m566.info/lmc7fws","Cross Bred")</f>
        <v>Cross Bred</v>
      </c>
    </row>
    <row r="2244">
      <c r="A2244" s="1" t="str">
        <f t="shared" si="449"/>
        <v>Dog Behaviour Training</v>
      </c>
      <c r="B2244" s="1" t="str">
        <f t="shared" si="446"/>
        <v>https://m566.info/lmc7fws</v>
      </c>
      <c r="C2244" s="1" t="str">
        <f>HYPERLINK("https://m566.info/lmc7fws","Rotweiller")</f>
        <v>Rotweiller</v>
      </c>
    </row>
    <row r="2245">
      <c r="A2245" s="1" t="str">
        <f t="shared" ref="A2245:A2250" si="450">HYPERLINK("https://m566.info/lmc7fws","Dog : Elite Training")</f>
        <v>Dog : Elite Training</v>
      </c>
      <c r="B2245" s="1" t="str">
        <f t="shared" si="446"/>
        <v>https://m566.info/lmc7fws</v>
      </c>
      <c r="C2245" s="1" t="str">
        <f>HYPERLINK("https://m566.info/lmc7fws","Doberman")</f>
        <v>Doberman</v>
      </c>
    </row>
    <row r="2246">
      <c r="A2246" s="1" t="str">
        <f t="shared" si="450"/>
        <v>Dog : Elite Training</v>
      </c>
      <c r="B2246" s="1" t="str">
        <f t="shared" si="446"/>
        <v>https://m566.info/lmc7fws</v>
      </c>
      <c r="C2246" s="1" t="str">
        <f>HYPERLINK("https://m566.info/lmc7fws","German Shepherd")</f>
        <v>German Shepherd</v>
      </c>
    </row>
    <row r="2247">
      <c r="A2247" s="1" t="str">
        <f t="shared" si="450"/>
        <v>Dog : Elite Training</v>
      </c>
      <c r="B2247" s="1" t="str">
        <f t="shared" si="446"/>
        <v>https://m566.info/lmc7fws</v>
      </c>
      <c r="C2247" s="1" t="str">
        <f>HYPERLINK("https://m566.info/lmc7fws","Border Clollie")</f>
        <v>Border Clollie</v>
      </c>
    </row>
    <row r="2248">
      <c r="A2248" s="1" t="str">
        <f t="shared" si="450"/>
        <v>Dog : Elite Training</v>
      </c>
      <c r="B2248" s="1" t="str">
        <f t="shared" si="446"/>
        <v>https://m566.info/lmc7fws</v>
      </c>
      <c r="C2248" s="1" t="str">
        <f>HYPERLINK("https://m566.info/lmc7fws","Rotwieller")</f>
        <v>Rotwieller</v>
      </c>
    </row>
    <row r="2249">
      <c r="A2249" s="1" t="str">
        <f t="shared" si="450"/>
        <v>Dog : Elite Training</v>
      </c>
      <c r="B2249" s="1" t="str">
        <f t="shared" si="446"/>
        <v>https://m566.info/lmc7fws</v>
      </c>
      <c r="C2249" s="1" t="str">
        <f>HYPERLINK("https://m566.info/lmc7fws","Cross Bred")</f>
        <v>Cross Bred</v>
      </c>
    </row>
    <row r="2250">
      <c r="A2250" s="1" t="str">
        <f t="shared" si="450"/>
        <v>Dog : Elite Training</v>
      </c>
      <c r="B2250" s="1" t="str">
        <f t="shared" si="446"/>
        <v>https://m566.info/lmc7fws</v>
      </c>
      <c r="C2250" s="1" t="str">
        <f>HYPERLINK("https://m566.info/lmc7fws","Rotweiller")</f>
        <v>Rotweiller</v>
      </c>
    </row>
    <row r="2251">
      <c r="A2251" s="1" t="str">
        <f t="shared" ref="A2251:A2256" si="451">HYPERLINK("https://m566.info/jf6havs","Dog Aggression Training")</f>
        <v>Dog Aggression Training</v>
      </c>
      <c r="B2251" s="1" t="str">
        <f t="shared" ref="B2251:B2280" si="452">HYPERLINK("https://m566.info/jf6havs","https://m566.info/jf6havs")</f>
        <v>https://m566.info/jf6havs</v>
      </c>
      <c r="C2251" s="1" t="str">
        <f>HYPERLINK("https://m566.info/jf6havs","Doberman")</f>
        <v>Doberman</v>
      </c>
    </row>
    <row r="2252">
      <c r="A2252" s="1" t="str">
        <f t="shared" si="451"/>
        <v>Dog Aggression Training</v>
      </c>
      <c r="B2252" s="1" t="str">
        <f t="shared" si="452"/>
        <v>https://m566.info/jf6havs</v>
      </c>
      <c r="C2252" s="1" t="str">
        <f>HYPERLINK("https://m566.info/jf6havs","German Shepherd")</f>
        <v>German Shepherd</v>
      </c>
    </row>
    <row r="2253">
      <c r="A2253" s="1" t="str">
        <f t="shared" si="451"/>
        <v>Dog Aggression Training</v>
      </c>
      <c r="B2253" s="1" t="str">
        <f t="shared" si="452"/>
        <v>https://m566.info/jf6havs</v>
      </c>
      <c r="C2253" s="1" t="str">
        <f>HYPERLINK("https://m566.info/jf6havs","Border Clollie")</f>
        <v>Border Clollie</v>
      </c>
    </row>
    <row r="2254">
      <c r="A2254" s="1" t="str">
        <f t="shared" si="451"/>
        <v>Dog Aggression Training</v>
      </c>
      <c r="B2254" s="1" t="str">
        <f t="shared" si="452"/>
        <v>https://m566.info/jf6havs</v>
      </c>
      <c r="C2254" s="1" t="str">
        <f>HYPERLINK("https://m566.info/jf6havs","Rotwieller")</f>
        <v>Rotwieller</v>
      </c>
    </row>
    <row r="2255">
      <c r="A2255" s="1" t="str">
        <f t="shared" si="451"/>
        <v>Dog Aggression Training</v>
      </c>
      <c r="B2255" s="1" t="str">
        <f t="shared" si="452"/>
        <v>https://m566.info/jf6havs</v>
      </c>
      <c r="C2255" s="1" t="str">
        <f>HYPERLINK("https://m566.info/jf6havs","Cross Bred")</f>
        <v>Cross Bred</v>
      </c>
    </row>
    <row r="2256">
      <c r="A2256" s="1" t="str">
        <f t="shared" si="451"/>
        <v>Dog Aggression Training</v>
      </c>
      <c r="B2256" s="1" t="str">
        <f t="shared" si="452"/>
        <v>https://m566.info/jf6havs</v>
      </c>
      <c r="C2256" s="1" t="str">
        <f>HYPERLINK("https://m566.info/jf6havs","Rotweiller")</f>
        <v>Rotweiller</v>
      </c>
    </row>
    <row r="2257">
      <c r="A2257" s="1" t="str">
        <f t="shared" ref="A2257:A2262" si="453">HYPERLINK("https://m566.info/jf6havs","Dog Obedience Training")</f>
        <v>Dog Obedience Training</v>
      </c>
      <c r="B2257" s="1" t="str">
        <f t="shared" si="452"/>
        <v>https://m566.info/jf6havs</v>
      </c>
      <c r="C2257" s="1" t="str">
        <f>HYPERLINK("https://m566.info/jf6havs","Doberman")</f>
        <v>Doberman</v>
      </c>
    </row>
    <row r="2258">
      <c r="A2258" s="1" t="str">
        <f t="shared" si="453"/>
        <v>Dog Obedience Training</v>
      </c>
      <c r="B2258" s="1" t="str">
        <f t="shared" si="452"/>
        <v>https://m566.info/jf6havs</v>
      </c>
      <c r="C2258" s="1" t="str">
        <f>HYPERLINK("https://m566.info/jf6havs","German Shepherd")</f>
        <v>German Shepherd</v>
      </c>
    </row>
    <row r="2259">
      <c r="A2259" s="1" t="str">
        <f t="shared" si="453"/>
        <v>Dog Obedience Training</v>
      </c>
      <c r="B2259" s="1" t="str">
        <f t="shared" si="452"/>
        <v>https://m566.info/jf6havs</v>
      </c>
      <c r="C2259" s="1" t="str">
        <f>HYPERLINK("https://m566.info/jf6havs","Border Clollie")</f>
        <v>Border Clollie</v>
      </c>
    </row>
    <row r="2260">
      <c r="A2260" s="1" t="str">
        <f t="shared" si="453"/>
        <v>Dog Obedience Training</v>
      </c>
      <c r="B2260" s="1" t="str">
        <f t="shared" si="452"/>
        <v>https://m566.info/jf6havs</v>
      </c>
      <c r="C2260" s="1" t="str">
        <f>HYPERLINK("https://m566.info/jf6havs","Rotwieller")</f>
        <v>Rotwieller</v>
      </c>
    </row>
    <row r="2261">
      <c r="A2261" s="1" t="str">
        <f t="shared" si="453"/>
        <v>Dog Obedience Training</v>
      </c>
      <c r="B2261" s="1" t="str">
        <f t="shared" si="452"/>
        <v>https://m566.info/jf6havs</v>
      </c>
      <c r="C2261" s="1" t="str">
        <f>HYPERLINK("https://m566.info/jf6havs","Cross Bred")</f>
        <v>Cross Bred</v>
      </c>
    </row>
    <row r="2262">
      <c r="A2262" s="1" t="str">
        <f t="shared" si="453"/>
        <v>Dog Obedience Training</v>
      </c>
      <c r="B2262" s="1" t="str">
        <f t="shared" si="452"/>
        <v>https://m566.info/jf6havs</v>
      </c>
      <c r="C2262" s="1" t="str">
        <f>HYPERLINK("https://m566.info/jf6havs","Rotweiller")</f>
        <v>Rotweiller</v>
      </c>
    </row>
    <row r="2263">
      <c r="A2263" s="1" t="str">
        <f t="shared" ref="A2263:A2268" si="454">HYPERLINK("https://m566.info/jf6havs","Dog House Training")</f>
        <v>Dog House Training</v>
      </c>
      <c r="B2263" s="1" t="str">
        <f t="shared" si="452"/>
        <v>https://m566.info/jf6havs</v>
      </c>
      <c r="C2263" s="1" t="str">
        <f>HYPERLINK("https://m566.info/jf6havs","Doberman")</f>
        <v>Doberman</v>
      </c>
    </row>
    <row r="2264">
      <c r="A2264" s="1" t="str">
        <f t="shared" si="454"/>
        <v>Dog House Training</v>
      </c>
      <c r="B2264" s="1" t="str">
        <f t="shared" si="452"/>
        <v>https://m566.info/jf6havs</v>
      </c>
      <c r="C2264" s="1" t="str">
        <f>HYPERLINK("https://m566.info/jf6havs","German Shepherd")</f>
        <v>German Shepherd</v>
      </c>
    </row>
    <row r="2265">
      <c r="A2265" s="1" t="str">
        <f t="shared" si="454"/>
        <v>Dog House Training</v>
      </c>
      <c r="B2265" s="1" t="str">
        <f t="shared" si="452"/>
        <v>https://m566.info/jf6havs</v>
      </c>
      <c r="C2265" s="1" t="str">
        <f>HYPERLINK("https://m566.info/jf6havs","Border Clollie")</f>
        <v>Border Clollie</v>
      </c>
    </row>
    <row r="2266">
      <c r="A2266" s="1" t="str">
        <f t="shared" si="454"/>
        <v>Dog House Training</v>
      </c>
      <c r="B2266" s="1" t="str">
        <f t="shared" si="452"/>
        <v>https://m566.info/jf6havs</v>
      </c>
      <c r="C2266" s="1" t="str">
        <f>HYPERLINK("https://m566.info/jf6havs","Rotwieller")</f>
        <v>Rotwieller</v>
      </c>
    </row>
    <row r="2267">
      <c r="A2267" s="1" t="str">
        <f t="shared" si="454"/>
        <v>Dog House Training</v>
      </c>
      <c r="B2267" s="1" t="str">
        <f t="shared" si="452"/>
        <v>https://m566.info/jf6havs</v>
      </c>
      <c r="C2267" s="1" t="str">
        <f>HYPERLINK("https://m566.info/jf6havs","Cross Bred")</f>
        <v>Cross Bred</v>
      </c>
    </row>
    <row r="2268">
      <c r="A2268" s="1" t="str">
        <f t="shared" si="454"/>
        <v>Dog House Training</v>
      </c>
      <c r="B2268" s="1" t="str">
        <f t="shared" si="452"/>
        <v>https://m566.info/jf6havs</v>
      </c>
      <c r="C2268" s="1" t="str">
        <f>HYPERLINK("https://m566.info/jf6havs","Rotweiller")</f>
        <v>Rotweiller</v>
      </c>
    </row>
    <row r="2269">
      <c r="A2269" s="1" t="str">
        <f t="shared" ref="A2269:A2274" si="455">HYPERLINK("https://m566.info/jf6havs","Dog Behaviour Training")</f>
        <v>Dog Behaviour Training</v>
      </c>
      <c r="B2269" s="1" t="str">
        <f t="shared" si="452"/>
        <v>https://m566.info/jf6havs</v>
      </c>
      <c r="C2269" s="1" t="str">
        <f>HYPERLINK("https://m566.info/jf6havs","Doberman")</f>
        <v>Doberman</v>
      </c>
    </row>
    <row r="2270">
      <c r="A2270" s="1" t="str">
        <f t="shared" si="455"/>
        <v>Dog Behaviour Training</v>
      </c>
      <c r="B2270" s="1" t="str">
        <f t="shared" si="452"/>
        <v>https://m566.info/jf6havs</v>
      </c>
      <c r="C2270" s="1" t="str">
        <f>HYPERLINK("https://m566.info/jf6havs","German Shepherd")</f>
        <v>German Shepherd</v>
      </c>
    </row>
    <row r="2271">
      <c r="A2271" s="1" t="str">
        <f t="shared" si="455"/>
        <v>Dog Behaviour Training</v>
      </c>
      <c r="B2271" s="1" t="str">
        <f t="shared" si="452"/>
        <v>https://m566.info/jf6havs</v>
      </c>
      <c r="C2271" s="1" t="str">
        <f>HYPERLINK("https://m566.info/jf6havs","Border Clollie")</f>
        <v>Border Clollie</v>
      </c>
    </row>
    <row r="2272">
      <c r="A2272" s="1" t="str">
        <f t="shared" si="455"/>
        <v>Dog Behaviour Training</v>
      </c>
      <c r="B2272" s="1" t="str">
        <f t="shared" si="452"/>
        <v>https://m566.info/jf6havs</v>
      </c>
      <c r="C2272" s="1" t="str">
        <f>HYPERLINK("https://m566.info/jf6havs","Rotwieller")</f>
        <v>Rotwieller</v>
      </c>
    </row>
    <row r="2273">
      <c r="A2273" s="1" t="str">
        <f t="shared" si="455"/>
        <v>Dog Behaviour Training</v>
      </c>
      <c r="B2273" s="1" t="str">
        <f t="shared" si="452"/>
        <v>https://m566.info/jf6havs</v>
      </c>
      <c r="C2273" s="1" t="str">
        <f>HYPERLINK("https://m566.info/jf6havs","Cross Bred")</f>
        <v>Cross Bred</v>
      </c>
    </row>
    <row r="2274">
      <c r="A2274" s="1" t="str">
        <f t="shared" si="455"/>
        <v>Dog Behaviour Training</v>
      </c>
      <c r="B2274" s="1" t="str">
        <f t="shared" si="452"/>
        <v>https://m566.info/jf6havs</v>
      </c>
      <c r="C2274" s="1" t="str">
        <f>HYPERLINK("https://m566.info/jf6havs","Rotweiller")</f>
        <v>Rotweiller</v>
      </c>
    </row>
    <row r="2275">
      <c r="A2275" s="1" t="str">
        <f t="shared" ref="A2275:A2280" si="456">HYPERLINK("https://m566.info/jf6havs","Dog : Elite Training")</f>
        <v>Dog : Elite Training</v>
      </c>
      <c r="B2275" s="1" t="str">
        <f t="shared" si="452"/>
        <v>https://m566.info/jf6havs</v>
      </c>
      <c r="C2275" s="1" t="str">
        <f>HYPERLINK("https://m566.info/jf6havs","Doberman")</f>
        <v>Doberman</v>
      </c>
    </row>
    <row r="2276">
      <c r="A2276" s="1" t="str">
        <f t="shared" si="456"/>
        <v>Dog : Elite Training</v>
      </c>
      <c r="B2276" s="1" t="str">
        <f t="shared" si="452"/>
        <v>https://m566.info/jf6havs</v>
      </c>
      <c r="C2276" s="1" t="str">
        <f>HYPERLINK("https://m566.info/jf6havs","German Shepherd")</f>
        <v>German Shepherd</v>
      </c>
    </row>
    <row r="2277">
      <c r="A2277" s="1" t="str">
        <f t="shared" si="456"/>
        <v>Dog : Elite Training</v>
      </c>
      <c r="B2277" s="1" t="str">
        <f t="shared" si="452"/>
        <v>https://m566.info/jf6havs</v>
      </c>
      <c r="C2277" s="1" t="str">
        <f>HYPERLINK("https://m566.info/jf6havs","Border Clollie")</f>
        <v>Border Clollie</v>
      </c>
    </row>
    <row r="2278">
      <c r="A2278" s="1" t="str">
        <f t="shared" si="456"/>
        <v>Dog : Elite Training</v>
      </c>
      <c r="B2278" s="1" t="str">
        <f t="shared" si="452"/>
        <v>https://m566.info/jf6havs</v>
      </c>
      <c r="C2278" s="1" t="str">
        <f>HYPERLINK("https://m566.info/jf6havs","Rotwieller")</f>
        <v>Rotwieller</v>
      </c>
    </row>
    <row r="2279">
      <c r="A2279" s="1" t="str">
        <f t="shared" si="456"/>
        <v>Dog : Elite Training</v>
      </c>
      <c r="B2279" s="1" t="str">
        <f t="shared" si="452"/>
        <v>https://m566.info/jf6havs</v>
      </c>
      <c r="C2279" s="1" t="str">
        <f>HYPERLINK("https://m566.info/jf6havs","Cross Bred")</f>
        <v>Cross Bred</v>
      </c>
    </row>
    <row r="2280">
      <c r="A2280" s="1" t="str">
        <f t="shared" si="456"/>
        <v>Dog : Elite Training</v>
      </c>
      <c r="B2280" s="1" t="str">
        <f t="shared" si="452"/>
        <v>https://m566.info/jf6havs</v>
      </c>
      <c r="C2280" s="1" t="str">
        <f>HYPERLINK("https://m566.info/jf6havs","Rotweiller")</f>
        <v>Rotweiller</v>
      </c>
    </row>
    <row r="2281">
      <c r="A2281" s="1" t="str">
        <f t="shared" ref="A2281:A2286" si="457">HYPERLINK("https://m566.info/r1danmy","Dog Aggression Training")</f>
        <v>Dog Aggression Training</v>
      </c>
      <c r="B2281" s="1" t="str">
        <f t="shared" ref="B2281:B2310" si="458">HYPERLINK("https://m566.info/r1danmy","https://m566.info/r1danmy")</f>
        <v>https://m566.info/r1danmy</v>
      </c>
      <c r="C2281" s="1" t="str">
        <f>HYPERLINK("https://m566.info/r1danmy","Doberman")</f>
        <v>Doberman</v>
      </c>
    </row>
    <row r="2282">
      <c r="A2282" s="1" t="str">
        <f t="shared" si="457"/>
        <v>Dog Aggression Training</v>
      </c>
      <c r="B2282" s="1" t="str">
        <f t="shared" si="458"/>
        <v>https://m566.info/r1danmy</v>
      </c>
      <c r="C2282" s="1" t="str">
        <f>HYPERLINK("https://m566.info/r1danmy","German Shepherd")</f>
        <v>German Shepherd</v>
      </c>
    </row>
    <row r="2283">
      <c r="A2283" s="1" t="str">
        <f t="shared" si="457"/>
        <v>Dog Aggression Training</v>
      </c>
      <c r="B2283" s="1" t="str">
        <f t="shared" si="458"/>
        <v>https://m566.info/r1danmy</v>
      </c>
      <c r="C2283" s="1" t="str">
        <f>HYPERLINK("https://m566.info/r1danmy","Border Clollie")</f>
        <v>Border Clollie</v>
      </c>
    </row>
    <row r="2284">
      <c r="A2284" s="1" t="str">
        <f t="shared" si="457"/>
        <v>Dog Aggression Training</v>
      </c>
      <c r="B2284" s="1" t="str">
        <f t="shared" si="458"/>
        <v>https://m566.info/r1danmy</v>
      </c>
      <c r="C2284" s="1" t="str">
        <f>HYPERLINK("https://m566.info/r1danmy","Rotwieller")</f>
        <v>Rotwieller</v>
      </c>
    </row>
    <row r="2285">
      <c r="A2285" s="1" t="str">
        <f t="shared" si="457"/>
        <v>Dog Aggression Training</v>
      </c>
      <c r="B2285" s="1" t="str">
        <f t="shared" si="458"/>
        <v>https://m566.info/r1danmy</v>
      </c>
      <c r="C2285" s="1" t="str">
        <f>HYPERLINK("https://m566.info/r1danmy","Cross Bred")</f>
        <v>Cross Bred</v>
      </c>
    </row>
    <row r="2286">
      <c r="A2286" s="1" t="str">
        <f t="shared" si="457"/>
        <v>Dog Aggression Training</v>
      </c>
      <c r="B2286" s="1" t="str">
        <f t="shared" si="458"/>
        <v>https://m566.info/r1danmy</v>
      </c>
      <c r="C2286" s="1" t="str">
        <f>HYPERLINK("https://m566.info/r1danmy","Rotweiller")</f>
        <v>Rotweiller</v>
      </c>
    </row>
    <row r="2287">
      <c r="A2287" s="1" t="str">
        <f t="shared" ref="A2287:A2292" si="459">HYPERLINK("https://m566.info/r1danmy","Dog Obedience Training")</f>
        <v>Dog Obedience Training</v>
      </c>
      <c r="B2287" s="1" t="str">
        <f t="shared" si="458"/>
        <v>https://m566.info/r1danmy</v>
      </c>
      <c r="C2287" s="1" t="str">
        <f>HYPERLINK("https://m566.info/r1danmy","Doberman")</f>
        <v>Doberman</v>
      </c>
    </row>
    <row r="2288">
      <c r="A2288" s="1" t="str">
        <f t="shared" si="459"/>
        <v>Dog Obedience Training</v>
      </c>
      <c r="B2288" s="1" t="str">
        <f t="shared" si="458"/>
        <v>https://m566.info/r1danmy</v>
      </c>
      <c r="C2288" s="1" t="str">
        <f>HYPERLINK("https://m566.info/r1danmy","German Shepherd")</f>
        <v>German Shepherd</v>
      </c>
    </row>
    <row r="2289">
      <c r="A2289" s="1" t="str">
        <f t="shared" si="459"/>
        <v>Dog Obedience Training</v>
      </c>
      <c r="B2289" s="1" t="str">
        <f t="shared" si="458"/>
        <v>https://m566.info/r1danmy</v>
      </c>
      <c r="C2289" s="1" t="str">
        <f>HYPERLINK("https://m566.info/r1danmy","Border Clollie")</f>
        <v>Border Clollie</v>
      </c>
    </row>
    <row r="2290">
      <c r="A2290" s="1" t="str">
        <f t="shared" si="459"/>
        <v>Dog Obedience Training</v>
      </c>
      <c r="B2290" s="1" t="str">
        <f t="shared" si="458"/>
        <v>https://m566.info/r1danmy</v>
      </c>
      <c r="C2290" s="1" t="str">
        <f>HYPERLINK("https://m566.info/r1danmy","Rotwieller")</f>
        <v>Rotwieller</v>
      </c>
    </row>
    <row r="2291">
      <c r="A2291" s="1" t="str">
        <f t="shared" si="459"/>
        <v>Dog Obedience Training</v>
      </c>
      <c r="B2291" s="1" t="str">
        <f t="shared" si="458"/>
        <v>https://m566.info/r1danmy</v>
      </c>
      <c r="C2291" s="1" t="str">
        <f>HYPERLINK("https://m566.info/r1danmy","Cross Bred")</f>
        <v>Cross Bred</v>
      </c>
    </row>
    <row r="2292">
      <c r="A2292" s="1" t="str">
        <f t="shared" si="459"/>
        <v>Dog Obedience Training</v>
      </c>
      <c r="B2292" s="1" t="str">
        <f t="shared" si="458"/>
        <v>https://m566.info/r1danmy</v>
      </c>
      <c r="C2292" s="1" t="str">
        <f>HYPERLINK("https://m566.info/r1danmy","Rotweiller")</f>
        <v>Rotweiller</v>
      </c>
    </row>
    <row r="2293">
      <c r="A2293" s="1" t="str">
        <f t="shared" ref="A2293:A2298" si="460">HYPERLINK("https://m566.info/r1danmy","Dog House Training")</f>
        <v>Dog House Training</v>
      </c>
      <c r="B2293" s="1" t="str">
        <f t="shared" si="458"/>
        <v>https://m566.info/r1danmy</v>
      </c>
      <c r="C2293" s="1" t="str">
        <f>HYPERLINK("https://m566.info/r1danmy","Doberman")</f>
        <v>Doberman</v>
      </c>
    </row>
    <row r="2294">
      <c r="A2294" s="1" t="str">
        <f t="shared" si="460"/>
        <v>Dog House Training</v>
      </c>
      <c r="B2294" s="1" t="str">
        <f t="shared" si="458"/>
        <v>https://m566.info/r1danmy</v>
      </c>
      <c r="C2294" s="1" t="str">
        <f>HYPERLINK("https://m566.info/r1danmy","German Shepherd")</f>
        <v>German Shepherd</v>
      </c>
    </row>
    <row r="2295">
      <c r="A2295" s="1" t="str">
        <f t="shared" si="460"/>
        <v>Dog House Training</v>
      </c>
      <c r="B2295" s="1" t="str">
        <f t="shared" si="458"/>
        <v>https://m566.info/r1danmy</v>
      </c>
      <c r="C2295" s="1" t="str">
        <f>HYPERLINK("https://m566.info/r1danmy","Border Clollie")</f>
        <v>Border Clollie</v>
      </c>
    </row>
    <row r="2296">
      <c r="A2296" s="1" t="str">
        <f t="shared" si="460"/>
        <v>Dog House Training</v>
      </c>
      <c r="B2296" s="1" t="str">
        <f t="shared" si="458"/>
        <v>https://m566.info/r1danmy</v>
      </c>
      <c r="C2296" s="1" t="str">
        <f>HYPERLINK("https://m566.info/r1danmy","Rotwieller")</f>
        <v>Rotwieller</v>
      </c>
    </row>
    <row r="2297">
      <c r="A2297" s="1" t="str">
        <f t="shared" si="460"/>
        <v>Dog House Training</v>
      </c>
      <c r="B2297" s="1" t="str">
        <f t="shared" si="458"/>
        <v>https://m566.info/r1danmy</v>
      </c>
      <c r="C2297" s="1" t="str">
        <f>HYPERLINK("https://m566.info/r1danmy","Cross Bred")</f>
        <v>Cross Bred</v>
      </c>
    </row>
    <row r="2298">
      <c r="A2298" s="1" t="str">
        <f t="shared" si="460"/>
        <v>Dog House Training</v>
      </c>
      <c r="B2298" s="1" t="str">
        <f t="shared" si="458"/>
        <v>https://m566.info/r1danmy</v>
      </c>
      <c r="C2298" s="1" t="str">
        <f>HYPERLINK("https://m566.info/r1danmy","Rotweiller")</f>
        <v>Rotweiller</v>
      </c>
    </row>
    <row r="2299">
      <c r="A2299" s="1" t="str">
        <f t="shared" ref="A2299:A2304" si="461">HYPERLINK("https://m566.info/r1danmy","Dog Behaviour Training")</f>
        <v>Dog Behaviour Training</v>
      </c>
      <c r="B2299" s="1" t="str">
        <f t="shared" si="458"/>
        <v>https://m566.info/r1danmy</v>
      </c>
      <c r="C2299" s="1" t="str">
        <f>HYPERLINK("https://m566.info/r1danmy","Doberman")</f>
        <v>Doberman</v>
      </c>
    </row>
    <row r="2300">
      <c r="A2300" s="1" t="str">
        <f t="shared" si="461"/>
        <v>Dog Behaviour Training</v>
      </c>
      <c r="B2300" s="1" t="str">
        <f t="shared" si="458"/>
        <v>https://m566.info/r1danmy</v>
      </c>
      <c r="C2300" s="1" t="str">
        <f>HYPERLINK("https://m566.info/r1danmy","German Shepherd")</f>
        <v>German Shepherd</v>
      </c>
    </row>
    <row r="2301">
      <c r="A2301" s="1" t="str">
        <f t="shared" si="461"/>
        <v>Dog Behaviour Training</v>
      </c>
      <c r="B2301" s="1" t="str">
        <f t="shared" si="458"/>
        <v>https://m566.info/r1danmy</v>
      </c>
      <c r="C2301" s="1" t="str">
        <f>HYPERLINK("https://m566.info/r1danmy","Border Clollie")</f>
        <v>Border Clollie</v>
      </c>
    </row>
    <row r="2302">
      <c r="A2302" s="1" t="str">
        <f t="shared" si="461"/>
        <v>Dog Behaviour Training</v>
      </c>
      <c r="B2302" s="1" t="str">
        <f t="shared" si="458"/>
        <v>https://m566.info/r1danmy</v>
      </c>
      <c r="C2302" s="1" t="str">
        <f>HYPERLINK("https://m566.info/r1danmy","Rotwieller")</f>
        <v>Rotwieller</v>
      </c>
    </row>
    <row r="2303">
      <c r="A2303" s="1" t="str">
        <f t="shared" si="461"/>
        <v>Dog Behaviour Training</v>
      </c>
      <c r="B2303" s="1" t="str">
        <f t="shared" si="458"/>
        <v>https://m566.info/r1danmy</v>
      </c>
      <c r="C2303" s="1" t="str">
        <f>HYPERLINK("https://m566.info/r1danmy","Cross Bred")</f>
        <v>Cross Bred</v>
      </c>
    </row>
    <row r="2304">
      <c r="A2304" s="1" t="str">
        <f t="shared" si="461"/>
        <v>Dog Behaviour Training</v>
      </c>
      <c r="B2304" s="1" t="str">
        <f t="shared" si="458"/>
        <v>https://m566.info/r1danmy</v>
      </c>
      <c r="C2304" s="1" t="str">
        <f>HYPERLINK("https://m566.info/r1danmy","Rotweiller")</f>
        <v>Rotweiller</v>
      </c>
    </row>
    <row r="2305">
      <c r="A2305" s="1" t="str">
        <f t="shared" ref="A2305:A2310" si="462">HYPERLINK("https://m566.info/r1danmy","Dog : Elite Training")</f>
        <v>Dog : Elite Training</v>
      </c>
      <c r="B2305" s="1" t="str">
        <f t="shared" si="458"/>
        <v>https://m566.info/r1danmy</v>
      </c>
      <c r="C2305" s="1" t="str">
        <f>HYPERLINK("https://m566.info/r1danmy","Doberman")</f>
        <v>Doberman</v>
      </c>
    </row>
    <row r="2306">
      <c r="A2306" s="1" t="str">
        <f t="shared" si="462"/>
        <v>Dog : Elite Training</v>
      </c>
      <c r="B2306" s="1" t="str">
        <f t="shared" si="458"/>
        <v>https://m566.info/r1danmy</v>
      </c>
      <c r="C2306" s="1" t="str">
        <f>HYPERLINK("https://m566.info/r1danmy","German Shepherd")</f>
        <v>German Shepherd</v>
      </c>
    </row>
    <row r="2307">
      <c r="A2307" s="1" t="str">
        <f t="shared" si="462"/>
        <v>Dog : Elite Training</v>
      </c>
      <c r="B2307" s="1" t="str">
        <f t="shared" si="458"/>
        <v>https://m566.info/r1danmy</v>
      </c>
      <c r="C2307" s="1" t="str">
        <f>HYPERLINK("https://m566.info/r1danmy","Border Clollie")</f>
        <v>Border Clollie</v>
      </c>
    </row>
    <row r="2308">
      <c r="A2308" s="1" t="str">
        <f t="shared" si="462"/>
        <v>Dog : Elite Training</v>
      </c>
      <c r="B2308" s="1" t="str">
        <f t="shared" si="458"/>
        <v>https://m566.info/r1danmy</v>
      </c>
      <c r="C2308" s="1" t="str">
        <f>HYPERLINK("https://m566.info/r1danmy","Rotwieller")</f>
        <v>Rotwieller</v>
      </c>
    </row>
    <row r="2309">
      <c r="A2309" s="1" t="str">
        <f t="shared" si="462"/>
        <v>Dog : Elite Training</v>
      </c>
      <c r="B2309" s="1" t="str">
        <f t="shared" si="458"/>
        <v>https://m566.info/r1danmy</v>
      </c>
      <c r="C2309" s="1" t="str">
        <f>HYPERLINK("https://m566.info/r1danmy","Cross Bred")</f>
        <v>Cross Bred</v>
      </c>
    </row>
    <row r="2310">
      <c r="A2310" s="1" t="str">
        <f t="shared" si="462"/>
        <v>Dog : Elite Training</v>
      </c>
      <c r="B2310" s="1" t="str">
        <f t="shared" si="458"/>
        <v>https://m566.info/r1danmy</v>
      </c>
      <c r="C2310" s="1" t="str">
        <f>HYPERLINK("https://m566.info/r1danmy","Rotweiller")</f>
        <v>Rotweiller</v>
      </c>
    </row>
    <row r="2311">
      <c r="A2311" s="1" t="str">
        <f t="shared" ref="A2311:A2316" si="463">HYPERLINK("https://m566.info/bohn284","Dog Aggression Training")</f>
        <v>Dog Aggression Training</v>
      </c>
      <c r="B2311" s="1" t="str">
        <f t="shared" ref="B2311:B2340" si="464">HYPERLINK("https://m566.info/bohn284","https://m566.info/bohn284")</f>
        <v>https://m566.info/bohn284</v>
      </c>
      <c r="C2311" s="1" t="str">
        <f>HYPERLINK("https://m566.info/bohn284","Doberman")</f>
        <v>Doberman</v>
      </c>
    </row>
    <row r="2312">
      <c r="A2312" s="1" t="str">
        <f t="shared" si="463"/>
        <v>Dog Aggression Training</v>
      </c>
      <c r="B2312" s="1" t="str">
        <f t="shared" si="464"/>
        <v>https://m566.info/bohn284</v>
      </c>
      <c r="C2312" s="1" t="str">
        <f>HYPERLINK("https://m566.info/bohn284","German Shepherd")</f>
        <v>German Shepherd</v>
      </c>
    </row>
    <row r="2313">
      <c r="A2313" s="1" t="str">
        <f t="shared" si="463"/>
        <v>Dog Aggression Training</v>
      </c>
      <c r="B2313" s="1" t="str">
        <f t="shared" si="464"/>
        <v>https://m566.info/bohn284</v>
      </c>
      <c r="C2313" s="1" t="str">
        <f>HYPERLINK("https://m566.info/bohn284","Border Clollie")</f>
        <v>Border Clollie</v>
      </c>
    </row>
    <row r="2314">
      <c r="A2314" s="1" t="str">
        <f t="shared" si="463"/>
        <v>Dog Aggression Training</v>
      </c>
      <c r="B2314" s="1" t="str">
        <f t="shared" si="464"/>
        <v>https://m566.info/bohn284</v>
      </c>
      <c r="C2314" s="1" t="str">
        <f>HYPERLINK("https://m566.info/bohn284","Rotwieller")</f>
        <v>Rotwieller</v>
      </c>
    </row>
    <row r="2315">
      <c r="A2315" s="1" t="str">
        <f t="shared" si="463"/>
        <v>Dog Aggression Training</v>
      </c>
      <c r="B2315" s="1" t="str">
        <f t="shared" si="464"/>
        <v>https://m566.info/bohn284</v>
      </c>
      <c r="C2315" s="1" t="str">
        <f>HYPERLINK("https://m566.info/bohn284","Cross Bred")</f>
        <v>Cross Bred</v>
      </c>
    </row>
    <row r="2316">
      <c r="A2316" s="1" t="str">
        <f t="shared" si="463"/>
        <v>Dog Aggression Training</v>
      </c>
      <c r="B2316" s="1" t="str">
        <f t="shared" si="464"/>
        <v>https://m566.info/bohn284</v>
      </c>
      <c r="C2316" s="1" t="str">
        <f>HYPERLINK("https://m566.info/bohn284","Rotweiller")</f>
        <v>Rotweiller</v>
      </c>
    </row>
    <row r="2317">
      <c r="A2317" s="1" t="str">
        <f t="shared" ref="A2317:A2322" si="465">HYPERLINK("https://m566.info/bohn284","Dog Obedience Training")</f>
        <v>Dog Obedience Training</v>
      </c>
      <c r="B2317" s="1" t="str">
        <f t="shared" si="464"/>
        <v>https://m566.info/bohn284</v>
      </c>
      <c r="C2317" s="1" t="str">
        <f>HYPERLINK("https://m566.info/bohn284","Doberman")</f>
        <v>Doberman</v>
      </c>
    </row>
    <row r="2318">
      <c r="A2318" s="1" t="str">
        <f t="shared" si="465"/>
        <v>Dog Obedience Training</v>
      </c>
      <c r="B2318" s="1" t="str">
        <f t="shared" si="464"/>
        <v>https://m566.info/bohn284</v>
      </c>
      <c r="C2318" s="1" t="str">
        <f>HYPERLINK("https://m566.info/bohn284","German Shepherd")</f>
        <v>German Shepherd</v>
      </c>
    </row>
    <row r="2319">
      <c r="A2319" s="1" t="str">
        <f t="shared" si="465"/>
        <v>Dog Obedience Training</v>
      </c>
      <c r="B2319" s="1" t="str">
        <f t="shared" si="464"/>
        <v>https://m566.info/bohn284</v>
      </c>
      <c r="C2319" s="1" t="str">
        <f>HYPERLINK("https://m566.info/bohn284","Border Clollie")</f>
        <v>Border Clollie</v>
      </c>
    </row>
    <row r="2320">
      <c r="A2320" s="1" t="str">
        <f t="shared" si="465"/>
        <v>Dog Obedience Training</v>
      </c>
      <c r="B2320" s="1" t="str">
        <f t="shared" si="464"/>
        <v>https://m566.info/bohn284</v>
      </c>
      <c r="C2320" s="1" t="str">
        <f>HYPERLINK("https://m566.info/bohn284","Rotwieller")</f>
        <v>Rotwieller</v>
      </c>
    </row>
    <row r="2321">
      <c r="A2321" s="1" t="str">
        <f t="shared" si="465"/>
        <v>Dog Obedience Training</v>
      </c>
      <c r="B2321" s="1" t="str">
        <f t="shared" si="464"/>
        <v>https://m566.info/bohn284</v>
      </c>
      <c r="C2321" s="1" t="str">
        <f>HYPERLINK("https://m566.info/bohn284","Cross Bred")</f>
        <v>Cross Bred</v>
      </c>
    </row>
    <row r="2322">
      <c r="A2322" s="1" t="str">
        <f t="shared" si="465"/>
        <v>Dog Obedience Training</v>
      </c>
      <c r="B2322" s="1" t="str">
        <f t="shared" si="464"/>
        <v>https://m566.info/bohn284</v>
      </c>
      <c r="C2322" s="1" t="str">
        <f>HYPERLINK("https://m566.info/bohn284","Rotweiller")</f>
        <v>Rotweiller</v>
      </c>
    </row>
    <row r="2323">
      <c r="A2323" s="1" t="str">
        <f t="shared" ref="A2323:A2328" si="466">HYPERLINK("https://m566.info/bohn284","Dog House Training")</f>
        <v>Dog House Training</v>
      </c>
      <c r="B2323" s="1" t="str">
        <f t="shared" si="464"/>
        <v>https://m566.info/bohn284</v>
      </c>
      <c r="C2323" s="1" t="str">
        <f>HYPERLINK("https://m566.info/bohn284","Doberman")</f>
        <v>Doberman</v>
      </c>
    </row>
    <row r="2324">
      <c r="A2324" s="1" t="str">
        <f t="shared" si="466"/>
        <v>Dog House Training</v>
      </c>
      <c r="B2324" s="1" t="str">
        <f t="shared" si="464"/>
        <v>https://m566.info/bohn284</v>
      </c>
      <c r="C2324" s="1" t="str">
        <f>HYPERLINK("https://m566.info/bohn284","German Shepherd")</f>
        <v>German Shepherd</v>
      </c>
    </row>
    <row r="2325">
      <c r="A2325" s="1" t="str">
        <f t="shared" si="466"/>
        <v>Dog House Training</v>
      </c>
      <c r="B2325" s="1" t="str">
        <f t="shared" si="464"/>
        <v>https://m566.info/bohn284</v>
      </c>
      <c r="C2325" s="1" t="str">
        <f>HYPERLINK("https://m566.info/bohn284","Border Clollie")</f>
        <v>Border Clollie</v>
      </c>
    </row>
    <row r="2326">
      <c r="A2326" s="1" t="str">
        <f t="shared" si="466"/>
        <v>Dog House Training</v>
      </c>
      <c r="B2326" s="1" t="str">
        <f t="shared" si="464"/>
        <v>https://m566.info/bohn284</v>
      </c>
      <c r="C2326" s="1" t="str">
        <f>HYPERLINK("https://m566.info/bohn284","Rotwieller")</f>
        <v>Rotwieller</v>
      </c>
    </row>
    <row r="2327">
      <c r="A2327" s="1" t="str">
        <f t="shared" si="466"/>
        <v>Dog House Training</v>
      </c>
      <c r="B2327" s="1" t="str">
        <f t="shared" si="464"/>
        <v>https://m566.info/bohn284</v>
      </c>
      <c r="C2327" s="1" t="str">
        <f>HYPERLINK("https://m566.info/bohn284","Cross Bred")</f>
        <v>Cross Bred</v>
      </c>
    </row>
    <row r="2328">
      <c r="A2328" s="1" t="str">
        <f t="shared" si="466"/>
        <v>Dog House Training</v>
      </c>
      <c r="B2328" s="1" t="str">
        <f t="shared" si="464"/>
        <v>https://m566.info/bohn284</v>
      </c>
      <c r="C2328" s="1" t="str">
        <f>HYPERLINK("https://m566.info/bohn284","Rotweiller")</f>
        <v>Rotweiller</v>
      </c>
    </row>
    <row r="2329">
      <c r="A2329" s="1" t="str">
        <f t="shared" ref="A2329:A2334" si="467">HYPERLINK("https://m566.info/bohn284","Dog Behaviour Training")</f>
        <v>Dog Behaviour Training</v>
      </c>
      <c r="B2329" s="1" t="str">
        <f t="shared" si="464"/>
        <v>https://m566.info/bohn284</v>
      </c>
      <c r="C2329" s="1" t="str">
        <f>HYPERLINK("https://m566.info/bohn284","Doberman")</f>
        <v>Doberman</v>
      </c>
    </row>
    <row r="2330">
      <c r="A2330" s="1" t="str">
        <f t="shared" si="467"/>
        <v>Dog Behaviour Training</v>
      </c>
      <c r="B2330" s="1" t="str">
        <f t="shared" si="464"/>
        <v>https://m566.info/bohn284</v>
      </c>
      <c r="C2330" s="1" t="str">
        <f>HYPERLINK("https://m566.info/bohn284","German Shepherd")</f>
        <v>German Shepherd</v>
      </c>
    </row>
    <row r="2331">
      <c r="A2331" s="1" t="str">
        <f t="shared" si="467"/>
        <v>Dog Behaviour Training</v>
      </c>
      <c r="B2331" s="1" t="str">
        <f t="shared" si="464"/>
        <v>https://m566.info/bohn284</v>
      </c>
      <c r="C2331" s="1" t="str">
        <f>HYPERLINK("https://m566.info/bohn284","Border Clollie")</f>
        <v>Border Clollie</v>
      </c>
    </row>
    <row r="2332">
      <c r="A2332" s="1" t="str">
        <f t="shared" si="467"/>
        <v>Dog Behaviour Training</v>
      </c>
      <c r="B2332" s="1" t="str">
        <f t="shared" si="464"/>
        <v>https://m566.info/bohn284</v>
      </c>
      <c r="C2332" s="1" t="str">
        <f>HYPERLINK("https://m566.info/bohn284","Rotwieller")</f>
        <v>Rotwieller</v>
      </c>
    </row>
    <row r="2333">
      <c r="A2333" s="1" t="str">
        <f t="shared" si="467"/>
        <v>Dog Behaviour Training</v>
      </c>
      <c r="B2333" s="1" t="str">
        <f t="shared" si="464"/>
        <v>https://m566.info/bohn284</v>
      </c>
      <c r="C2333" s="1" t="str">
        <f>HYPERLINK("https://m566.info/bohn284","Cross Bred")</f>
        <v>Cross Bred</v>
      </c>
    </row>
    <row r="2334">
      <c r="A2334" s="1" t="str">
        <f t="shared" si="467"/>
        <v>Dog Behaviour Training</v>
      </c>
      <c r="B2334" s="1" t="str">
        <f t="shared" si="464"/>
        <v>https://m566.info/bohn284</v>
      </c>
      <c r="C2334" s="1" t="str">
        <f>HYPERLINK("https://m566.info/bohn284","Rotweiller")</f>
        <v>Rotweiller</v>
      </c>
    </row>
    <row r="2335">
      <c r="A2335" s="1" t="str">
        <f t="shared" ref="A2335:A2340" si="468">HYPERLINK("https://m566.info/bohn284","Dog : Elite Training")</f>
        <v>Dog : Elite Training</v>
      </c>
      <c r="B2335" s="1" t="str">
        <f t="shared" si="464"/>
        <v>https://m566.info/bohn284</v>
      </c>
      <c r="C2335" s="1" t="str">
        <f>HYPERLINK("https://m566.info/bohn284","Doberman")</f>
        <v>Doberman</v>
      </c>
    </row>
    <row r="2336">
      <c r="A2336" s="1" t="str">
        <f t="shared" si="468"/>
        <v>Dog : Elite Training</v>
      </c>
      <c r="B2336" s="1" t="str">
        <f t="shared" si="464"/>
        <v>https://m566.info/bohn284</v>
      </c>
      <c r="C2336" s="1" t="str">
        <f>HYPERLINK("https://m566.info/bohn284","German Shepherd")</f>
        <v>German Shepherd</v>
      </c>
    </row>
    <row r="2337">
      <c r="A2337" s="1" t="str">
        <f t="shared" si="468"/>
        <v>Dog : Elite Training</v>
      </c>
      <c r="B2337" s="1" t="str">
        <f t="shared" si="464"/>
        <v>https://m566.info/bohn284</v>
      </c>
      <c r="C2337" s="1" t="str">
        <f>HYPERLINK("https://m566.info/bohn284","Border Clollie")</f>
        <v>Border Clollie</v>
      </c>
    </row>
    <row r="2338">
      <c r="A2338" s="1" t="str">
        <f t="shared" si="468"/>
        <v>Dog : Elite Training</v>
      </c>
      <c r="B2338" s="1" t="str">
        <f t="shared" si="464"/>
        <v>https://m566.info/bohn284</v>
      </c>
      <c r="C2338" s="1" t="str">
        <f>HYPERLINK("https://m566.info/bohn284","Rotwieller")</f>
        <v>Rotwieller</v>
      </c>
    </row>
    <row r="2339">
      <c r="A2339" s="1" t="str">
        <f t="shared" si="468"/>
        <v>Dog : Elite Training</v>
      </c>
      <c r="B2339" s="1" t="str">
        <f t="shared" si="464"/>
        <v>https://m566.info/bohn284</v>
      </c>
      <c r="C2339" s="1" t="str">
        <f>HYPERLINK("https://m566.info/bohn284","Cross Bred")</f>
        <v>Cross Bred</v>
      </c>
    </row>
    <row r="2340">
      <c r="A2340" s="1" t="str">
        <f t="shared" si="468"/>
        <v>Dog : Elite Training</v>
      </c>
      <c r="B2340" s="1" t="str">
        <f t="shared" si="464"/>
        <v>https://m566.info/bohn284</v>
      </c>
      <c r="C2340" s="1" t="str">
        <f>HYPERLINK("https://m566.info/bohn284","Rotweiller")</f>
        <v>Rotweiller</v>
      </c>
    </row>
    <row r="2341">
      <c r="A2341" s="1" t="str">
        <f t="shared" ref="A2341:A2346" si="469">HYPERLINK("https://m566.info/5g3cs0a","Dog Aggression Training")</f>
        <v>Dog Aggression Training</v>
      </c>
      <c r="B2341" s="1" t="str">
        <f t="shared" ref="B2341:B2370" si="470">HYPERLINK("https://m566.info/5g3cs0a","https://m566.info/5g3cs0a")</f>
        <v>https://m566.info/5g3cs0a</v>
      </c>
      <c r="C2341" s="1" t="str">
        <f>HYPERLINK("https://m566.info/5g3cs0a","Doberman")</f>
        <v>Doberman</v>
      </c>
    </row>
    <row r="2342">
      <c r="A2342" s="1" t="str">
        <f t="shared" si="469"/>
        <v>Dog Aggression Training</v>
      </c>
      <c r="B2342" s="1" t="str">
        <f t="shared" si="470"/>
        <v>https://m566.info/5g3cs0a</v>
      </c>
      <c r="C2342" s="1" t="str">
        <f>HYPERLINK("https://m566.info/5g3cs0a","German Shepherd")</f>
        <v>German Shepherd</v>
      </c>
    </row>
    <row r="2343">
      <c r="A2343" s="1" t="str">
        <f t="shared" si="469"/>
        <v>Dog Aggression Training</v>
      </c>
      <c r="B2343" s="1" t="str">
        <f t="shared" si="470"/>
        <v>https://m566.info/5g3cs0a</v>
      </c>
      <c r="C2343" s="1" t="str">
        <f>HYPERLINK("https://m566.info/5g3cs0a","Border Clollie")</f>
        <v>Border Clollie</v>
      </c>
    </row>
    <row r="2344">
      <c r="A2344" s="1" t="str">
        <f t="shared" si="469"/>
        <v>Dog Aggression Training</v>
      </c>
      <c r="B2344" s="1" t="str">
        <f t="shared" si="470"/>
        <v>https://m566.info/5g3cs0a</v>
      </c>
      <c r="C2344" s="1" t="str">
        <f>HYPERLINK("https://m566.info/5g3cs0a","Rotwieller")</f>
        <v>Rotwieller</v>
      </c>
    </row>
    <row r="2345">
      <c r="A2345" s="1" t="str">
        <f t="shared" si="469"/>
        <v>Dog Aggression Training</v>
      </c>
      <c r="B2345" s="1" t="str">
        <f t="shared" si="470"/>
        <v>https://m566.info/5g3cs0a</v>
      </c>
      <c r="C2345" s="1" t="str">
        <f>HYPERLINK("https://m566.info/5g3cs0a","Cross Bred")</f>
        <v>Cross Bred</v>
      </c>
    </row>
    <row r="2346">
      <c r="A2346" s="1" t="str">
        <f t="shared" si="469"/>
        <v>Dog Aggression Training</v>
      </c>
      <c r="B2346" s="1" t="str">
        <f t="shared" si="470"/>
        <v>https://m566.info/5g3cs0a</v>
      </c>
      <c r="C2346" s="1" t="str">
        <f>HYPERLINK("https://m566.info/5g3cs0a","Rotweiller")</f>
        <v>Rotweiller</v>
      </c>
    </row>
    <row r="2347">
      <c r="A2347" s="1" t="str">
        <f t="shared" ref="A2347:A2352" si="471">HYPERLINK("https://m566.info/5g3cs0a","Dog Obedience Training")</f>
        <v>Dog Obedience Training</v>
      </c>
      <c r="B2347" s="1" t="str">
        <f t="shared" si="470"/>
        <v>https://m566.info/5g3cs0a</v>
      </c>
      <c r="C2347" s="1" t="str">
        <f>HYPERLINK("https://m566.info/5g3cs0a","Doberman")</f>
        <v>Doberman</v>
      </c>
    </row>
    <row r="2348">
      <c r="A2348" s="1" t="str">
        <f t="shared" si="471"/>
        <v>Dog Obedience Training</v>
      </c>
      <c r="B2348" s="1" t="str">
        <f t="shared" si="470"/>
        <v>https://m566.info/5g3cs0a</v>
      </c>
      <c r="C2348" s="1" t="str">
        <f>HYPERLINK("https://m566.info/5g3cs0a","German Shepherd")</f>
        <v>German Shepherd</v>
      </c>
    </row>
    <row r="2349">
      <c r="A2349" s="1" t="str">
        <f t="shared" si="471"/>
        <v>Dog Obedience Training</v>
      </c>
      <c r="B2349" s="1" t="str">
        <f t="shared" si="470"/>
        <v>https://m566.info/5g3cs0a</v>
      </c>
      <c r="C2349" s="1" t="str">
        <f>HYPERLINK("https://m566.info/5g3cs0a","Border Clollie")</f>
        <v>Border Clollie</v>
      </c>
    </row>
    <row r="2350">
      <c r="A2350" s="1" t="str">
        <f t="shared" si="471"/>
        <v>Dog Obedience Training</v>
      </c>
      <c r="B2350" s="1" t="str">
        <f t="shared" si="470"/>
        <v>https://m566.info/5g3cs0a</v>
      </c>
      <c r="C2350" s="1" t="str">
        <f>HYPERLINK("https://m566.info/5g3cs0a","Rotwieller")</f>
        <v>Rotwieller</v>
      </c>
    </row>
    <row r="2351">
      <c r="A2351" s="1" t="str">
        <f t="shared" si="471"/>
        <v>Dog Obedience Training</v>
      </c>
      <c r="B2351" s="1" t="str">
        <f t="shared" si="470"/>
        <v>https://m566.info/5g3cs0a</v>
      </c>
      <c r="C2351" s="1" t="str">
        <f>HYPERLINK("https://m566.info/5g3cs0a","Cross Bred")</f>
        <v>Cross Bred</v>
      </c>
    </row>
    <row r="2352">
      <c r="A2352" s="1" t="str">
        <f t="shared" si="471"/>
        <v>Dog Obedience Training</v>
      </c>
      <c r="B2352" s="1" t="str">
        <f t="shared" si="470"/>
        <v>https://m566.info/5g3cs0a</v>
      </c>
      <c r="C2352" s="1" t="str">
        <f>HYPERLINK("https://m566.info/5g3cs0a","Rotweiller")</f>
        <v>Rotweiller</v>
      </c>
    </row>
    <row r="2353">
      <c r="A2353" s="1" t="str">
        <f t="shared" ref="A2353:A2358" si="472">HYPERLINK("https://m566.info/5g3cs0a","Dog House Training")</f>
        <v>Dog House Training</v>
      </c>
      <c r="B2353" s="1" t="str">
        <f t="shared" si="470"/>
        <v>https://m566.info/5g3cs0a</v>
      </c>
      <c r="C2353" s="1" t="str">
        <f>HYPERLINK("https://m566.info/5g3cs0a","Doberman")</f>
        <v>Doberman</v>
      </c>
    </row>
    <row r="2354">
      <c r="A2354" s="1" t="str">
        <f t="shared" si="472"/>
        <v>Dog House Training</v>
      </c>
      <c r="B2354" s="1" t="str">
        <f t="shared" si="470"/>
        <v>https://m566.info/5g3cs0a</v>
      </c>
      <c r="C2354" s="1" t="str">
        <f>HYPERLINK("https://m566.info/5g3cs0a","German Shepherd")</f>
        <v>German Shepherd</v>
      </c>
    </row>
    <row r="2355">
      <c r="A2355" s="1" t="str">
        <f t="shared" si="472"/>
        <v>Dog House Training</v>
      </c>
      <c r="B2355" s="1" t="str">
        <f t="shared" si="470"/>
        <v>https://m566.info/5g3cs0a</v>
      </c>
      <c r="C2355" s="1" t="str">
        <f>HYPERLINK("https://m566.info/5g3cs0a","Border Clollie")</f>
        <v>Border Clollie</v>
      </c>
    </row>
    <row r="2356">
      <c r="A2356" s="1" t="str">
        <f t="shared" si="472"/>
        <v>Dog House Training</v>
      </c>
      <c r="B2356" s="1" t="str">
        <f t="shared" si="470"/>
        <v>https://m566.info/5g3cs0a</v>
      </c>
      <c r="C2356" s="1" t="str">
        <f>HYPERLINK("https://m566.info/5g3cs0a","Rotwieller")</f>
        <v>Rotwieller</v>
      </c>
    </row>
    <row r="2357">
      <c r="A2357" s="1" t="str">
        <f t="shared" si="472"/>
        <v>Dog House Training</v>
      </c>
      <c r="B2357" s="1" t="str">
        <f t="shared" si="470"/>
        <v>https://m566.info/5g3cs0a</v>
      </c>
      <c r="C2357" s="1" t="str">
        <f>HYPERLINK("https://m566.info/5g3cs0a","Cross Bred")</f>
        <v>Cross Bred</v>
      </c>
    </row>
    <row r="2358">
      <c r="A2358" s="1" t="str">
        <f t="shared" si="472"/>
        <v>Dog House Training</v>
      </c>
      <c r="B2358" s="1" t="str">
        <f t="shared" si="470"/>
        <v>https://m566.info/5g3cs0a</v>
      </c>
      <c r="C2358" s="1" t="str">
        <f>HYPERLINK("https://m566.info/5g3cs0a","Rotweiller")</f>
        <v>Rotweiller</v>
      </c>
    </row>
    <row r="2359">
      <c r="A2359" s="1" t="str">
        <f t="shared" ref="A2359:A2364" si="473">HYPERLINK("https://m566.info/5g3cs0a","Dog Behaviour Training")</f>
        <v>Dog Behaviour Training</v>
      </c>
      <c r="B2359" s="1" t="str">
        <f t="shared" si="470"/>
        <v>https://m566.info/5g3cs0a</v>
      </c>
      <c r="C2359" s="1" t="str">
        <f>HYPERLINK("https://m566.info/5g3cs0a","Doberman")</f>
        <v>Doberman</v>
      </c>
    </row>
    <row r="2360">
      <c r="A2360" s="1" t="str">
        <f t="shared" si="473"/>
        <v>Dog Behaviour Training</v>
      </c>
      <c r="B2360" s="1" t="str">
        <f t="shared" si="470"/>
        <v>https://m566.info/5g3cs0a</v>
      </c>
      <c r="C2360" s="1" t="str">
        <f>HYPERLINK("https://m566.info/5g3cs0a","German Shepherd")</f>
        <v>German Shepherd</v>
      </c>
    </row>
    <row r="2361">
      <c r="A2361" s="1" t="str">
        <f t="shared" si="473"/>
        <v>Dog Behaviour Training</v>
      </c>
      <c r="B2361" s="1" t="str">
        <f t="shared" si="470"/>
        <v>https://m566.info/5g3cs0a</v>
      </c>
      <c r="C2361" s="1" t="str">
        <f>HYPERLINK("https://m566.info/5g3cs0a","Border Clollie")</f>
        <v>Border Clollie</v>
      </c>
    </row>
    <row r="2362">
      <c r="A2362" s="1" t="str">
        <f t="shared" si="473"/>
        <v>Dog Behaviour Training</v>
      </c>
      <c r="B2362" s="1" t="str">
        <f t="shared" si="470"/>
        <v>https://m566.info/5g3cs0a</v>
      </c>
      <c r="C2362" s="1" t="str">
        <f>HYPERLINK("https://m566.info/5g3cs0a","Rotwieller")</f>
        <v>Rotwieller</v>
      </c>
    </row>
    <row r="2363">
      <c r="A2363" s="1" t="str">
        <f t="shared" si="473"/>
        <v>Dog Behaviour Training</v>
      </c>
      <c r="B2363" s="1" t="str">
        <f t="shared" si="470"/>
        <v>https://m566.info/5g3cs0a</v>
      </c>
      <c r="C2363" s="1" t="str">
        <f>HYPERLINK("https://m566.info/5g3cs0a","Cross Bred")</f>
        <v>Cross Bred</v>
      </c>
    </row>
    <row r="2364">
      <c r="A2364" s="1" t="str">
        <f t="shared" si="473"/>
        <v>Dog Behaviour Training</v>
      </c>
      <c r="B2364" s="1" t="str">
        <f t="shared" si="470"/>
        <v>https://m566.info/5g3cs0a</v>
      </c>
      <c r="C2364" s="1" t="str">
        <f>HYPERLINK("https://m566.info/5g3cs0a","Rotweiller")</f>
        <v>Rotweiller</v>
      </c>
    </row>
    <row r="2365">
      <c r="A2365" s="1" t="str">
        <f t="shared" ref="A2365:A2370" si="474">HYPERLINK("https://m566.info/5g3cs0a","Dog : Elite Training")</f>
        <v>Dog : Elite Training</v>
      </c>
      <c r="B2365" s="1" t="str">
        <f t="shared" si="470"/>
        <v>https://m566.info/5g3cs0a</v>
      </c>
      <c r="C2365" s="1" t="str">
        <f>HYPERLINK("https://m566.info/5g3cs0a","Doberman")</f>
        <v>Doberman</v>
      </c>
    </row>
    <row r="2366">
      <c r="A2366" s="1" t="str">
        <f t="shared" si="474"/>
        <v>Dog : Elite Training</v>
      </c>
      <c r="B2366" s="1" t="str">
        <f t="shared" si="470"/>
        <v>https://m566.info/5g3cs0a</v>
      </c>
      <c r="C2366" s="1" t="str">
        <f>HYPERLINK("https://m566.info/5g3cs0a","German Shepherd")</f>
        <v>German Shepherd</v>
      </c>
    </row>
    <row r="2367">
      <c r="A2367" s="1" t="str">
        <f t="shared" si="474"/>
        <v>Dog : Elite Training</v>
      </c>
      <c r="B2367" s="1" t="str">
        <f t="shared" si="470"/>
        <v>https://m566.info/5g3cs0a</v>
      </c>
      <c r="C2367" s="1" t="str">
        <f>HYPERLINK("https://m566.info/5g3cs0a","Border Clollie")</f>
        <v>Border Clollie</v>
      </c>
    </row>
    <row r="2368">
      <c r="A2368" s="1" t="str">
        <f t="shared" si="474"/>
        <v>Dog : Elite Training</v>
      </c>
      <c r="B2368" s="1" t="str">
        <f t="shared" si="470"/>
        <v>https://m566.info/5g3cs0a</v>
      </c>
      <c r="C2368" s="1" t="str">
        <f>HYPERLINK("https://m566.info/5g3cs0a","Rotwieller")</f>
        <v>Rotwieller</v>
      </c>
    </row>
    <row r="2369">
      <c r="A2369" s="1" t="str">
        <f t="shared" si="474"/>
        <v>Dog : Elite Training</v>
      </c>
      <c r="B2369" s="1" t="str">
        <f t="shared" si="470"/>
        <v>https://m566.info/5g3cs0a</v>
      </c>
      <c r="C2369" s="1" t="str">
        <f>HYPERLINK("https://m566.info/5g3cs0a","Cross Bred")</f>
        <v>Cross Bred</v>
      </c>
    </row>
    <row r="2370">
      <c r="A2370" s="1" t="str">
        <f t="shared" si="474"/>
        <v>Dog : Elite Training</v>
      </c>
      <c r="B2370" s="1" t="str">
        <f t="shared" si="470"/>
        <v>https://m566.info/5g3cs0a</v>
      </c>
      <c r="C2370" s="1" t="str">
        <f>HYPERLINK("https://m566.info/5g3cs0a","Rotweiller")</f>
        <v>Rotweiller</v>
      </c>
    </row>
    <row r="2371">
      <c r="A2371" s="1" t="str">
        <f t="shared" ref="A2371:A2376" si="475">HYPERLINK("https://m566.info/vmymx4j","Dog Aggression Training")</f>
        <v>Dog Aggression Training</v>
      </c>
      <c r="B2371" s="1" t="str">
        <f t="shared" ref="B2371:B2400" si="476">HYPERLINK("https://m566.info/vmymx4j","https://m566.info/vmymx4j")</f>
        <v>https://m566.info/vmymx4j</v>
      </c>
      <c r="C2371" s="1" t="str">
        <f>HYPERLINK("https://m566.info/vmymx4j","Doberman")</f>
        <v>Doberman</v>
      </c>
    </row>
    <row r="2372">
      <c r="A2372" s="1" t="str">
        <f t="shared" si="475"/>
        <v>Dog Aggression Training</v>
      </c>
      <c r="B2372" s="1" t="str">
        <f t="shared" si="476"/>
        <v>https://m566.info/vmymx4j</v>
      </c>
      <c r="C2372" s="1" t="str">
        <f>HYPERLINK("https://m566.info/vmymx4j","German Shepherd")</f>
        <v>German Shepherd</v>
      </c>
    </row>
    <row r="2373">
      <c r="A2373" s="1" t="str">
        <f t="shared" si="475"/>
        <v>Dog Aggression Training</v>
      </c>
      <c r="B2373" s="1" t="str">
        <f t="shared" si="476"/>
        <v>https://m566.info/vmymx4j</v>
      </c>
      <c r="C2373" s="1" t="str">
        <f>HYPERLINK("https://m566.info/vmymx4j","Border Clollie")</f>
        <v>Border Clollie</v>
      </c>
    </row>
    <row r="2374">
      <c r="A2374" s="1" t="str">
        <f t="shared" si="475"/>
        <v>Dog Aggression Training</v>
      </c>
      <c r="B2374" s="1" t="str">
        <f t="shared" si="476"/>
        <v>https://m566.info/vmymx4j</v>
      </c>
      <c r="C2374" s="1" t="str">
        <f>HYPERLINK("https://m566.info/vmymx4j","Rotwieller")</f>
        <v>Rotwieller</v>
      </c>
    </row>
    <row r="2375">
      <c r="A2375" s="1" t="str">
        <f t="shared" si="475"/>
        <v>Dog Aggression Training</v>
      </c>
      <c r="B2375" s="1" t="str">
        <f t="shared" si="476"/>
        <v>https://m566.info/vmymx4j</v>
      </c>
      <c r="C2375" s="1" t="str">
        <f>HYPERLINK("https://m566.info/vmymx4j","Cross Bred")</f>
        <v>Cross Bred</v>
      </c>
    </row>
    <row r="2376">
      <c r="A2376" s="1" t="str">
        <f t="shared" si="475"/>
        <v>Dog Aggression Training</v>
      </c>
      <c r="B2376" s="1" t="str">
        <f t="shared" si="476"/>
        <v>https://m566.info/vmymx4j</v>
      </c>
      <c r="C2376" s="1" t="str">
        <f>HYPERLINK("https://m566.info/vmymx4j","Rotweiller")</f>
        <v>Rotweiller</v>
      </c>
    </row>
    <row r="2377">
      <c r="A2377" s="1" t="str">
        <f t="shared" ref="A2377:A2382" si="477">HYPERLINK("https://m566.info/vmymx4j","Dog Obedience Training")</f>
        <v>Dog Obedience Training</v>
      </c>
      <c r="B2377" s="1" t="str">
        <f t="shared" si="476"/>
        <v>https://m566.info/vmymx4j</v>
      </c>
      <c r="C2377" s="1" t="str">
        <f>HYPERLINK("https://m566.info/vmymx4j","Doberman")</f>
        <v>Doberman</v>
      </c>
    </row>
    <row r="2378">
      <c r="A2378" s="1" t="str">
        <f t="shared" si="477"/>
        <v>Dog Obedience Training</v>
      </c>
      <c r="B2378" s="1" t="str">
        <f t="shared" si="476"/>
        <v>https://m566.info/vmymx4j</v>
      </c>
      <c r="C2378" s="1" t="str">
        <f>HYPERLINK("https://m566.info/vmymx4j","German Shepherd")</f>
        <v>German Shepherd</v>
      </c>
    </row>
    <row r="2379">
      <c r="A2379" s="1" t="str">
        <f t="shared" si="477"/>
        <v>Dog Obedience Training</v>
      </c>
      <c r="B2379" s="1" t="str">
        <f t="shared" si="476"/>
        <v>https://m566.info/vmymx4j</v>
      </c>
      <c r="C2379" s="1" t="str">
        <f>HYPERLINK("https://m566.info/vmymx4j","Border Clollie")</f>
        <v>Border Clollie</v>
      </c>
    </row>
    <row r="2380">
      <c r="A2380" s="1" t="str">
        <f t="shared" si="477"/>
        <v>Dog Obedience Training</v>
      </c>
      <c r="B2380" s="1" t="str">
        <f t="shared" si="476"/>
        <v>https://m566.info/vmymx4j</v>
      </c>
      <c r="C2380" s="1" t="str">
        <f>HYPERLINK("https://m566.info/vmymx4j","Rotwieller")</f>
        <v>Rotwieller</v>
      </c>
    </row>
    <row r="2381">
      <c r="A2381" s="1" t="str">
        <f t="shared" si="477"/>
        <v>Dog Obedience Training</v>
      </c>
      <c r="B2381" s="1" t="str">
        <f t="shared" si="476"/>
        <v>https://m566.info/vmymx4j</v>
      </c>
      <c r="C2381" s="1" t="str">
        <f>HYPERLINK("https://m566.info/vmymx4j","Cross Bred")</f>
        <v>Cross Bred</v>
      </c>
    </row>
    <row r="2382">
      <c r="A2382" s="1" t="str">
        <f t="shared" si="477"/>
        <v>Dog Obedience Training</v>
      </c>
      <c r="B2382" s="1" t="str">
        <f t="shared" si="476"/>
        <v>https://m566.info/vmymx4j</v>
      </c>
      <c r="C2382" s="1" t="str">
        <f>HYPERLINK("https://m566.info/vmymx4j","Rotweiller")</f>
        <v>Rotweiller</v>
      </c>
    </row>
    <row r="2383">
      <c r="A2383" s="1" t="str">
        <f t="shared" ref="A2383:A2388" si="478">HYPERLINK("https://m566.info/vmymx4j","Dog House Training")</f>
        <v>Dog House Training</v>
      </c>
      <c r="B2383" s="1" t="str">
        <f t="shared" si="476"/>
        <v>https://m566.info/vmymx4j</v>
      </c>
      <c r="C2383" s="1" t="str">
        <f>HYPERLINK("https://m566.info/vmymx4j","Doberman")</f>
        <v>Doberman</v>
      </c>
    </row>
    <row r="2384">
      <c r="A2384" s="1" t="str">
        <f t="shared" si="478"/>
        <v>Dog House Training</v>
      </c>
      <c r="B2384" s="1" t="str">
        <f t="shared" si="476"/>
        <v>https://m566.info/vmymx4j</v>
      </c>
      <c r="C2384" s="1" t="str">
        <f>HYPERLINK("https://m566.info/vmymx4j","German Shepherd")</f>
        <v>German Shepherd</v>
      </c>
    </row>
    <row r="2385">
      <c r="A2385" s="1" t="str">
        <f t="shared" si="478"/>
        <v>Dog House Training</v>
      </c>
      <c r="B2385" s="1" t="str">
        <f t="shared" si="476"/>
        <v>https://m566.info/vmymx4j</v>
      </c>
      <c r="C2385" s="1" t="str">
        <f>HYPERLINK("https://m566.info/vmymx4j","Border Clollie")</f>
        <v>Border Clollie</v>
      </c>
    </row>
    <row r="2386">
      <c r="A2386" s="1" t="str">
        <f t="shared" si="478"/>
        <v>Dog House Training</v>
      </c>
      <c r="B2386" s="1" t="str">
        <f t="shared" si="476"/>
        <v>https://m566.info/vmymx4j</v>
      </c>
      <c r="C2386" s="1" t="str">
        <f>HYPERLINK("https://m566.info/vmymx4j","Rotwieller")</f>
        <v>Rotwieller</v>
      </c>
    </row>
    <row r="2387">
      <c r="A2387" s="1" t="str">
        <f t="shared" si="478"/>
        <v>Dog House Training</v>
      </c>
      <c r="B2387" s="1" t="str">
        <f t="shared" si="476"/>
        <v>https://m566.info/vmymx4j</v>
      </c>
      <c r="C2387" s="1" t="str">
        <f>HYPERLINK("https://m566.info/vmymx4j","Cross Bred")</f>
        <v>Cross Bred</v>
      </c>
    </row>
    <row r="2388">
      <c r="A2388" s="1" t="str">
        <f t="shared" si="478"/>
        <v>Dog House Training</v>
      </c>
      <c r="B2388" s="1" t="str">
        <f t="shared" si="476"/>
        <v>https://m566.info/vmymx4j</v>
      </c>
      <c r="C2388" s="1" t="str">
        <f>HYPERLINK("https://m566.info/vmymx4j","Rotweiller")</f>
        <v>Rotweiller</v>
      </c>
    </row>
    <row r="2389">
      <c r="A2389" s="1" t="str">
        <f t="shared" ref="A2389:A2394" si="479">HYPERLINK("https://m566.info/vmymx4j","Dog Behaviour Training")</f>
        <v>Dog Behaviour Training</v>
      </c>
      <c r="B2389" s="1" t="str">
        <f t="shared" si="476"/>
        <v>https://m566.info/vmymx4j</v>
      </c>
      <c r="C2389" s="1" t="str">
        <f>HYPERLINK("https://m566.info/vmymx4j","Doberman")</f>
        <v>Doberman</v>
      </c>
    </row>
    <row r="2390">
      <c r="A2390" s="1" t="str">
        <f t="shared" si="479"/>
        <v>Dog Behaviour Training</v>
      </c>
      <c r="B2390" s="1" t="str">
        <f t="shared" si="476"/>
        <v>https://m566.info/vmymx4j</v>
      </c>
      <c r="C2390" s="1" t="str">
        <f>HYPERLINK("https://m566.info/vmymx4j","German Shepherd")</f>
        <v>German Shepherd</v>
      </c>
    </row>
    <row r="2391">
      <c r="A2391" s="1" t="str">
        <f t="shared" si="479"/>
        <v>Dog Behaviour Training</v>
      </c>
      <c r="B2391" s="1" t="str">
        <f t="shared" si="476"/>
        <v>https://m566.info/vmymx4j</v>
      </c>
      <c r="C2391" s="1" t="str">
        <f>HYPERLINK("https://m566.info/vmymx4j","Border Clollie")</f>
        <v>Border Clollie</v>
      </c>
    </row>
    <row r="2392">
      <c r="A2392" s="1" t="str">
        <f t="shared" si="479"/>
        <v>Dog Behaviour Training</v>
      </c>
      <c r="B2392" s="1" t="str">
        <f t="shared" si="476"/>
        <v>https://m566.info/vmymx4j</v>
      </c>
      <c r="C2392" s="1" t="str">
        <f>HYPERLINK("https://m566.info/vmymx4j","Rotwieller")</f>
        <v>Rotwieller</v>
      </c>
    </row>
    <row r="2393">
      <c r="A2393" s="1" t="str">
        <f t="shared" si="479"/>
        <v>Dog Behaviour Training</v>
      </c>
      <c r="B2393" s="1" t="str">
        <f t="shared" si="476"/>
        <v>https://m566.info/vmymx4j</v>
      </c>
      <c r="C2393" s="1" t="str">
        <f>HYPERLINK("https://m566.info/vmymx4j","Cross Bred")</f>
        <v>Cross Bred</v>
      </c>
    </row>
    <row r="2394">
      <c r="A2394" s="1" t="str">
        <f t="shared" si="479"/>
        <v>Dog Behaviour Training</v>
      </c>
      <c r="B2394" s="1" t="str">
        <f t="shared" si="476"/>
        <v>https://m566.info/vmymx4j</v>
      </c>
      <c r="C2394" s="1" t="str">
        <f>HYPERLINK("https://m566.info/vmymx4j","Rotweiller")</f>
        <v>Rotweiller</v>
      </c>
    </row>
    <row r="2395">
      <c r="A2395" s="1" t="str">
        <f t="shared" ref="A2395:A2400" si="480">HYPERLINK("https://m566.info/vmymx4j","Dog : Elite Training")</f>
        <v>Dog : Elite Training</v>
      </c>
      <c r="B2395" s="1" t="str">
        <f t="shared" si="476"/>
        <v>https://m566.info/vmymx4j</v>
      </c>
      <c r="C2395" s="1" t="str">
        <f>HYPERLINK("https://m566.info/vmymx4j","Doberman")</f>
        <v>Doberman</v>
      </c>
    </row>
    <row r="2396">
      <c r="A2396" s="1" t="str">
        <f t="shared" si="480"/>
        <v>Dog : Elite Training</v>
      </c>
      <c r="B2396" s="1" t="str">
        <f t="shared" si="476"/>
        <v>https://m566.info/vmymx4j</v>
      </c>
      <c r="C2396" s="1" t="str">
        <f>HYPERLINK("https://m566.info/vmymx4j","German Shepherd")</f>
        <v>German Shepherd</v>
      </c>
    </row>
    <row r="2397">
      <c r="A2397" s="1" t="str">
        <f t="shared" si="480"/>
        <v>Dog : Elite Training</v>
      </c>
      <c r="B2397" s="1" t="str">
        <f t="shared" si="476"/>
        <v>https://m566.info/vmymx4j</v>
      </c>
      <c r="C2397" s="1" t="str">
        <f>HYPERLINK("https://m566.info/vmymx4j","Border Clollie")</f>
        <v>Border Clollie</v>
      </c>
    </row>
    <row r="2398">
      <c r="A2398" s="1" t="str">
        <f t="shared" si="480"/>
        <v>Dog : Elite Training</v>
      </c>
      <c r="B2398" s="1" t="str">
        <f t="shared" si="476"/>
        <v>https://m566.info/vmymx4j</v>
      </c>
      <c r="C2398" s="1" t="str">
        <f>HYPERLINK("https://m566.info/vmymx4j","Rotwieller")</f>
        <v>Rotwieller</v>
      </c>
    </row>
    <row r="2399">
      <c r="A2399" s="1" t="str">
        <f t="shared" si="480"/>
        <v>Dog : Elite Training</v>
      </c>
      <c r="B2399" s="1" t="str">
        <f t="shared" si="476"/>
        <v>https://m566.info/vmymx4j</v>
      </c>
      <c r="C2399" s="1" t="str">
        <f>HYPERLINK("https://m566.info/vmymx4j","Cross Bred")</f>
        <v>Cross Bred</v>
      </c>
    </row>
    <row r="2400">
      <c r="A2400" s="1" t="str">
        <f t="shared" si="480"/>
        <v>Dog : Elite Training</v>
      </c>
      <c r="B2400" s="1" t="str">
        <f t="shared" si="476"/>
        <v>https://m566.info/vmymx4j</v>
      </c>
      <c r="C2400" s="1" t="str">
        <f>HYPERLINK("https://m566.info/vmymx4j","Rotweiller")</f>
        <v>Rotweiller</v>
      </c>
    </row>
    <row r="2401">
      <c r="A2401" s="1" t="str">
        <f t="shared" ref="A2401:A2406" si="481">HYPERLINK("https://m566.info/tk0rk6h","Dog Aggression Training")</f>
        <v>Dog Aggression Training</v>
      </c>
      <c r="B2401" s="1" t="str">
        <f t="shared" ref="B2401:B2430" si="482">HYPERLINK("https://m566.info/tk0rk6h","https://m566.info/tk0rk6h")</f>
        <v>https://m566.info/tk0rk6h</v>
      </c>
      <c r="C2401" s="1" t="str">
        <f>HYPERLINK("https://m566.info/tk0rk6h","Doberman")</f>
        <v>Doberman</v>
      </c>
    </row>
    <row r="2402">
      <c r="A2402" s="1" t="str">
        <f t="shared" si="481"/>
        <v>Dog Aggression Training</v>
      </c>
      <c r="B2402" s="1" t="str">
        <f t="shared" si="482"/>
        <v>https://m566.info/tk0rk6h</v>
      </c>
      <c r="C2402" s="1" t="str">
        <f>HYPERLINK("https://m566.info/tk0rk6h","German Shepherd")</f>
        <v>German Shepherd</v>
      </c>
    </row>
    <row r="2403">
      <c r="A2403" s="1" t="str">
        <f t="shared" si="481"/>
        <v>Dog Aggression Training</v>
      </c>
      <c r="B2403" s="1" t="str">
        <f t="shared" si="482"/>
        <v>https://m566.info/tk0rk6h</v>
      </c>
      <c r="C2403" s="1" t="str">
        <f>HYPERLINK("https://m566.info/tk0rk6h","Border Clollie")</f>
        <v>Border Clollie</v>
      </c>
    </row>
    <row r="2404">
      <c r="A2404" s="1" t="str">
        <f t="shared" si="481"/>
        <v>Dog Aggression Training</v>
      </c>
      <c r="B2404" s="1" t="str">
        <f t="shared" si="482"/>
        <v>https://m566.info/tk0rk6h</v>
      </c>
      <c r="C2404" s="1" t="str">
        <f>HYPERLINK("https://m566.info/tk0rk6h","Rotwieller")</f>
        <v>Rotwieller</v>
      </c>
    </row>
    <row r="2405">
      <c r="A2405" s="1" t="str">
        <f t="shared" si="481"/>
        <v>Dog Aggression Training</v>
      </c>
      <c r="B2405" s="1" t="str">
        <f t="shared" si="482"/>
        <v>https://m566.info/tk0rk6h</v>
      </c>
      <c r="C2405" s="1" t="str">
        <f>HYPERLINK("https://m566.info/tk0rk6h","Cross Bred")</f>
        <v>Cross Bred</v>
      </c>
    </row>
    <row r="2406">
      <c r="A2406" s="1" t="str">
        <f t="shared" si="481"/>
        <v>Dog Aggression Training</v>
      </c>
      <c r="B2406" s="1" t="str">
        <f t="shared" si="482"/>
        <v>https://m566.info/tk0rk6h</v>
      </c>
      <c r="C2406" s="1" t="str">
        <f>HYPERLINK("https://m566.info/tk0rk6h","Rotweiller")</f>
        <v>Rotweiller</v>
      </c>
    </row>
    <row r="2407">
      <c r="A2407" s="1" t="str">
        <f t="shared" ref="A2407:A2412" si="483">HYPERLINK("https://m566.info/tk0rk6h","Dog Obedience Training")</f>
        <v>Dog Obedience Training</v>
      </c>
      <c r="B2407" s="1" t="str">
        <f t="shared" si="482"/>
        <v>https://m566.info/tk0rk6h</v>
      </c>
      <c r="C2407" s="1" t="str">
        <f>HYPERLINK("https://m566.info/tk0rk6h","Doberman")</f>
        <v>Doberman</v>
      </c>
    </row>
    <row r="2408">
      <c r="A2408" s="1" t="str">
        <f t="shared" si="483"/>
        <v>Dog Obedience Training</v>
      </c>
      <c r="B2408" s="1" t="str">
        <f t="shared" si="482"/>
        <v>https://m566.info/tk0rk6h</v>
      </c>
      <c r="C2408" s="1" t="str">
        <f>HYPERLINK("https://m566.info/tk0rk6h","German Shepherd")</f>
        <v>German Shepherd</v>
      </c>
    </row>
    <row r="2409">
      <c r="A2409" s="1" t="str">
        <f t="shared" si="483"/>
        <v>Dog Obedience Training</v>
      </c>
      <c r="B2409" s="1" t="str">
        <f t="shared" si="482"/>
        <v>https://m566.info/tk0rk6h</v>
      </c>
      <c r="C2409" s="1" t="str">
        <f>HYPERLINK("https://m566.info/tk0rk6h","Border Clollie")</f>
        <v>Border Clollie</v>
      </c>
    </row>
    <row r="2410">
      <c r="A2410" s="1" t="str">
        <f t="shared" si="483"/>
        <v>Dog Obedience Training</v>
      </c>
      <c r="B2410" s="1" t="str">
        <f t="shared" si="482"/>
        <v>https://m566.info/tk0rk6h</v>
      </c>
      <c r="C2410" s="1" t="str">
        <f>HYPERLINK("https://m566.info/tk0rk6h","Rotwieller")</f>
        <v>Rotwieller</v>
      </c>
    </row>
    <row r="2411">
      <c r="A2411" s="1" t="str">
        <f t="shared" si="483"/>
        <v>Dog Obedience Training</v>
      </c>
      <c r="B2411" s="1" t="str">
        <f t="shared" si="482"/>
        <v>https://m566.info/tk0rk6h</v>
      </c>
      <c r="C2411" s="1" t="str">
        <f>HYPERLINK("https://m566.info/tk0rk6h","Cross Bred")</f>
        <v>Cross Bred</v>
      </c>
    </row>
    <row r="2412">
      <c r="A2412" s="1" t="str">
        <f t="shared" si="483"/>
        <v>Dog Obedience Training</v>
      </c>
      <c r="B2412" s="1" t="str">
        <f t="shared" si="482"/>
        <v>https://m566.info/tk0rk6h</v>
      </c>
      <c r="C2412" s="1" t="str">
        <f>HYPERLINK("https://m566.info/tk0rk6h","Rotweiller")</f>
        <v>Rotweiller</v>
      </c>
    </row>
    <row r="2413">
      <c r="A2413" s="1" t="str">
        <f t="shared" ref="A2413:A2418" si="484">HYPERLINK("https://m566.info/tk0rk6h","Dog House Training")</f>
        <v>Dog House Training</v>
      </c>
      <c r="B2413" s="1" t="str">
        <f t="shared" si="482"/>
        <v>https://m566.info/tk0rk6h</v>
      </c>
      <c r="C2413" s="1" t="str">
        <f>HYPERLINK("https://m566.info/tk0rk6h","Doberman")</f>
        <v>Doberman</v>
      </c>
    </row>
    <row r="2414">
      <c r="A2414" s="1" t="str">
        <f t="shared" si="484"/>
        <v>Dog House Training</v>
      </c>
      <c r="B2414" s="1" t="str">
        <f t="shared" si="482"/>
        <v>https://m566.info/tk0rk6h</v>
      </c>
      <c r="C2414" s="1" t="str">
        <f>HYPERLINK("https://m566.info/tk0rk6h","German Shepherd")</f>
        <v>German Shepherd</v>
      </c>
    </row>
    <row r="2415">
      <c r="A2415" s="1" t="str">
        <f t="shared" si="484"/>
        <v>Dog House Training</v>
      </c>
      <c r="B2415" s="1" t="str">
        <f t="shared" si="482"/>
        <v>https://m566.info/tk0rk6h</v>
      </c>
      <c r="C2415" s="1" t="str">
        <f>HYPERLINK("https://m566.info/tk0rk6h","Border Clollie")</f>
        <v>Border Clollie</v>
      </c>
    </row>
    <row r="2416">
      <c r="A2416" s="1" t="str">
        <f t="shared" si="484"/>
        <v>Dog House Training</v>
      </c>
      <c r="B2416" s="1" t="str">
        <f t="shared" si="482"/>
        <v>https://m566.info/tk0rk6h</v>
      </c>
      <c r="C2416" s="1" t="str">
        <f>HYPERLINK("https://m566.info/tk0rk6h","Rotwieller")</f>
        <v>Rotwieller</v>
      </c>
    </row>
    <row r="2417">
      <c r="A2417" s="1" t="str">
        <f t="shared" si="484"/>
        <v>Dog House Training</v>
      </c>
      <c r="B2417" s="1" t="str">
        <f t="shared" si="482"/>
        <v>https://m566.info/tk0rk6h</v>
      </c>
      <c r="C2417" s="1" t="str">
        <f>HYPERLINK("https://m566.info/tk0rk6h","Cross Bred")</f>
        <v>Cross Bred</v>
      </c>
    </row>
    <row r="2418">
      <c r="A2418" s="1" t="str">
        <f t="shared" si="484"/>
        <v>Dog House Training</v>
      </c>
      <c r="B2418" s="1" t="str">
        <f t="shared" si="482"/>
        <v>https://m566.info/tk0rk6h</v>
      </c>
      <c r="C2418" s="1" t="str">
        <f>HYPERLINK("https://m566.info/tk0rk6h","Rotweiller")</f>
        <v>Rotweiller</v>
      </c>
    </row>
    <row r="2419">
      <c r="A2419" s="1" t="str">
        <f t="shared" ref="A2419:A2424" si="485">HYPERLINK("https://m566.info/tk0rk6h","Dog Behaviour Training")</f>
        <v>Dog Behaviour Training</v>
      </c>
      <c r="B2419" s="1" t="str">
        <f t="shared" si="482"/>
        <v>https://m566.info/tk0rk6h</v>
      </c>
      <c r="C2419" s="1" t="str">
        <f>HYPERLINK("https://m566.info/tk0rk6h","Doberman")</f>
        <v>Doberman</v>
      </c>
    </row>
    <row r="2420">
      <c r="A2420" s="1" t="str">
        <f t="shared" si="485"/>
        <v>Dog Behaviour Training</v>
      </c>
      <c r="B2420" s="1" t="str">
        <f t="shared" si="482"/>
        <v>https://m566.info/tk0rk6h</v>
      </c>
      <c r="C2420" s="1" t="str">
        <f>HYPERLINK("https://m566.info/tk0rk6h","German Shepherd")</f>
        <v>German Shepherd</v>
      </c>
    </row>
    <row r="2421">
      <c r="A2421" s="1" t="str">
        <f t="shared" si="485"/>
        <v>Dog Behaviour Training</v>
      </c>
      <c r="B2421" s="1" t="str">
        <f t="shared" si="482"/>
        <v>https://m566.info/tk0rk6h</v>
      </c>
      <c r="C2421" s="1" t="str">
        <f>HYPERLINK("https://m566.info/tk0rk6h","Border Clollie")</f>
        <v>Border Clollie</v>
      </c>
    </row>
    <row r="2422">
      <c r="A2422" s="1" t="str">
        <f t="shared" si="485"/>
        <v>Dog Behaviour Training</v>
      </c>
      <c r="B2422" s="1" t="str">
        <f t="shared" si="482"/>
        <v>https://m566.info/tk0rk6h</v>
      </c>
      <c r="C2422" s="1" t="str">
        <f>HYPERLINK("https://m566.info/tk0rk6h","Rotwieller")</f>
        <v>Rotwieller</v>
      </c>
    </row>
    <row r="2423">
      <c r="A2423" s="1" t="str">
        <f t="shared" si="485"/>
        <v>Dog Behaviour Training</v>
      </c>
      <c r="B2423" s="1" t="str">
        <f t="shared" si="482"/>
        <v>https://m566.info/tk0rk6h</v>
      </c>
      <c r="C2423" s="1" t="str">
        <f>HYPERLINK("https://m566.info/tk0rk6h","Cross Bred")</f>
        <v>Cross Bred</v>
      </c>
    </row>
    <row r="2424">
      <c r="A2424" s="1" t="str">
        <f t="shared" si="485"/>
        <v>Dog Behaviour Training</v>
      </c>
      <c r="B2424" s="1" t="str">
        <f t="shared" si="482"/>
        <v>https://m566.info/tk0rk6h</v>
      </c>
      <c r="C2424" s="1" t="str">
        <f>HYPERLINK("https://m566.info/tk0rk6h","Rotweiller")</f>
        <v>Rotweiller</v>
      </c>
    </row>
    <row r="2425">
      <c r="A2425" s="1" t="str">
        <f t="shared" ref="A2425:A2430" si="486">HYPERLINK("https://m566.info/tk0rk6h","Dog : Elite Training")</f>
        <v>Dog : Elite Training</v>
      </c>
      <c r="B2425" s="1" t="str">
        <f t="shared" si="482"/>
        <v>https://m566.info/tk0rk6h</v>
      </c>
      <c r="C2425" s="1" t="str">
        <f>HYPERLINK("https://m566.info/tk0rk6h","Doberman")</f>
        <v>Doberman</v>
      </c>
    </row>
    <row r="2426">
      <c r="A2426" s="1" t="str">
        <f t="shared" si="486"/>
        <v>Dog : Elite Training</v>
      </c>
      <c r="B2426" s="1" t="str">
        <f t="shared" si="482"/>
        <v>https://m566.info/tk0rk6h</v>
      </c>
      <c r="C2426" s="1" t="str">
        <f>HYPERLINK("https://m566.info/tk0rk6h","German Shepherd")</f>
        <v>German Shepherd</v>
      </c>
    </row>
    <row r="2427">
      <c r="A2427" s="1" t="str">
        <f t="shared" si="486"/>
        <v>Dog : Elite Training</v>
      </c>
      <c r="B2427" s="1" t="str">
        <f t="shared" si="482"/>
        <v>https://m566.info/tk0rk6h</v>
      </c>
      <c r="C2427" s="1" t="str">
        <f>HYPERLINK("https://m566.info/tk0rk6h","Border Clollie")</f>
        <v>Border Clollie</v>
      </c>
    </row>
    <row r="2428">
      <c r="A2428" s="1" t="str">
        <f t="shared" si="486"/>
        <v>Dog : Elite Training</v>
      </c>
      <c r="B2428" s="1" t="str">
        <f t="shared" si="482"/>
        <v>https://m566.info/tk0rk6h</v>
      </c>
      <c r="C2428" s="1" t="str">
        <f>HYPERLINK("https://m566.info/tk0rk6h","Rotwieller")</f>
        <v>Rotwieller</v>
      </c>
    </row>
    <row r="2429">
      <c r="A2429" s="1" t="str">
        <f t="shared" si="486"/>
        <v>Dog : Elite Training</v>
      </c>
      <c r="B2429" s="1" t="str">
        <f t="shared" si="482"/>
        <v>https://m566.info/tk0rk6h</v>
      </c>
      <c r="C2429" s="1" t="str">
        <f>HYPERLINK("https://m566.info/tk0rk6h","Cross Bred")</f>
        <v>Cross Bred</v>
      </c>
    </row>
    <row r="2430">
      <c r="A2430" s="1" t="str">
        <f t="shared" si="486"/>
        <v>Dog : Elite Training</v>
      </c>
      <c r="B2430" s="1" t="str">
        <f t="shared" si="482"/>
        <v>https://m566.info/tk0rk6h</v>
      </c>
      <c r="C2430" s="1" t="str">
        <f>HYPERLINK("https://m566.info/tk0rk6h","Rotweiller")</f>
        <v>Rotweiller</v>
      </c>
    </row>
    <row r="2431">
      <c r="A2431" s="1" t="str">
        <f t="shared" ref="A2431:A2436" si="487">HYPERLINK("https://m566.info/r2hl46s","Dog Aggression Training")</f>
        <v>Dog Aggression Training</v>
      </c>
      <c r="B2431" s="1" t="str">
        <f t="shared" ref="B2431:B2460" si="488">HYPERLINK("https://m566.info/r2hl46s","https://m566.info/r2hl46s")</f>
        <v>https://m566.info/r2hl46s</v>
      </c>
      <c r="C2431" s="1" t="str">
        <f>HYPERLINK("https://m566.info/r2hl46s","Doberman")</f>
        <v>Doberman</v>
      </c>
    </row>
    <row r="2432">
      <c r="A2432" s="1" t="str">
        <f t="shared" si="487"/>
        <v>Dog Aggression Training</v>
      </c>
      <c r="B2432" s="1" t="str">
        <f t="shared" si="488"/>
        <v>https://m566.info/r2hl46s</v>
      </c>
      <c r="C2432" s="1" t="str">
        <f>HYPERLINK("https://m566.info/r2hl46s","German Shepherd")</f>
        <v>German Shepherd</v>
      </c>
    </row>
    <row r="2433">
      <c r="A2433" s="1" t="str">
        <f t="shared" si="487"/>
        <v>Dog Aggression Training</v>
      </c>
      <c r="B2433" s="1" t="str">
        <f t="shared" si="488"/>
        <v>https://m566.info/r2hl46s</v>
      </c>
      <c r="C2433" s="1" t="str">
        <f>HYPERLINK("https://m566.info/r2hl46s","Border Clollie")</f>
        <v>Border Clollie</v>
      </c>
    </row>
    <row r="2434">
      <c r="A2434" s="1" t="str">
        <f t="shared" si="487"/>
        <v>Dog Aggression Training</v>
      </c>
      <c r="B2434" s="1" t="str">
        <f t="shared" si="488"/>
        <v>https://m566.info/r2hl46s</v>
      </c>
      <c r="C2434" s="1" t="str">
        <f>HYPERLINK("https://m566.info/r2hl46s","Rotwieller")</f>
        <v>Rotwieller</v>
      </c>
    </row>
    <row r="2435">
      <c r="A2435" s="1" t="str">
        <f t="shared" si="487"/>
        <v>Dog Aggression Training</v>
      </c>
      <c r="B2435" s="1" t="str">
        <f t="shared" si="488"/>
        <v>https://m566.info/r2hl46s</v>
      </c>
      <c r="C2435" s="1" t="str">
        <f>HYPERLINK("https://m566.info/r2hl46s","Cross Bred")</f>
        <v>Cross Bred</v>
      </c>
    </row>
    <row r="2436">
      <c r="A2436" s="1" t="str">
        <f t="shared" si="487"/>
        <v>Dog Aggression Training</v>
      </c>
      <c r="B2436" s="1" t="str">
        <f t="shared" si="488"/>
        <v>https://m566.info/r2hl46s</v>
      </c>
      <c r="C2436" s="1" t="str">
        <f>HYPERLINK("https://m566.info/r2hl46s","Rotweiller")</f>
        <v>Rotweiller</v>
      </c>
    </row>
    <row r="2437">
      <c r="A2437" s="1" t="str">
        <f t="shared" ref="A2437:A2442" si="489">HYPERLINK("https://m566.info/r2hl46s","Dog Obedience Training")</f>
        <v>Dog Obedience Training</v>
      </c>
      <c r="B2437" s="1" t="str">
        <f t="shared" si="488"/>
        <v>https://m566.info/r2hl46s</v>
      </c>
      <c r="C2437" s="1" t="str">
        <f>HYPERLINK("https://m566.info/r2hl46s","Doberman")</f>
        <v>Doberman</v>
      </c>
    </row>
    <row r="2438">
      <c r="A2438" s="1" t="str">
        <f t="shared" si="489"/>
        <v>Dog Obedience Training</v>
      </c>
      <c r="B2438" s="1" t="str">
        <f t="shared" si="488"/>
        <v>https://m566.info/r2hl46s</v>
      </c>
      <c r="C2438" s="1" t="str">
        <f>HYPERLINK("https://m566.info/r2hl46s","German Shepherd")</f>
        <v>German Shepherd</v>
      </c>
    </row>
    <row r="2439">
      <c r="A2439" s="1" t="str">
        <f t="shared" si="489"/>
        <v>Dog Obedience Training</v>
      </c>
      <c r="B2439" s="1" t="str">
        <f t="shared" si="488"/>
        <v>https://m566.info/r2hl46s</v>
      </c>
      <c r="C2439" s="1" t="str">
        <f>HYPERLINK("https://m566.info/r2hl46s","Border Clollie")</f>
        <v>Border Clollie</v>
      </c>
    </row>
    <row r="2440">
      <c r="A2440" s="1" t="str">
        <f t="shared" si="489"/>
        <v>Dog Obedience Training</v>
      </c>
      <c r="B2440" s="1" t="str">
        <f t="shared" si="488"/>
        <v>https://m566.info/r2hl46s</v>
      </c>
      <c r="C2440" s="1" t="str">
        <f>HYPERLINK("https://m566.info/r2hl46s","Rotwieller")</f>
        <v>Rotwieller</v>
      </c>
    </row>
    <row r="2441">
      <c r="A2441" s="1" t="str">
        <f t="shared" si="489"/>
        <v>Dog Obedience Training</v>
      </c>
      <c r="B2441" s="1" t="str">
        <f t="shared" si="488"/>
        <v>https://m566.info/r2hl46s</v>
      </c>
      <c r="C2441" s="1" t="str">
        <f>HYPERLINK("https://m566.info/r2hl46s","Cross Bred")</f>
        <v>Cross Bred</v>
      </c>
    </row>
    <row r="2442">
      <c r="A2442" s="1" t="str">
        <f t="shared" si="489"/>
        <v>Dog Obedience Training</v>
      </c>
      <c r="B2442" s="1" t="str">
        <f t="shared" si="488"/>
        <v>https://m566.info/r2hl46s</v>
      </c>
      <c r="C2442" s="1" t="str">
        <f>HYPERLINK("https://m566.info/r2hl46s","Rotweiller")</f>
        <v>Rotweiller</v>
      </c>
    </row>
    <row r="2443">
      <c r="A2443" s="1" t="str">
        <f t="shared" ref="A2443:A2448" si="490">HYPERLINK("https://m566.info/r2hl46s","Dog House Training")</f>
        <v>Dog House Training</v>
      </c>
      <c r="B2443" s="1" t="str">
        <f t="shared" si="488"/>
        <v>https://m566.info/r2hl46s</v>
      </c>
      <c r="C2443" s="1" t="str">
        <f>HYPERLINK("https://m566.info/r2hl46s","Doberman")</f>
        <v>Doberman</v>
      </c>
    </row>
    <row r="2444">
      <c r="A2444" s="1" t="str">
        <f t="shared" si="490"/>
        <v>Dog House Training</v>
      </c>
      <c r="B2444" s="1" t="str">
        <f t="shared" si="488"/>
        <v>https://m566.info/r2hl46s</v>
      </c>
      <c r="C2444" s="1" t="str">
        <f>HYPERLINK("https://m566.info/r2hl46s","German Shepherd")</f>
        <v>German Shepherd</v>
      </c>
    </row>
    <row r="2445">
      <c r="A2445" s="1" t="str">
        <f t="shared" si="490"/>
        <v>Dog House Training</v>
      </c>
      <c r="B2445" s="1" t="str">
        <f t="shared" si="488"/>
        <v>https://m566.info/r2hl46s</v>
      </c>
      <c r="C2445" s="1" t="str">
        <f>HYPERLINK("https://m566.info/r2hl46s","Border Clollie")</f>
        <v>Border Clollie</v>
      </c>
    </row>
    <row r="2446">
      <c r="A2446" s="1" t="str">
        <f t="shared" si="490"/>
        <v>Dog House Training</v>
      </c>
      <c r="B2446" s="1" t="str">
        <f t="shared" si="488"/>
        <v>https://m566.info/r2hl46s</v>
      </c>
      <c r="C2446" s="1" t="str">
        <f>HYPERLINK("https://m566.info/r2hl46s","Rotwieller")</f>
        <v>Rotwieller</v>
      </c>
    </row>
    <row r="2447">
      <c r="A2447" s="1" t="str">
        <f t="shared" si="490"/>
        <v>Dog House Training</v>
      </c>
      <c r="B2447" s="1" t="str">
        <f t="shared" si="488"/>
        <v>https://m566.info/r2hl46s</v>
      </c>
      <c r="C2447" s="1" t="str">
        <f>HYPERLINK("https://m566.info/r2hl46s","Cross Bred")</f>
        <v>Cross Bred</v>
      </c>
    </row>
    <row r="2448">
      <c r="A2448" s="1" t="str">
        <f t="shared" si="490"/>
        <v>Dog House Training</v>
      </c>
      <c r="B2448" s="1" t="str">
        <f t="shared" si="488"/>
        <v>https://m566.info/r2hl46s</v>
      </c>
      <c r="C2448" s="1" t="str">
        <f>HYPERLINK("https://m566.info/r2hl46s","Rotweiller")</f>
        <v>Rotweiller</v>
      </c>
    </row>
    <row r="2449">
      <c r="A2449" s="1" t="str">
        <f t="shared" ref="A2449:A2454" si="491">HYPERLINK("https://m566.info/r2hl46s","Dog Behaviour Training")</f>
        <v>Dog Behaviour Training</v>
      </c>
      <c r="B2449" s="1" t="str">
        <f t="shared" si="488"/>
        <v>https://m566.info/r2hl46s</v>
      </c>
      <c r="C2449" s="1" t="str">
        <f>HYPERLINK("https://m566.info/r2hl46s","Doberman")</f>
        <v>Doberman</v>
      </c>
    </row>
    <row r="2450">
      <c r="A2450" s="1" t="str">
        <f t="shared" si="491"/>
        <v>Dog Behaviour Training</v>
      </c>
      <c r="B2450" s="1" t="str">
        <f t="shared" si="488"/>
        <v>https://m566.info/r2hl46s</v>
      </c>
      <c r="C2450" s="1" t="str">
        <f>HYPERLINK("https://m566.info/r2hl46s","German Shepherd")</f>
        <v>German Shepherd</v>
      </c>
    </row>
    <row r="2451">
      <c r="A2451" s="1" t="str">
        <f t="shared" si="491"/>
        <v>Dog Behaviour Training</v>
      </c>
      <c r="B2451" s="1" t="str">
        <f t="shared" si="488"/>
        <v>https://m566.info/r2hl46s</v>
      </c>
      <c r="C2451" s="1" t="str">
        <f>HYPERLINK("https://m566.info/r2hl46s","Border Clollie")</f>
        <v>Border Clollie</v>
      </c>
    </row>
    <row r="2452">
      <c r="A2452" s="1" t="str">
        <f t="shared" si="491"/>
        <v>Dog Behaviour Training</v>
      </c>
      <c r="B2452" s="1" t="str">
        <f t="shared" si="488"/>
        <v>https://m566.info/r2hl46s</v>
      </c>
      <c r="C2452" s="1" t="str">
        <f>HYPERLINK("https://m566.info/r2hl46s","Rotwieller")</f>
        <v>Rotwieller</v>
      </c>
    </row>
    <row r="2453">
      <c r="A2453" s="1" t="str">
        <f t="shared" si="491"/>
        <v>Dog Behaviour Training</v>
      </c>
      <c r="B2453" s="1" t="str">
        <f t="shared" si="488"/>
        <v>https://m566.info/r2hl46s</v>
      </c>
      <c r="C2453" s="1" t="str">
        <f>HYPERLINK("https://m566.info/r2hl46s","Cross Bred")</f>
        <v>Cross Bred</v>
      </c>
    </row>
    <row r="2454">
      <c r="A2454" s="1" t="str">
        <f t="shared" si="491"/>
        <v>Dog Behaviour Training</v>
      </c>
      <c r="B2454" s="1" t="str">
        <f t="shared" si="488"/>
        <v>https://m566.info/r2hl46s</v>
      </c>
      <c r="C2454" s="1" t="str">
        <f>HYPERLINK("https://m566.info/r2hl46s","Rotweiller")</f>
        <v>Rotweiller</v>
      </c>
    </row>
    <row r="2455">
      <c r="A2455" s="1" t="str">
        <f t="shared" ref="A2455:A2460" si="492">HYPERLINK("https://m566.info/r2hl46s","Dog : Elite Training")</f>
        <v>Dog : Elite Training</v>
      </c>
      <c r="B2455" s="1" t="str">
        <f t="shared" si="488"/>
        <v>https://m566.info/r2hl46s</v>
      </c>
      <c r="C2455" s="1" t="str">
        <f>HYPERLINK("https://m566.info/r2hl46s","Doberman")</f>
        <v>Doberman</v>
      </c>
    </row>
    <row r="2456">
      <c r="A2456" s="1" t="str">
        <f t="shared" si="492"/>
        <v>Dog : Elite Training</v>
      </c>
      <c r="B2456" s="1" t="str">
        <f t="shared" si="488"/>
        <v>https://m566.info/r2hl46s</v>
      </c>
      <c r="C2456" s="1" t="str">
        <f>HYPERLINK("https://m566.info/r2hl46s","German Shepherd")</f>
        <v>German Shepherd</v>
      </c>
    </row>
    <row r="2457">
      <c r="A2457" s="1" t="str">
        <f t="shared" si="492"/>
        <v>Dog : Elite Training</v>
      </c>
      <c r="B2457" s="1" t="str">
        <f t="shared" si="488"/>
        <v>https://m566.info/r2hl46s</v>
      </c>
      <c r="C2457" s="1" t="str">
        <f>HYPERLINK("https://m566.info/r2hl46s","Border Clollie")</f>
        <v>Border Clollie</v>
      </c>
    </row>
    <row r="2458">
      <c r="A2458" s="1" t="str">
        <f t="shared" si="492"/>
        <v>Dog : Elite Training</v>
      </c>
      <c r="B2458" s="1" t="str">
        <f t="shared" si="488"/>
        <v>https://m566.info/r2hl46s</v>
      </c>
      <c r="C2458" s="1" t="str">
        <f>HYPERLINK("https://m566.info/r2hl46s","Rotwieller")</f>
        <v>Rotwieller</v>
      </c>
    </row>
    <row r="2459">
      <c r="A2459" s="1" t="str">
        <f t="shared" si="492"/>
        <v>Dog : Elite Training</v>
      </c>
      <c r="B2459" s="1" t="str">
        <f t="shared" si="488"/>
        <v>https://m566.info/r2hl46s</v>
      </c>
      <c r="C2459" s="1" t="str">
        <f>HYPERLINK("https://m566.info/r2hl46s","Cross Bred")</f>
        <v>Cross Bred</v>
      </c>
    </row>
    <row r="2460">
      <c r="A2460" s="1" t="str">
        <f t="shared" si="492"/>
        <v>Dog : Elite Training</v>
      </c>
      <c r="B2460" s="1" t="str">
        <f t="shared" si="488"/>
        <v>https://m566.info/r2hl46s</v>
      </c>
      <c r="C2460" s="1" t="str">
        <f>HYPERLINK("https://m566.info/r2hl46s","Rotweiller")</f>
        <v>Rotweiller</v>
      </c>
    </row>
    <row r="2461">
      <c r="A2461" s="1" t="str">
        <f t="shared" ref="A2461:A2466" si="493">HYPERLINK("https://m566.info/gzlswo6","Dog Aggression Training")</f>
        <v>Dog Aggression Training</v>
      </c>
      <c r="B2461" s="1" t="str">
        <f t="shared" ref="B2461:B2490" si="494">HYPERLINK("https://m566.info/gzlswo6","https://m566.info/gzlswo6")</f>
        <v>https://m566.info/gzlswo6</v>
      </c>
      <c r="C2461" s="1" t="str">
        <f>HYPERLINK("https://m566.info/gzlswo6","Doberman")</f>
        <v>Doberman</v>
      </c>
    </row>
    <row r="2462">
      <c r="A2462" s="1" t="str">
        <f t="shared" si="493"/>
        <v>Dog Aggression Training</v>
      </c>
      <c r="B2462" s="1" t="str">
        <f t="shared" si="494"/>
        <v>https://m566.info/gzlswo6</v>
      </c>
      <c r="C2462" s="1" t="str">
        <f>HYPERLINK("https://m566.info/gzlswo6","German Shepherd")</f>
        <v>German Shepherd</v>
      </c>
    </row>
    <row r="2463">
      <c r="A2463" s="1" t="str">
        <f t="shared" si="493"/>
        <v>Dog Aggression Training</v>
      </c>
      <c r="B2463" s="1" t="str">
        <f t="shared" si="494"/>
        <v>https://m566.info/gzlswo6</v>
      </c>
      <c r="C2463" s="1" t="str">
        <f>HYPERLINK("https://m566.info/gzlswo6","Border Clollie")</f>
        <v>Border Clollie</v>
      </c>
    </row>
    <row r="2464">
      <c r="A2464" s="1" t="str">
        <f t="shared" si="493"/>
        <v>Dog Aggression Training</v>
      </c>
      <c r="B2464" s="1" t="str">
        <f t="shared" si="494"/>
        <v>https://m566.info/gzlswo6</v>
      </c>
      <c r="C2464" s="1" t="str">
        <f>HYPERLINK("https://m566.info/gzlswo6","Rotwieller")</f>
        <v>Rotwieller</v>
      </c>
    </row>
    <row r="2465">
      <c r="A2465" s="1" t="str">
        <f t="shared" si="493"/>
        <v>Dog Aggression Training</v>
      </c>
      <c r="B2465" s="1" t="str">
        <f t="shared" si="494"/>
        <v>https://m566.info/gzlswo6</v>
      </c>
      <c r="C2465" s="1" t="str">
        <f>HYPERLINK("https://m566.info/gzlswo6","Cross Bred")</f>
        <v>Cross Bred</v>
      </c>
    </row>
    <row r="2466">
      <c r="A2466" s="1" t="str">
        <f t="shared" si="493"/>
        <v>Dog Aggression Training</v>
      </c>
      <c r="B2466" s="1" t="str">
        <f t="shared" si="494"/>
        <v>https://m566.info/gzlswo6</v>
      </c>
      <c r="C2466" s="1" t="str">
        <f>HYPERLINK("https://m566.info/gzlswo6","Rotweiller")</f>
        <v>Rotweiller</v>
      </c>
    </row>
    <row r="2467">
      <c r="A2467" s="1" t="str">
        <f t="shared" ref="A2467:A2472" si="495">HYPERLINK("https://m566.info/gzlswo6","Dog Obedience Training")</f>
        <v>Dog Obedience Training</v>
      </c>
      <c r="B2467" s="1" t="str">
        <f t="shared" si="494"/>
        <v>https://m566.info/gzlswo6</v>
      </c>
      <c r="C2467" s="1" t="str">
        <f>HYPERLINK("https://m566.info/gzlswo6","Doberman")</f>
        <v>Doberman</v>
      </c>
    </row>
    <row r="2468">
      <c r="A2468" s="1" t="str">
        <f t="shared" si="495"/>
        <v>Dog Obedience Training</v>
      </c>
      <c r="B2468" s="1" t="str">
        <f t="shared" si="494"/>
        <v>https://m566.info/gzlswo6</v>
      </c>
      <c r="C2468" s="1" t="str">
        <f>HYPERLINK("https://m566.info/gzlswo6","German Shepherd")</f>
        <v>German Shepherd</v>
      </c>
    </row>
    <row r="2469">
      <c r="A2469" s="1" t="str">
        <f t="shared" si="495"/>
        <v>Dog Obedience Training</v>
      </c>
      <c r="B2469" s="1" t="str">
        <f t="shared" si="494"/>
        <v>https://m566.info/gzlswo6</v>
      </c>
      <c r="C2469" s="1" t="str">
        <f>HYPERLINK("https://m566.info/gzlswo6","Border Clollie")</f>
        <v>Border Clollie</v>
      </c>
    </row>
    <row r="2470">
      <c r="A2470" s="1" t="str">
        <f t="shared" si="495"/>
        <v>Dog Obedience Training</v>
      </c>
      <c r="B2470" s="1" t="str">
        <f t="shared" si="494"/>
        <v>https://m566.info/gzlswo6</v>
      </c>
      <c r="C2470" s="1" t="str">
        <f>HYPERLINK("https://m566.info/gzlswo6","Rotwieller")</f>
        <v>Rotwieller</v>
      </c>
    </row>
    <row r="2471">
      <c r="A2471" s="1" t="str">
        <f t="shared" si="495"/>
        <v>Dog Obedience Training</v>
      </c>
      <c r="B2471" s="1" t="str">
        <f t="shared" si="494"/>
        <v>https://m566.info/gzlswo6</v>
      </c>
      <c r="C2471" s="1" t="str">
        <f>HYPERLINK("https://m566.info/gzlswo6","Cross Bred")</f>
        <v>Cross Bred</v>
      </c>
    </row>
    <row r="2472">
      <c r="A2472" s="1" t="str">
        <f t="shared" si="495"/>
        <v>Dog Obedience Training</v>
      </c>
      <c r="B2472" s="1" t="str">
        <f t="shared" si="494"/>
        <v>https://m566.info/gzlswo6</v>
      </c>
      <c r="C2472" s="1" t="str">
        <f>HYPERLINK("https://m566.info/gzlswo6","Rotweiller")</f>
        <v>Rotweiller</v>
      </c>
    </row>
    <row r="2473">
      <c r="A2473" s="1" t="str">
        <f t="shared" ref="A2473:A2478" si="496">HYPERLINK("https://m566.info/gzlswo6","Dog House Training")</f>
        <v>Dog House Training</v>
      </c>
      <c r="B2473" s="1" t="str">
        <f t="shared" si="494"/>
        <v>https://m566.info/gzlswo6</v>
      </c>
      <c r="C2473" s="1" t="str">
        <f>HYPERLINK("https://m566.info/gzlswo6","Doberman")</f>
        <v>Doberman</v>
      </c>
    </row>
    <row r="2474">
      <c r="A2474" s="1" t="str">
        <f t="shared" si="496"/>
        <v>Dog House Training</v>
      </c>
      <c r="B2474" s="1" t="str">
        <f t="shared" si="494"/>
        <v>https://m566.info/gzlswo6</v>
      </c>
      <c r="C2474" s="1" t="str">
        <f>HYPERLINK("https://m566.info/gzlswo6","German Shepherd")</f>
        <v>German Shepherd</v>
      </c>
    </row>
    <row r="2475">
      <c r="A2475" s="1" t="str">
        <f t="shared" si="496"/>
        <v>Dog House Training</v>
      </c>
      <c r="B2475" s="1" t="str">
        <f t="shared" si="494"/>
        <v>https://m566.info/gzlswo6</v>
      </c>
      <c r="C2475" s="1" t="str">
        <f>HYPERLINK("https://m566.info/gzlswo6","Border Clollie")</f>
        <v>Border Clollie</v>
      </c>
    </row>
    <row r="2476">
      <c r="A2476" s="1" t="str">
        <f t="shared" si="496"/>
        <v>Dog House Training</v>
      </c>
      <c r="B2476" s="1" t="str">
        <f t="shared" si="494"/>
        <v>https://m566.info/gzlswo6</v>
      </c>
      <c r="C2476" s="1" t="str">
        <f>HYPERLINK("https://m566.info/gzlswo6","Rotwieller")</f>
        <v>Rotwieller</v>
      </c>
    </row>
    <row r="2477">
      <c r="A2477" s="1" t="str">
        <f t="shared" si="496"/>
        <v>Dog House Training</v>
      </c>
      <c r="B2477" s="1" t="str">
        <f t="shared" si="494"/>
        <v>https://m566.info/gzlswo6</v>
      </c>
      <c r="C2477" s="1" t="str">
        <f>HYPERLINK("https://m566.info/gzlswo6","Cross Bred")</f>
        <v>Cross Bred</v>
      </c>
    </row>
    <row r="2478">
      <c r="A2478" s="1" t="str">
        <f t="shared" si="496"/>
        <v>Dog House Training</v>
      </c>
      <c r="B2478" s="1" t="str">
        <f t="shared" si="494"/>
        <v>https://m566.info/gzlswo6</v>
      </c>
      <c r="C2478" s="1" t="str">
        <f>HYPERLINK("https://m566.info/gzlswo6","Rotweiller")</f>
        <v>Rotweiller</v>
      </c>
    </row>
    <row r="2479">
      <c r="A2479" s="1" t="str">
        <f t="shared" ref="A2479:A2484" si="497">HYPERLINK("https://m566.info/gzlswo6","Dog Behaviour Training")</f>
        <v>Dog Behaviour Training</v>
      </c>
      <c r="B2479" s="1" t="str">
        <f t="shared" si="494"/>
        <v>https://m566.info/gzlswo6</v>
      </c>
      <c r="C2479" s="1" t="str">
        <f>HYPERLINK("https://m566.info/gzlswo6","Doberman")</f>
        <v>Doberman</v>
      </c>
    </row>
    <row r="2480">
      <c r="A2480" s="1" t="str">
        <f t="shared" si="497"/>
        <v>Dog Behaviour Training</v>
      </c>
      <c r="B2480" s="1" t="str">
        <f t="shared" si="494"/>
        <v>https://m566.info/gzlswo6</v>
      </c>
      <c r="C2480" s="1" t="str">
        <f>HYPERLINK("https://m566.info/gzlswo6","German Shepherd")</f>
        <v>German Shepherd</v>
      </c>
    </row>
    <row r="2481">
      <c r="A2481" s="1" t="str">
        <f t="shared" si="497"/>
        <v>Dog Behaviour Training</v>
      </c>
      <c r="B2481" s="1" t="str">
        <f t="shared" si="494"/>
        <v>https://m566.info/gzlswo6</v>
      </c>
      <c r="C2481" s="1" t="str">
        <f>HYPERLINK("https://m566.info/gzlswo6","Border Clollie")</f>
        <v>Border Clollie</v>
      </c>
    </row>
    <row r="2482">
      <c r="A2482" s="1" t="str">
        <f t="shared" si="497"/>
        <v>Dog Behaviour Training</v>
      </c>
      <c r="B2482" s="1" t="str">
        <f t="shared" si="494"/>
        <v>https://m566.info/gzlswo6</v>
      </c>
      <c r="C2482" s="1" t="str">
        <f>HYPERLINK("https://m566.info/gzlswo6","Rotwieller")</f>
        <v>Rotwieller</v>
      </c>
    </row>
    <row r="2483">
      <c r="A2483" s="1" t="str">
        <f t="shared" si="497"/>
        <v>Dog Behaviour Training</v>
      </c>
      <c r="B2483" s="1" t="str">
        <f t="shared" si="494"/>
        <v>https://m566.info/gzlswo6</v>
      </c>
      <c r="C2483" s="1" t="str">
        <f>HYPERLINK("https://m566.info/gzlswo6","Cross Bred")</f>
        <v>Cross Bred</v>
      </c>
    </row>
    <row r="2484">
      <c r="A2484" s="1" t="str">
        <f t="shared" si="497"/>
        <v>Dog Behaviour Training</v>
      </c>
      <c r="B2484" s="1" t="str">
        <f t="shared" si="494"/>
        <v>https://m566.info/gzlswo6</v>
      </c>
      <c r="C2484" s="1" t="str">
        <f>HYPERLINK("https://m566.info/gzlswo6","Rotweiller")</f>
        <v>Rotweiller</v>
      </c>
    </row>
    <row r="2485">
      <c r="A2485" s="1" t="str">
        <f t="shared" ref="A2485:A2490" si="498">HYPERLINK("https://m566.info/gzlswo6","Dog : Elite Training")</f>
        <v>Dog : Elite Training</v>
      </c>
      <c r="B2485" s="1" t="str">
        <f t="shared" si="494"/>
        <v>https://m566.info/gzlswo6</v>
      </c>
      <c r="C2485" s="1" t="str">
        <f>HYPERLINK("https://m566.info/gzlswo6","Doberman")</f>
        <v>Doberman</v>
      </c>
    </row>
    <row r="2486">
      <c r="A2486" s="1" t="str">
        <f t="shared" si="498"/>
        <v>Dog : Elite Training</v>
      </c>
      <c r="B2486" s="1" t="str">
        <f t="shared" si="494"/>
        <v>https://m566.info/gzlswo6</v>
      </c>
      <c r="C2486" s="1" t="str">
        <f>HYPERLINK("https://m566.info/gzlswo6","German Shepherd")</f>
        <v>German Shepherd</v>
      </c>
    </row>
    <row r="2487">
      <c r="A2487" s="1" t="str">
        <f t="shared" si="498"/>
        <v>Dog : Elite Training</v>
      </c>
      <c r="B2487" s="1" t="str">
        <f t="shared" si="494"/>
        <v>https://m566.info/gzlswo6</v>
      </c>
      <c r="C2487" s="1" t="str">
        <f>HYPERLINK("https://m566.info/gzlswo6","Border Clollie")</f>
        <v>Border Clollie</v>
      </c>
    </row>
    <row r="2488">
      <c r="A2488" s="1" t="str">
        <f t="shared" si="498"/>
        <v>Dog : Elite Training</v>
      </c>
      <c r="B2488" s="1" t="str">
        <f t="shared" si="494"/>
        <v>https://m566.info/gzlswo6</v>
      </c>
      <c r="C2488" s="1" t="str">
        <f>HYPERLINK("https://m566.info/gzlswo6","Rotwieller")</f>
        <v>Rotwieller</v>
      </c>
    </row>
    <row r="2489">
      <c r="A2489" s="1" t="str">
        <f t="shared" si="498"/>
        <v>Dog : Elite Training</v>
      </c>
      <c r="B2489" s="1" t="str">
        <f t="shared" si="494"/>
        <v>https://m566.info/gzlswo6</v>
      </c>
      <c r="C2489" s="1" t="str">
        <f>HYPERLINK("https://m566.info/gzlswo6","Cross Bred")</f>
        <v>Cross Bred</v>
      </c>
    </row>
    <row r="2490">
      <c r="A2490" s="1" t="str">
        <f t="shared" si="498"/>
        <v>Dog : Elite Training</v>
      </c>
      <c r="B2490" s="1" t="str">
        <f t="shared" si="494"/>
        <v>https://m566.info/gzlswo6</v>
      </c>
      <c r="C2490" s="1" t="str">
        <f>HYPERLINK("https://m566.info/gzlswo6","Rotweiller")</f>
        <v>Rotweiller</v>
      </c>
    </row>
    <row r="2491">
      <c r="A2491" s="1" t="str">
        <f t="shared" ref="A2491:A2496" si="499">HYPERLINK("https://m566.info/hn8xbik","Dog Aggression Training")</f>
        <v>Dog Aggression Training</v>
      </c>
      <c r="B2491" s="1" t="str">
        <f t="shared" ref="B2491:B2520" si="500">HYPERLINK("https://m566.info/hn8xbik","https://m566.info/hn8xbik")</f>
        <v>https://m566.info/hn8xbik</v>
      </c>
      <c r="C2491" s="1" t="str">
        <f>HYPERLINK("https://m566.info/hn8xbik","Doberman")</f>
        <v>Doberman</v>
      </c>
    </row>
    <row r="2492">
      <c r="A2492" s="1" t="str">
        <f t="shared" si="499"/>
        <v>Dog Aggression Training</v>
      </c>
      <c r="B2492" s="1" t="str">
        <f t="shared" si="500"/>
        <v>https://m566.info/hn8xbik</v>
      </c>
      <c r="C2492" s="1" t="str">
        <f>HYPERLINK("https://m566.info/hn8xbik","German Shepherd")</f>
        <v>German Shepherd</v>
      </c>
    </row>
    <row r="2493">
      <c r="A2493" s="1" t="str">
        <f t="shared" si="499"/>
        <v>Dog Aggression Training</v>
      </c>
      <c r="B2493" s="1" t="str">
        <f t="shared" si="500"/>
        <v>https://m566.info/hn8xbik</v>
      </c>
      <c r="C2493" s="1" t="str">
        <f>HYPERLINK("https://m566.info/hn8xbik","Border Clollie")</f>
        <v>Border Clollie</v>
      </c>
    </row>
    <row r="2494">
      <c r="A2494" s="1" t="str">
        <f t="shared" si="499"/>
        <v>Dog Aggression Training</v>
      </c>
      <c r="B2494" s="1" t="str">
        <f t="shared" si="500"/>
        <v>https://m566.info/hn8xbik</v>
      </c>
      <c r="C2494" s="1" t="str">
        <f>HYPERLINK("https://m566.info/hn8xbik","Rotwieller")</f>
        <v>Rotwieller</v>
      </c>
    </row>
    <row r="2495">
      <c r="A2495" s="1" t="str">
        <f t="shared" si="499"/>
        <v>Dog Aggression Training</v>
      </c>
      <c r="B2495" s="1" t="str">
        <f t="shared" si="500"/>
        <v>https://m566.info/hn8xbik</v>
      </c>
      <c r="C2495" s="1" t="str">
        <f>HYPERLINK("https://m566.info/hn8xbik","Cross Bred")</f>
        <v>Cross Bred</v>
      </c>
    </row>
    <row r="2496">
      <c r="A2496" s="1" t="str">
        <f t="shared" si="499"/>
        <v>Dog Aggression Training</v>
      </c>
      <c r="B2496" s="1" t="str">
        <f t="shared" si="500"/>
        <v>https://m566.info/hn8xbik</v>
      </c>
      <c r="C2496" s="1" t="str">
        <f>HYPERLINK("https://m566.info/hn8xbik","Rotweiller")</f>
        <v>Rotweiller</v>
      </c>
    </row>
    <row r="2497">
      <c r="A2497" s="1" t="str">
        <f t="shared" ref="A2497:A2502" si="501">HYPERLINK("https://m566.info/hn8xbik","Dog Obedience Training")</f>
        <v>Dog Obedience Training</v>
      </c>
      <c r="B2497" s="1" t="str">
        <f t="shared" si="500"/>
        <v>https://m566.info/hn8xbik</v>
      </c>
      <c r="C2497" s="1" t="str">
        <f>HYPERLINK("https://m566.info/hn8xbik","Doberman")</f>
        <v>Doberman</v>
      </c>
    </row>
    <row r="2498">
      <c r="A2498" s="1" t="str">
        <f t="shared" si="501"/>
        <v>Dog Obedience Training</v>
      </c>
      <c r="B2498" s="1" t="str">
        <f t="shared" si="500"/>
        <v>https://m566.info/hn8xbik</v>
      </c>
      <c r="C2498" s="1" t="str">
        <f>HYPERLINK("https://m566.info/hn8xbik","German Shepherd")</f>
        <v>German Shepherd</v>
      </c>
    </row>
    <row r="2499">
      <c r="A2499" s="1" t="str">
        <f t="shared" si="501"/>
        <v>Dog Obedience Training</v>
      </c>
      <c r="B2499" s="1" t="str">
        <f t="shared" si="500"/>
        <v>https://m566.info/hn8xbik</v>
      </c>
      <c r="C2499" s="1" t="str">
        <f>HYPERLINK("https://m566.info/hn8xbik","Border Clollie")</f>
        <v>Border Clollie</v>
      </c>
    </row>
    <row r="2500">
      <c r="A2500" s="1" t="str">
        <f t="shared" si="501"/>
        <v>Dog Obedience Training</v>
      </c>
      <c r="B2500" s="1" t="str">
        <f t="shared" si="500"/>
        <v>https://m566.info/hn8xbik</v>
      </c>
      <c r="C2500" s="1" t="str">
        <f>HYPERLINK("https://m566.info/hn8xbik","Rotwieller")</f>
        <v>Rotwieller</v>
      </c>
    </row>
    <row r="2501">
      <c r="A2501" s="1" t="str">
        <f t="shared" si="501"/>
        <v>Dog Obedience Training</v>
      </c>
      <c r="B2501" s="1" t="str">
        <f t="shared" si="500"/>
        <v>https://m566.info/hn8xbik</v>
      </c>
      <c r="C2501" s="1" t="str">
        <f>HYPERLINK("https://m566.info/hn8xbik","Cross Bred")</f>
        <v>Cross Bred</v>
      </c>
    </row>
    <row r="2502">
      <c r="A2502" s="1" t="str">
        <f t="shared" si="501"/>
        <v>Dog Obedience Training</v>
      </c>
      <c r="B2502" s="1" t="str">
        <f t="shared" si="500"/>
        <v>https://m566.info/hn8xbik</v>
      </c>
      <c r="C2502" s="1" t="str">
        <f>HYPERLINK("https://m566.info/hn8xbik","Rotweiller")</f>
        <v>Rotweiller</v>
      </c>
    </row>
    <row r="2503">
      <c r="A2503" s="1" t="str">
        <f t="shared" ref="A2503:A2508" si="502">HYPERLINK("https://m566.info/hn8xbik","Dog House Training")</f>
        <v>Dog House Training</v>
      </c>
      <c r="B2503" s="1" t="str">
        <f t="shared" si="500"/>
        <v>https://m566.info/hn8xbik</v>
      </c>
      <c r="C2503" s="1" t="str">
        <f>HYPERLINK("https://m566.info/hn8xbik","Doberman")</f>
        <v>Doberman</v>
      </c>
    </row>
    <row r="2504">
      <c r="A2504" s="1" t="str">
        <f t="shared" si="502"/>
        <v>Dog House Training</v>
      </c>
      <c r="B2504" s="1" t="str">
        <f t="shared" si="500"/>
        <v>https://m566.info/hn8xbik</v>
      </c>
      <c r="C2504" s="1" t="str">
        <f>HYPERLINK("https://m566.info/hn8xbik","German Shepherd")</f>
        <v>German Shepherd</v>
      </c>
    </row>
    <row r="2505">
      <c r="A2505" s="1" t="str">
        <f t="shared" si="502"/>
        <v>Dog House Training</v>
      </c>
      <c r="B2505" s="1" t="str">
        <f t="shared" si="500"/>
        <v>https://m566.info/hn8xbik</v>
      </c>
      <c r="C2505" s="1" t="str">
        <f>HYPERLINK("https://m566.info/hn8xbik","Border Clollie")</f>
        <v>Border Clollie</v>
      </c>
    </row>
    <row r="2506">
      <c r="A2506" s="1" t="str">
        <f t="shared" si="502"/>
        <v>Dog House Training</v>
      </c>
      <c r="B2506" s="1" t="str">
        <f t="shared" si="500"/>
        <v>https://m566.info/hn8xbik</v>
      </c>
      <c r="C2506" s="1" t="str">
        <f>HYPERLINK("https://m566.info/hn8xbik","Rotwieller")</f>
        <v>Rotwieller</v>
      </c>
    </row>
    <row r="2507">
      <c r="A2507" s="1" t="str">
        <f t="shared" si="502"/>
        <v>Dog House Training</v>
      </c>
      <c r="B2507" s="1" t="str">
        <f t="shared" si="500"/>
        <v>https://m566.info/hn8xbik</v>
      </c>
      <c r="C2507" s="1" t="str">
        <f>HYPERLINK("https://m566.info/hn8xbik","Cross Bred")</f>
        <v>Cross Bred</v>
      </c>
    </row>
    <row r="2508">
      <c r="A2508" s="1" t="str">
        <f t="shared" si="502"/>
        <v>Dog House Training</v>
      </c>
      <c r="B2508" s="1" t="str">
        <f t="shared" si="500"/>
        <v>https://m566.info/hn8xbik</v>
      </c>
      <c r="C2508" s="1" t="str">
        <f>HYPERLINK("https://m566.info/hn8xbik","Rotweiller")</f>
        <v>Rotweiller</v>
      </c>
    </row>
    <row r="2509">
      <c r="A2509" s="1" t="str">
        <f t="shared" ref="A2509:A2514" si="503">HYPERLINK("https://m566.info/hn8xbik","Dog Behaviour Training")</f>
        <v>Dog Behaviour Training</v>
      </c>
      <c r="B2509" s="1" t="str">
        <f t="shared" si="500"/>
        <v>https://m566.info/hn8xbik</v>
      </c>
      <c r="C2509" s="1" t="str">
        <f>HYPERLINK("https://m566.info/hn8xbik","Doberman")</f>
        <v>Doberman</v>
      </c>
    </row>
    <row r="2510">
      <c r="A2510" s="1" t="str">
        <f t="shared" si="503"/>
        <v>Dog Behaviour Training</v>
      </c>
      <c r="B2510" s="1" t="str">
        <f t="shared" si="500"/>
        <v>https://m566.info/hn8xbik</v>
      </c>
      <c r="C2510" s="1" t="str">
        <f>HYPERLINK("https://m566.info/hn8xbik","German Shepherd")</f>
        <v>German Shepherd</v>
      </c>
    </row>
    <row r="2511">
      <c r="A2511" s="1" t="str">
        <f t="shared" si="503"/>
        <v>Dog Behaviour Training</v>
      </c>
      <c r="B2511" s="1" t="str">
        <f t="shared" si="500"/>
        <v>https://m566.info/hn8xbik</v>
      </c>
      <c r="C2511" s="1" t="str">
        <f>HYPERLINK("https://m566.info/hn8xbik","Border Clollie")</f>
        <v>Border Clollie</v>
      </c>
    </row>
    <row r="2512">
      <c r="A2512" s="1" t="str">
        <f t="shared" si="503"/>
        <v>Dog Behaviour Training</v>
      </c>
      <c r="B2512" s="1" t="str">
        <f t="shared" si="500"/>
        <v>https://m566.info/hn8xbik</v>
      </c>
      <c r="C2512" s="1" t="str">
        <f>HYPERLINK("https://m566.info/hn8xbik","Rotwieller")</f>
        <v>Rotwieller</v>
      </c>
    </row>
    <row r="2513">
      <c r="A2513" s="1" t="str">
        <f t="shared" si="503"/>
        <v>Dog Behaviour Training</v>
      </c>
      <c r="B2513" s="1" t="str">
        <f t="shared" si="500"/>
        <v>https://m566.info/hn8xbik</v>
      </c>
      <c r="C2513" s="1" t="str">
        <f>HYPERLINK("https://m566.info/hn8xbik","Cross Bred")</f>
        <v>Cross Bred</v>
      </c>
    </row>
    <row r="2514">
      <c r="A2514" s="1" t="str">
        <f t="shared" si="503"/>
        <v>Dog Behaviour Training</v>
      </c>
      <c r="B2514" s="1" t="str">
        <f t="shared" si="500"/>
        <v>https://m566.info/hn8xbik</v>
      </c>
      <c r="C2514" s="1" t="str">
        <f>HYPERLINK("https://m566.info/hn8xbik","Rotweiller")</f>
        <v>Rotweiller</v>
      </c>
    </row>
    <row r="2515">
      <c r="A2515" s="1" t="str">
        <f t="shared" ref="A2515:A2520" si="504">HYPERLINK("https://m566.info/hn8xbik","Dog : Elite Training")</f>
        <v>Dog : Elite Training</v>
      </c>
      <c r="B2515" s="1" t="str">
        <f t="shared" si="500"/>
        <v>https://m566.info/hn8xbik</v>
      </c>
      <c r="C2515" s="1" t="str">
        <f>HYPERLINK("https://m566.info/hn8xbik","Doberman")</f>
        <v>Doberman</v>
      </c>
    </row>
    <row r="2516">
      <c r="A2516" s="1" t="str">
        <f t="shared" si="504"/>
        <v>Dog : Elite Training</v>
      </c>
      <c r="B2516" s="1" t="str">
        <f t="shared" si="500"/>
        <v>https://m566.info/hn8xbik</v>
      </c>
      <c r="C2516" s="1" t="str">
        <f>HYPERLINK("https://m566.info/hn8xbik","German Shepherd")</f>
        <v>German Shepherd</v>
      </c>
    </row>
    <row r="2517">
      <c r="A2517" s="1" t="str">
        <f t="shared" si="504"/>
        <v>Dog : Elite Training</v>
      </c>
      <c r="B2517" s="1" t="str">
        <f t="shared" si="500"/>
        <v>https://m566.info/hn8xbik</v>
      </c>
      <c r="C2517" s="1" t="str">
        <f>HYPERLINK("https://m566.info/hn8xbik","Border Clollie")</f>
        <v>Border Clollie</v>
      </c>
    </row>
    <row r="2518">
      <c r="A2518" s="1" t="str">
        <f t="shared" si="504"/>
        <v>Dog : Elite Training</v>
      </c>
      <c r="B2518" s="1" t="str">
        <f t="shared" si="500"/>
        <v>https://m566.info/hn8xbik</v>
      </c>
      <c r="C2518" s="1" t="str">
        <f>HYPERLINK("https://m566.info/hn8xbik","Rotwieller")</f>
        <v>Rotwieller</v>
      </c>
    </row>
    <row r="2519">
      <c r="A2519" s="1" t="str">
        <f t="shared" si="504"/>
        <v>Dog : Elite Training</v>
      </c>
      <c r="B2519" s="1" t="str">
        <f t="shared" si="500"/>
        <v>https://m566.info/hn8xbik</v>
      </c>
      <c r="C2519" s="1" t="str">
        <f>HYPERLINK("https://m566.info/hn8xbik","Cross Bred")</f>
        <v>Cross Bred</v>
      </c>
    </row>
    <row r="2520">
      <c r="A2520" s="1" t="str">
        <f t="shared" si="504"/>
        <v>Dog : Elite Training</v>
      </c>
      <c r="B2520" s="1" t="str">
        <f t="shared" si="500"/>
        <v>https://m566.info/hn8xbik</v>
      </c>
      <c r="C2520" s="1" t="str">
        <f>HYPERLINK("https://m566.info/hn8xbik","Rotweiller")</f>
        <v>Rotweiller</v>
      </c>
    </row>
    <row r="2521">
      <c r="A2521" s="1" t="str">
        <f t="shared" ref="A2521:A2526" si="505">HYPERLINK("https://m566.info/ekdzum0","Dog Aggression Training")</f>
        <v>Dog Aggression Training</v>
      </c>
      <c r="B2521" s="1" t="str">
        <f t="shared" ref="B2521:B2550" si="506">HYPERLINK("https://m566.info/ekdzum0","https://m566.info/ekdzum0")</f>
        <v>https://m566.info/ekdzum0</v>
      </c>
      <c r="C2521" s="1" t="str">
        <f>HYPERLINK("https://m566.info/ekdzum0","Doberman")</f>
        <v>Doberman</v>
      </c>
    </row>
    <row r="2522">
      <c r="A2522" s="1" t="str">
        <f t="shared" si="505"/>
        <v>Dog Aggression Training</v>
      </c>
      <c r="B2522" s="1" t="str">
        <f t="shared" si="506"/>
        <v>https://m566.info/ekdzum0</v>
      </c>
      <c r="C2522" s="1" t="str">
        <f>HYPERLINK("https://m566.info/ekdzum0","German Shepherd")</f>
        <v>German Shepherd</v>
      </c>
    </row>
    <row r="2523">
      <c r="A2523" s="1" t="str">
        <f t="shared" si="505"/>
        <v>Dog Aggression Training</v>
      </c>
      <c r="B2523" s="1" t="str">
        <f t="shared" si="506"/>
        <v>https://m566.info/ekdzum0</v>
      </c>
      <c r="C2523" s="1" t="str">
        <f>HYPERLINK("https://m566.info/ekdzum0","Border Clollie")</f>
        <v>Border Clollie</v>
      </c>
    </row>
    <row r="2524">
      <c r="A2524" s="1" t="str">
        <f t="shared" si="505"/>
        <v>Dog Aggression Training</v>
      </c>
      <c r="B2524" s="1" t="str">
        <f t="shared" si="506"/>
        <v>https://m566.info/ekdzum0</v>
      </c>
      <c r="C2524" s="1" t="str">
        <f>HYPERLINK("https://m566.info/ekdzum0","Rotwieller")</f>
        <v>Rotwieller</v>
      </c>
    </row>
    <row r="2525">
      <c r="A2525" s="1" t="str">
        <f t="shared" si="505"/>
        <v>Dog Aggression Training</v>
      </c>
      <c r="B2525" s="1" t="str">
        <f t="shared" si="506"/>
        <v>https://m566.info/ekdzum0</v>
      </c>
      <c r="C2525" s="1" t="str">
        <f>HYPERLINK("https://m566.info/ekdzum0","Cross Bred")</f>
        <v>Cross Bred</v>
      </c>
    </row>
    <row r="2526">
      <c r="A2526" s="1" t="str">
        <f t="shared" si="505"/>
        <v>Dog Aggression Training</v>
      </c>
      <c r="B2526" s="1" t="str">
        <f t="shared" si="506"/>
        <v>https://m566.info/ekdzum0</v>
      </c>
      <c r="C2526" s="1" t="str">
        <f>HYPERLINK("https://m566.info/ekdzum0","Rotweiller")</f>
        <v>Rotweiller</v>
      </c>
    </row>
    <row r="2527">
      <c r="A2527" s="1" t="str">
        <f t="shared" ref="A2527:A2532" si="507">HYPERLINK("https://m566.info/ekdzum0","Dog Obedience Training")</f>
        <v>Dog Obedience Training</v>
      </c>
      <c r="B2527" s="1" t="str">
        <f t="shared" si="506"/>
        <v>https://m566.info/ekdzum0</v>
      </c>
      <c r="C2527" s="1" t="str">
        <f>HYPERLINK("https://m566.info/ekdzum0","Doberman")</f>
        <v>Doberman</v>
      </c>
    </row>
    <row r="2528">
      <c r="A2528" s="1" t="str">
        <f t="shared" si="507"/>
        <v>Dog Obedience Training</v>
      </c>
      <c r="B2528" s="1" t="str">
        <f t="shared" si="506"/>
        <v>https://m566.info/ekdzum0</v>
      </c>
      <c r="C2528" s="1" t="str">
        <f>HYPERLINK("https://m566.info/ekdzum0","German Shepherd")</f>
        <v>German Shepherd</v>
      </c>
    </row>
    <row r="2529">
      <c r="A2529" s="1" t="str">
        <f t="shared" si="507"/>
        <v>Dog Obedience Training</v>
      </c>
      <c r="B2529" s="1" t="str">
        <f t="shared" si="506"/>
        <v>https://m566.info/ekdzum0</v>
      </c>
      <c r="C2529" s="1" t="str">
        <f>HYPERLINK("https://m566.info/ekdzum0","Border Clollie")</f>
        <v>Border Clollie</v>
      </c>
    </row>
    <row r="2530">
      <c r="A2530" s="1" t="str">
        <f t="shared" si="507"/>
        <v>Dog Obedience Training</v>
      </c>
      <c r="B2530" s="1" t="str">
        <f t="shared" si="506"/>
        <v>https://m566.info/ekdzum0</v>
      </c>
      <c r="C2530" s="1" t="str">
        <f>HYPERLINK("https://m566.info/ekdzum0","Rotwieller")</f>
        <v>Rotwieller</v>
      </c>
    </row>
    <row r="2531">
      <c r="A2531" s="1" t="str">
        <f t="shared" si="507"/>
        <v>Dog Obedience Training</v>
      </c>
      <c r="B2531" s="1" t="str">
        <f t="shared" si="506"/>
        <v>https://m566.info/ekdzum0</v>
      </c>
      <c r="C2531" s="1" t="str">
        <f>HYPERLINK("https://m566.info/ekdzum0","Cross Bred")</f>
        <v>Cross Bred</v>
      </c>
    </row>
    <row r="2532">
      <c r="A2532" s="1" t="str">
        <f t="shared" si="507"/>
        <v>Dog Obedience Training</v>
      </c>
      <c r="B2532" s="1" t="str">
        <f t="shared" si="506"/>
        <v>https://m566.info/ekdzum0</v>
      </c>
      <c r="C2532" s="1" t="str">
        <f>HYPERLINK("https://m566.info/ekdzum0","Rotweiller")</f>
        <v>Rotweiller</v>
      </c>
    </row>
    <row r="2533">
      <c r="A2533" s="1" t="str">
        <f t="shared" ref="A2533:A2538" si="508">HYPERLINK("https://m566.info/ekdzum0","Dog House Training")</f>
        <v>Dog House Training</v>
      </c>
      <c r="B2533" s="1" t="str">
        <f t="shared" si="506"/>
        <v>https://m566.info/ekdzum0</v>
      </c>
      <c r="C2533" s="1" t="str">
        <f>HYPERLINK("https://m566.info/ekdzum0","Doberman")</f>
        <v>Doberman</v>
      </c>
    </row>
    <row r="2534">
      <c r="A2534" s="1" t="str">
        <f t="shared" si="508"/>
        <v>Dog House Training</v>
      </c>
      <c r="B2534" s="1" t="str">
        <f t="shared" si="506"/>
        <v>https://m566.info/ekdzum0</v>
      </c>
      <c r="C2534" s="1" t="str">
        <f>HYPERLINK("https://m566.info/ekdzum0","German Shepherd")</f>
        <v>German Shepherd</v>
      </c>
    </row>
    <row r="2535">
      <c r="A2535" s="1" t="str">
        <f t="shared" si="508"/>
        <v>Dog House Training</v>
      </c>
      <c r="B2535" s="1" t="str">
        <f t="shared" si="506"/>
        <v>https://m566.info/ekdzum0</v>
      </c>
      <c r="C2535" s="1" t="str">
        <f>HYPERLINK("https://m566.info/ekdzum0","Border Clollie")</f>
        <v>Border Clollie</v>
      </c>
    </row>
    <row r="2536">
      <c r="A2536" s="1" t="str">
        <f t="shared" si="508"/>
        <v>Dog House Training</v>
      </c>
      <c r="B2536" s="1" t="str">
        <f t="shared" si="506"/>
        <v>https://m566.info/ekdzum0</v>
      </c>
      <c r="C2536" s="1" t="str">
        <f>HYPERLINK("https://m566.info/ekdzum0","Rotwieller")</f>
        <v>Rotwieller</v>
      </c>
    </row>
    <row r="2537">
      <c r="A2537" s="1" t="str">
        <f t="shared" si="508"/>
        <v>Dog House Training</v>
      </c>
      <c r="B2537" s="1" t="str">
        <f t="shared" si="506"/>
        <v>https://m566.info/ekdzum0</v>
      </c>
      <c r="C2537" s="1" t="str">
        <f>HYPERLINK("https://m566.info/ekdzum0","Cross Bred")</f>
        <v>Cross Bred</v>
      </c>
    </row>
    <row r="2538">
      <c r="A2538" s="1" t="str">
        <f t="shared" si="508"/>
        <v>Dog House Training</v>
      </c>
      <c r="B2538" s="1" t="str">
        <f t="shared" si="506"/>
        <v>https://m566.info/ekdzum0</v>
      </c>
      <c r="C2538" s="1" t="str">
        <f>HYPERLINK("https://m566.info/ekdzum0","Rotweiller")</f>
        <v>Rotweiller</v>
      </c>
    </row>
    <row r="2539">
      <c r="A2539" s="1" t="str">
        <f t="shared" ref="A2539:A2544" si="509">HYPERLINK("https://m566.info/ekdzum0","Dog Behaviour Training")</f>
        <v>Dog Behaviour Training</v>
      </c>
      <c r="B2539" s="1" t="str">
        <f t="shared" si="506"/>
        <v>https://m566.info/ekdzum0</v>
      </c>
      <c r="C2539" s="1" t="str">
        <f>HYPERLINK("https://m566.info/ekdzum0","Doberman")</f>
        <v>Doberman</v>
      </c>
    </row>
    <row r="2540">
      <c r="A2540" s="1" t="str">
        <f t="shared" si="509"/>
        <v>Dog Behaviour Training</v>
      </c>
      <c r="B2540" s="1" t="str">
        <f t="shared" si="506"/>
        <v>https://m566.info/ekdzum0</v>
      </c>
      <c r="C2540" s="1" t="str">
        <f>HYPERLINK("https://m566.info/ekdzum0","German Shepherd")</f>
        <v>German Shepherd</v>
      </c>
    </row>
    <row r="2541">
      <c r="A2541" s="1" t="str">
        <f t="shared" si="509"/>
        <v>Dog Behaviour Training</v>
      </c>
      <c r="B2541" s="1" t="str">
        <f t="shared" si="506"/>
        <v>https://m566.info/ekdzum0</v>
      </c>
      <c r="C2541" s="1" t="str">
        <f>HYPERLINK("https://m566.info/ekdzum0","Border Clollie")</f>
        <v>Border Clollie</v>
      </c>
    </row>
    <row r="2542">
      <c r="A2542" s="1" t="str">
        <f t="shared" si="509"/>
        <v>Dog Behaviour Training</v>
      </c>
      <c r="B2542" s="1" t="str">
        <f t="shared" si="506"/>
        <v>https://m566.info/ekdzum0</v>
      </c>
      <c r="C2542" s="1" t="str">
        <f>HYPERLINK("https://m566.info/ekdzum0","Rotwieller")</f>
        <v>Rotwieller</v>
      </c>
    </row>
    <row r="2543">
      <c r="A2543" s="1" t="str">
        <f t="shared" si="509"/>
        <v>Dog Behaviour Training</v>
      </c>
      <c r="B2543" s="1" t="str">
        <f t="shared" si="506"/>
        <v>https://m566.info/ekdzum0</v>
      </c>
      <c r="C2543" s="1" t="str">
        <f>HYPERLINK("https://m566.info/ekdzum0","Cross Bred")</f>
        <v>Cross Bred</v>
      </c>
    </row>
    <row r="2544">
      <c r="A2544" s="1" t="str">
        <f t="shared" si="509"/>
        <v>Dog Behaviour Training</v>
      </c>
      <c r="B2544" s="1" t="str">
        <f t="shared" si="506"/>
        <v>https://m566.info/ekdzum0</v>
      </c>
      <c r="C2544" s="1" t="str">
        <f>HYPERLINK("https://m566.info/ekdzum0","Rotweiller")</f>
        <v>Rotweiller</v>
      </c>
    </row>
    <row r="2545">
      <c r="A2545" s="1" t="str">
        <f t="shared" ref="A2545:A2550" si="510">HYPERLINK("https://m566.info/ekdzum0","Dog : Elite Training")</f>
        <v>Dog : Elite Training</v>
      </c>
      <c r="B2545" s="1" t="str">
        <f t="shared" si="506"/>
        <v>https://m566.info/ekdzum0</v>
      </c>
      <c r="C2545" s="1" t="str">
        <f>HYPERLINK("https://m566.info/ekdzum0","Doberman")</f>
        <v>Doberman</v>
      </c>
    </row>
    <row r="2546">
      <c r="A2546" s="1" t="str">
        <f t="shared" si="510"/>
        <v>Dog : Elite Training</v>
      </c>
      <c r="B2546" s="1" t="str">
        <f t="shared" si="506"/>
        <v>https://m566.info/ekdzum0</v>
      </c>
      <c r="C2546" s="1" t="str">
        <f>HYPERLINK("https://m566.info/ekdzum0","German Shepherd")</f>
        <v>German Shepherd</v>
      </c>
    </row>
    <row r="2547">
      <c r="A2547" s="1" t="str">
        <f t="shared" si="510"/>
        <v>Dog : Elite Training</v>
      </c>
      <c r="B2547" s="1" t="str">
        <f t="shared" si="506"/>
        <v>https://m566.info/ekdzum0</v>
      </c>
      <c r="C2547" s="1" t="str">
        <f>HYPERLINK("https://m566.info/ekdzum0","Border Clollie")</f>
        <v>Border Clollie</v>
      </c>
    </row>
    <row r="2548">
      <c r="A2548" s="1" t="str">
        <f t="shared" si="510"/>
        <v>Dog : Elite Training</v>
      </c>
      <c r="B2548" s="1" t="str">
        <f t="shared" si="506"/>
        <v>https://m566.info/ekdzum0</v>
      </c>
      <c r="C2548" s="1" t="str">
        <f>HYPERLINK("https://m566.info/ekdzum0","Rotwieller")</f>
        <v>Rotwieller</v>
      </c>
    </row>
    <row r="2549">
      <c r="A2549" s="1" t="str">
        <f t="shared" si="510"/>
        <v>Dog : Elite Training</v>
      </c>
      <c r="B2549" s="1" t="str">
        <f t="shared" si="506"/>
        <v>https://m566.info/ekdzum0</v>
      </c>
      <c r="C2549" s="1" t="str">
        <f>HYPERLINK("https://m566.info/ekdzum0","Cross Bred")</f>
        <v>Cross Bred</v>
      </c>
    </row>
    <row r="2550">
      <c r="A2550" s="1" t="str">
        <f t="shared" si="510"/>
        <v>Dog : Elite Training</v>
      </c>
      <c r="B2550" s="1" t="str">
        <f t="shared" si="506"/>
        <v>https://m566.info/ekdzum0</v>
      </c>
      <c r="C2550" s="1" t="str">
        <f>HYPERLINK("https://m566.info/ekdzum0","Rotweiller")</f>
        <v>Rotweiller</v>
      </c>
    </row>
    <row r="2551">
      <c r="A2551" s="1" t="str">
        <f t="shared" ref="A2551:A2556" si="511">HYPERLINK("https://m566.info/35a2tb6","Dog Aggression Training")</f>
        <v>Dog Aggression Training</v>
      </c>
      <c r="B2551" s="1" t="str">
        <f t="shared" ref="B2551:B2580" si="512">HYPERLINK("https://m566.info/35a2tb6","https://m566.info/35a2tb6")</f>
        <v>https://m566.info/35a2tb6</v>
      </c>
      <c r="C2551" s="1" t="str">
        <f>HYPERLINK("https://m566.info/35a2tb6","Doberman")</f>
        <v>Doberman</v>
      </c>
    </row>
    <row r="2552">
      <c r="A2552" s="1" t="str">
        <f t="shared" si="511"/>
        <v>Dog Aggression Training</v>
      </c>
      <c r="B2552" s="1" t="str">
        <f t="shared" si="512"/>
        <v>https://m566.info/35a2tb6</v>
      </c>
      <c r="C2552" s="1" t="str">
        <f>HYPERLINK("https://m566.info/35a2tb6","German Shepherd")</f>
        <v>German Shepherd</v>
      </c>
    </row>
    <row r="2553">
      <c r="A2553" s="1" t="str">
        <f t="shared" si="511"/>
        <v>Dog Aggression Training</v>
      </c>
      <c r="B2553" s="1" t="str">
        <f t="shared" si="512"/>
        <v>https://m566.info/35a2tb6</v>
      </c>
      <c r="C2553" s="1" t="str">
        <f>HYPERLINK("https://m566.info/35a2tb6","Border Clollie")</f>
        <v>Border Clollie</v>
      </c>
    </row>
    <row r="2554">
      <c r="A2554" s="1" t="str">
        <f t="shared" si="511"/>
        <v>Dog Aggression Training</v>
      </c>
      <c r="B2554" s="1" t="str">
        <f t="shared" si="512"/>
        <v>https://m566.info/35a2tb6</v>
      </c>
      <c r="C2554" s="1" t="str">
        <f>HYPERLINK("https://m566.info/35a2tb6","Rotwieller")</f>
        <v>Rotwieller</v>
      </c>
    </row>
    <row r="2555">
      <c r="A2555" s="1" t="str">
        <f t="shared" si="511"/>
        <v>Dog Aggression Training</v>
      </c>
      <c r="B2555" s="1" t="str">
        <f t="shared" si="512"/>
        <v>https://m566.info/35a2tb6</v>
      </c>
      <c r="C2555" s="1" t="str">
        <f>HYPERLINK("https://m566.info/35a2tb6","Cross Bred")</f>
        <v>Cross Bred</v>
      </c>
    </row>
    <row r="2556">
      <c r="A2556" s="1" t="str">
        <f t="shared" si="511"/>
        <v>Dog Aggression Training</v>
      </c>
      <c r="B2556" s="1" t="str">
        <f t="shared" si="512"/>
        <v>https://m566.info/35a2tb6</v>
      </c>
      <c r="C2556" s="1" t="str">
        <f>HYPERLINK("https://m566.info/35a2tb6","Rotweiller")</f>
        <v>Rotweiller</v>
      </c>
    </row>
    <row r="2557">
      <c r="A2557" s="1" t="str">
        <f t="shared" ref="A2557:A2562" si="513">HYPERLINK("https://m566.info/35a2tb6","Dog Obedience Training")</f>
        <v>Dog Obedience Training</v>
      </c>
      <c r="B2557" s="1" t="str">
        <f t="shared" si="512"/>
        <v>https://m566.info/35a2tb6</v>
      </c>
      <c r="C2557" s="1" t="str">
        <f>HYPERLINK("https://m566.info/35a2tb6","Doberman")</f>
        <v>Doberman</v>
      </c>
    </row>
    <row r="2558">
      <c r="A2558" s="1" t="str">
        <f t="shared" si="513"/>
        <v>Dog Obedience Training</v>
      </c>
      <c r="B2558" s="1" t="str">
        <f t="shared" si="512"/>
        <v>https://m566.info/35a2tb6</v>
      </c>
      <c r="C2558" s="1" t="str">
        <f>HYPERLINK("https://m566.info/35a2tb6","German Shepherd")</f>
        <v>German Shepherd</v>
      </c>
    </row>
    <row r="2559">
      <c r="A2559" s="1" t="str">
        <f t="shared" si="513"/>
        <v>Dog Obedience Training</v>
      </c>
      <c r="B2559" s="1" t="str">
        <f t="shared" si="512"/>
        <v>https://m566.info/35a2tb6</v>
      </c>
      <c r="C2559" s="1" t="str">
        <f>HYPERLINK("https://m566.info/35a2tb6","Border Clollie")</f>
        <v>Border Clollie</v>
      </c>
    </row>
    <row r="2560">
      <c r="A2560" s="1" t="str">
        <f t="shared" si="513"/>
        <v>Dog Obedience Training</v>
      </c>
      <c r="B2560" s="1" t="str">
        <f t="shared" si="512"/>
        <v>https://m566.info/35a2tb6</v>
      </c>
      <c r="C2560" s="1" t="str">
        <f>HYPERLINK("https://m566.info/35a2tb6","Rotwieller")</f>
        <v>Rotwieller</v>
      </c>
    </row>
    <row r="2561">
      <c r="A2561" s="1" t="str">
        <f t="shared" si="513"/>
        <v>Dog Obedience Training</v>
      </c>
      <c r="B2561" s="1" t="str">
        <f t="shared" si="512"/>
        <v>https://m566.info/35a2tb6</v>
      </c>
      <c r="C2561" s="1" t="str">
        <f>HYPERLINK("https://m566.info/35a2tb6","Cross Bred")</f>
        <v>Cross Bred</v>
      </c>
    </row>
    <row r="2562">
      <c r="A2562" s="1" t="str">
        <f t="shared" si="513"/>
        <v>Dog Obedience Training</v>
      </c>
      <c r="B2562" s="1" t="str">
        <f t="shared" si="512"/>
        <v>https://m566.info/35a2tb6</v>
      </c>
      <c r="C2562" s="1" t="str">
        <f>HYPERLINK("https://m566.info/35a2tb6","Rotweiller")</f>
        <v>Rotweiller</v>
      </c>
    </row>
    <row r="2563">
      <c r="A2563" s="1" t="str">
        <f t="shared" ref="A2563:A2568" si="514">HYPERLINK("https://m566.info/35a2tb6","Dog House Training")</f>
        <v>Dog House Training</v>
      </c>
      <c r="B2563" s="1" t="str">
        <f t="shared" si="512"/>
        <v>https://m566.info/35a2tb6</v>
      </c>
      <c r="C2563" s="1" t="str">
        <f>HYPERLINK("https://m566.info/35a2tb6","Doberman")</f>
        <v>Doberman</v>
      </c>
    </row>
    <row r="2564">
      <c r="A2564" s="1" t="str">
        <f t="shared" si="514"/>
        <v>Dog House Training</v>
      </c>
      <c r="B2564" s="1" t="str">
        <f t="shared" si="512"/>
        <v>https://m566.info/35a2tb6</v>
      </c>
      <c r="C2564" s="1" t="str">
        <f>HYPERLINK("https://m566.info/35a2tb6","German Shepherd")</f>
        <v>German Shepherd</v>
      </c>
    </row>
    <row r="2565">
      <c r="A2565" s="1" t="str">
        <f t="shared" si="514"/>
        <v>Dog House Training</v>
      </c>
      <c r="B2565" s="1" t="str">
        <f t="shared" si="512"/>
        <v>https://m566.info/35a2tb6</v>
      </c>
      <c r="C2565" s="1" t="str">
        <f>HYPERLINK("https://m566.info/35a2tb6","Border Clollie")</f>
        <v>Border Clollie</v>
      </c>
    </row>
    <row r="2566">
      <c r="A2566" s="1" t="str">
        <f t="shared" si="514"/>
        <v>Dog House Training</v>
      </c>
      <c r="B2566" s="1" t="str">
        <f t="shared" si="512"/>
        <v>https://m566.info/35a2tb6</v>
      </c>
      <c r="C2566" s="1" t="str">
        <f>HYPERLINK("https://m566.info/35a2tb6","Rotwieller")</f>
        <v>Rotwieller</v>
      </c>
    </row>
    <row r="2567">
      <c r="A2567" s="1" t="str">
        <f t="shared" si="514"/>
        <v>Dog House Training</v>
      </c>
      <c r="B2567" s="1" t="str">
        <f t="shared" si="512"/>
        <v>https://m566.info/35a2tb6</v>
      </c>
      <c r="C2567" s="1" t="str">
        <f>HYPERLINK("https://m566.info/35a2tb6","Cross Bred")</f>
        <v>Cross Bred</v>
      </c>
    </row>
    <row r="2568">
      <c r="A2568" s="1" t="str">
        <f t="shared" si="514"/>
        <v>Dog House Training</v>
      </c>
      <c r="B2568" s="1" t="str">
        <f t="shared" si="512"/>
        <v>https://m566.info/35a2tb6</v>
      </c>
      <c r="C2568" s="1" t="str">
        <f>HYPERLINK("https://m566.info/35a2tb6","Rotweiller")</f>
        <v>Rotweiller</v>
      </c>
    </row>
    <row r="2569">
      <c r="A2569" s="1" t="str">
        <f t="shared" ref="A2569:A2574" si="515">HYPERLINK("https://m566.info/35a2tb6","Dog Behaviour Training")</f>
        <v>Dog Behaviour Training</v>
      </c>
      <c r="B2569" s="1" t="str">
        <f t="shared" si="512"/>
        <v>https://m566.info/35a2tb6</v>
      </c>
      <c r="C2569" s="1" t="str">
        <f>HYPERLINK("https://m566.info/35a2tb6","Doberman")</f>
        <v>Doberman</v>
      </c>
    </row>
    <row r="2570">
      <c r="A2570" s="1" t="str">
        <f t="shared" si="515"/>
        <v>Dog Behaviour Training</v>
      </c>
      <c r="B2570" s="1" t="str">
        <f t="shared" si="512"/>
        <v>https://m566.info/35a2tb6</v>
      </c>
      <c r="C2570" s="1" t="str">
        <f>HYPERLINK("https://m566.info/35a2tb6","German Shepherd")</f>
        <v>German Shepherd</v>
      </c>
    </row>
    <row r="2571">
      <c r="A2571" s="1" t="str">
        <f t="shared" si="515"/>
        <v>Dog Behaviour Training</v>
      </c>
      <c r="B2571" s="1" t="str">
        <f t="shared" si="512"/>
        <v>https://m566.info/35a2tb6</v>
      </c>
      <c r="C2571" s="1" t="str">
        <f>HYPERLINK("https://m566.info/35a2tb6","Border Clollie")</f>
        <v>Border Clollie</v>
      </c>
    </row>
    <row r="2572">
      <c r="A2572" s="1" t="str">
        <f t="shared" si="515"/>
        <v>Dog Behaviour Training</v>
      </c>
      <c r="B2572" s="1" t="str">
        <f t="shared" si="512"/>
        <v>https://m566.info/35a2tb6</v>
      </c>
      <c r="C2572" s="1" t="str">
        <f>HYPERLINK("https://m566.info/35a2tb6","Rotwieller")</f>
        <v>Rotwieller</v>
      </c>
    </row>
    <row r="2573">
      <c r="A2573" s="1" t="str">
        <f t="shared" si="515"/>
        <v>Dog Behaviour Training</v>
      </c>
      <c r="B2573" s="1" t="str">
        <f t="shared" si="512"/>
        <v>https://m566.info/35a2tb6</v>
      </c>
      <c r="C2573" s="1" t="str">
        <f>HYPERLINK("https://m566.info/35a2tb6","Cross Bred")</f>
        <v>Cross Bred</v>
      </c>
    </row>
    <row r="2574">
      <c r="A2574" s="1" t="str">
        <f t="shared" si="515"/>
        <v>Dog Behaviour Training</v>
      </c>
      <c r="B2574" s="1" t="str">
        <f t="shared" si="512"/>
        <v>https://m566.info/35a2tb6</v>
      </c>
      <c r="C2574" s="1" t="str">
        <f>HYPERLINK("https://m566.info/35a2tb6","Rotweiller")</f>
        <v>Rotweiller</v>
      </c>
    </row>
    <row r="2575">
      <c r="A2575" s="1" t="str">
        <f t="shared" ref="A2575:A2580" si="516">HYPERLINK("https://m566.info/35a2tb6","Dog : Elite Training")</f>
        <v>Dog : Elite Training</v>
      </c>
      <c r="B2575" s="1" t="str">
        <f t="shared" si="512"/>
        <v>https://m566.info/35a2tb6</v>
      </c>
      <c r="C2575" s="1" t="str">
        <f>HYPERLINK("https://m566.info/35a2tb6","Doberman")</f>
        <v>Doberman</v>
      </c>
    </row>
    <row r="2576">
      <c r="A2576" s="1" t="str">
        <f t="shared" si="516"/>
        <v>Dog : Elite Training</v>
      </c>
      <c r="B2576" s="1" t="str">
        <f t="shared" si="512"/>
        <v>https://m566.info/35a2tb6</v>
      </c>
      <c r="C2576" s="1" t="str">
        <f>HYPERLINK("https://m566.info/35a2tb6","German Shepherd")</f>
        <v>German Shepherd</v>
      </c>
    </row>
    <row r="2577">
      <c r="A2577" s="1" t="str">
        <f t="shared" si="516"/>
        <v>Dog : Elite Training</v>
      </c>
      <c r="B2577" s="1" t="str">
        <f t="shared" si="512"/>
        <v>https://m566.info/35a2tb6</v>
      </c>
      <c r="C2577" s="1" t="str">
        <f>HYPERLINK("https://m566.info/35a2tb6","Border Clollie")</f>
        <v>Border Clollie</v>
      </c>
    </row>
    <row r="2578">
      <c r="A2578" s="1" t="str">
        <f t="shared" si="516"/>
        <v>Dog : Elite Training</v>
      </c>
      <c r="B2578" s="1" t="str">
        <f t="shared" si="512"/>
        <v>https://m566.info/35a2tb6</v>
      </c>
      <c r="C2578" s="1" t="str">
        <f>HYPERLINK("https://m566.info/35a2tb6","Rotwieller")</f>
        <v>Rotwieller</v>
      </c>
    </row>
    <row r="2579">
      <c r="A2579" s="1" t="str">
        <f t="shared" si="516"/>
        <v>Dog : Elite Training</v>
      </c>
      <c r="B2579" s="1" t="str">
        <f t="shared" si="512"/>
        <v>https://m566.info/35a2tb6</v>
      </c>
      <c r="C2579" s="1" t="str">
        <f>HYPERLINK("https://m566.info/35a2tb6","Cross Bred")</f>
        <v>Cross Bred</v>
      </c>
    </row>
    <row r="2580">
      <c r="A2580" s="1" t="str">
        <f t="shared" si="516"/>
        <v>Dog : Elite Training</v>
      </c>
      <c r="B2580" s="1" t="str">
        <f t="shared" si="512"/>
        <v>https://m566.info/35a2tb6</v>
      </c>
      <c r="C2580" s="1" t="str">
        <f>HYPERLINK("https://m566.info/35a2tb6","Rotweiller")</f>
        <v>Rotweiller</v>
      </c>
    </row>
    <row r="2581">
      <c r="A2581" s="1" t="str">
        <f t="shared" ref="A2581:A2586" si="517">HYPERLINK("https://m566.info/wvfd586","Dog Aggression Training")</f>
        <v>Dog Aggression Training</v>
      </c>
      <c r="B2581" s="1" t="str">
        <f t="shared" ref="B2581:B2610" si="518">HYPERLINK("https://m566.info/wvfd586","https://m566.info/wvfd586")</f>
        <v>https://m566.info/wvfd586</v>
      </c>
      <c r="C2581" s="1" t="str">
        <f>HYPERLINK("https://m566.info/wvfd586","Doberman")</f>
        <v>Doberman</v>
      </c>
    </row>
    <row r="2582">
      <c r="A2582" s="1" t="str">
        <f t="shared" si="517"/>
        <v>Dog Aggression Training</v>
      </c>
      <c r="B2582" s="1" t="str">
        <f t="shared" si="518"/>
        <v>https://m566.info/wvfd586</v>
      </c>
      <c r="C2582" s="1" t="str">
        <f>HYPERLINK("https://m566.info/wvfd586","German Shepherd")</f>
        <v>German Shepherd</v>
      </c>
    </row>
    <row r="2583">
      <c r="A2583" s="1" t="str">
        <f t="shared" si="517"/>
        <v>Dog Aggression Training</v>
      </c>
      <c r="B2583" s="1" t="str">
        <f t="shared" si="518"/>
        <v>https://m566.info/wvfd586</v>
      </c>
      <c r="C2583" s="1" t="str">
        <f>HYPERLINK("https://m566.info/wvfd586","Border Clollie")</f>
        <v>Border Clollie</v>
      </c>
    </row>
    <row r="2584">
      <c r="A2584" s="1" t="str">
        <f t="shared" si="517"/>
        <v>Dog Aggression Training</v>
      </c>
      <c r="B2584" s="1" t="str">
        <f t="shared" si="518"/>
        <v>https://m566.info/wvfd586</v>
      </c>
      <c r="C2584" s="1" t="str">
        <f>HYPERLINK("https://m566.info/wvfd586","Rotwieller")</f>
        <v>Rotwieller</v>
      </c>
    </row>
    <row r="2585">
      <c r="A2585" s="1" t="str">
        <f t="shared" si="517"/>
        <v>Dog Aggression Training</v>
      </c>
      <c r="B2585" s="1" t="str">
        <f t="shared" si="518"/>
        <v>https://m566.info/wvfd586</v>
      </c>
      <c r="C2585" s="1" t="str">
        <f>HYPERLINK("https://m566.info/wvfd586","Cross Bred")</f>
        <v>Cross Bred</v>
      </c>
    </row>
    <row r="2586">
      <c r="A2586" s="1" t="str">
        <f t="shared" si="517"/>
        <v>Dog Aggression Training</v>
      </c>
      <c r="B2586" s="1" t="str">
        <f t="shared" si="518"/>
        <v>https://m566.info/wvfd586</v>
      </c>
      <c r="C2586" s="1" t="str">
        <f>HYPERLINK("https://m566.info/wvfd586","Rotweiller")</f>
        <v>Rotweiller</v>
      </c>
    </row>
    <row r="2587">
      <c r="A2587" s="1" t="str">
        <f t="shared" ref="A2587:A2592" si="519">HYPERLINK("https://m566.info/wvfd586","Dog Obedience Training")</f>
        <v>Dog Obedience Training</v>
      </c>
      <c r="B2587" s="1" t="str">
        <f t="shared" si="518"/>
        <v>https://m566.info/wvfd586</v>
      </c>
      <c r="C2587" s="1" t="str">
        <f>HYPERLINK("https://m566.info/wvfd586","Doberman")</f>
        <v>Doberman</v>
      </c>
    </row>
    <row r="2588">
      <c r="A2588" s="1" t="str">
        <f t="shared" si="519"/>
        <v>Dog Obedience Training</v>
      </c>
      <c r="B2588" s="1" t="str">
        <f t="shared" si="518"/>
        <v>https://m566.info/wvfd586</v>
      </c>
      <c r="C2588" s="1" t="str">
        <f>HYPERLINK("https://m566.info/wvfd586","German Shepherd")</f>
        <v>German Shepherd</v>
      </c>
    </row>
    <row r="2589">
      <c r="A2589" s="1" t="str">
        <f t="shared" si="519"/>
        <v>Dog Obedience Training</v>
      </c>
      <c r="B2589" s="1" t="str">
        <f t="shared" si="518"/>
        <v>https://m566.info/wvfd586</v>
      </c>
      <c r="C2589" s="1" t="str">
        <f>HYPERLINK("https://m566.info/wvfd586","Border Clollie")</f>
        <v>Border Clollie</v>
      </c>
    </row>
    <row r="2590">
      <c r="A2590" s="1" t="str">
        <f t="shared" si="519"/>
        <v>Dog Obedience Training</v>
      </c>
      <c r="B2590" s="1" t="str">
        <f t="shared" si="518"/>
        <v>https://m566.info/wvfd586</v>
      </c>
      <c r="C2590" s="1" t="str">
        <f>HYPERLINK("https://m566.info/wvfd586","Rotwieller")</f>
        <v>Rotwieller</v>
      </c>
    </row>
    <row r="2591">
      <c r="A2591" s="1" t="str">
        <f t="shared" si="519"/>
        <v>Dog Obedience Training</v>
      </c>
      <c r="B2591" s="1" t="str">
        <f t="shared" si="518"/>
        <v>https://m566.info/wvfd586</v>
      </c>
      <c r="C2591" s="1" t="str">
        <f>HYPERLINK("https://m566.info/wvfd586","Cross Bred")</f>
        <v>Cross Bred</v>
      </c>
    </row>
    <row r="2592">
      <c r="A2592" s="1" t="str">
        <f t="shared" si="519"/>
        <v>Dog Obedience Training</v>
      </c>
      <c r="B2592" s="1" t="str">
        <f t="shared" si="518"/>
        <v>https://m566.info/wvfd586</v>
      </c>
      <c r="C2592" s="1" t="str">
        <f>HYPERLINK("https://m566.info/wvfd586","Rotweiller")</f>
        <v>Rotweiller</v>
      </c>
    </row>
    <row r="2593">
      <c r="A2593" s="1" t="str">
        <f t="shared" ref="A2593:A2598" si="520">HYPERLINK("https://m566.info/wvfd586","Dog House Training")</f>
        <v>Dog House Training</v>
      </c>
      <c r="B2593" s="1" t="str">
        <f t="shared" si="518"/>
        <v>https://m566.info/wvfd586</v>
      </c>
      <c r="C2593" s="1" t="str">
        <f>HYPERLINK("https://m566.info/wvfd586","Doberman")</f>
        <v>Doberman</v>
      </c>
    </row>
    <row r="2594">
      <c r="A2594" s="1" t="str">
        <f t="shared" si="520"/>
        <v>Dog House Training</v>
      </c>
      <c r="B2594" s="1" t="str">
        <f t="shared" si="518"/>
        <v>https://m566.info/wvfd586</v>
      </c>
      <c r="C2594" s="1" t="str">
        <f>HYPERLINK("https://m566.info/wvfd586","German Shepherd")</f>
        <v>German Shepherd</v>
      </c>
    </row>
    <row r="2595">
      <c r="A2595" s="1" t="str">
        <f t="shared" si="520"/>
        <v>Dog House Training</v>
      </c>
      <c r="B2595" s="1" t="str">
        <f t="shared" si="518"/>
        <v>https://m566.info/wvfd586</v>
      </c>
      <c r="C2595" s="1" t="str">
        <f>HYPERLINK("https://m566.info/wvfd586","Border Clollie")</f>
        <v>Border Clollie</v>
      </c>
    </row>
    <row r="2596">
      <c r="A2596" s="1" t="str">
        <f t="shared" si="520"/>
        <v>Dog House Training</v>
      </c>
      <c r="B2596" s="1" t="str">
        <f t="shared" si="518"/>
        <v>https://m566.info/wvfd586</v>
      </c>
      <c r="C2596" s="1" t="str">
        <f>HYPERLINK("https://m566.info/wvfd586","Rotwieller")</f>
        <v>Rotwieller</v>
      </c>
    </row>
    <row r="2597">
      <c r="A2597" s="1" t="str">
        <f t="shared" si="520"/>
        <v>Dog House Training</v>
      </c>
      <c r="B2597" s="1" t="str">
        <f t="shared" si="518"/>
        <v>https://m566.info/wvfd586</v>
      </c>
      <c r="C2597" s="1" t="str">
        <f>HYPERLINK("https://m566.info/wvfd586","Cross Bred")</f>
        <v>Cross Bred</v>
      </c>
    </row>
    <row r="2598">
      <c r="A2598" s="1" t="str">
        <f t="shared" si="520"/>
        <v>Dog House Training</v>
      </c>
      <c r="B2598" s="1" t="str">
        <f t="shared" si="518"/>
        <v>https://m566.info/wvfd586</v>
      </c>
      <c r="C2598" s="1" t="str">
        <f>HYPERLINK("https://m566.info/wvfd586","Rotweiller")</f>
        <v>Rotweiller</v>
      </c>
    </row>
    <row r="2599">
      <c r="A2599" s="1" t="str">
        <f t="shared" ref="A2599:A2604" si="521">HYPERLINK("https://m566.info/wvfd586","Dog Behaviour Training")</f>
        <v>Dog Behaviour Training</v>
      </c>
      <c r="B2599" s="1" t="str">
        <f t="shared" si="518"/>
        <v>https://m566.info/wvfd586</v>
      </c>
      <c r="C2599" s="1" t="str">
        <f>HYPERLINK("https://m566.info/wvfd586","Doberman")</f>
        <v>Doberman</v>
      </c>
    </row>
    <row r="2600">
      <c r="A2600" s="1" t="str">
        <f t="shared" si="521"/>
        <v>Dog Behaviour Training</v>
      </c>
      <c r="B2600" s="1" t="str">
        <f t="shared" si="518"/>
        <v>https://m566.info/wvfd586</v>
      </c>
      <c r="C2600" s="1" t="str">
        <f>HYPERLINK("https://m566.info/wvfd586","German Shepherd")</f>
        <v>German Shepherd</v>
      </c>
    </row>
    <row r="2601">
      <c r="A2601" s="1" t="str">
        <f t="shared" si="521"/>
        <v>Dog Behaviour Training</v>
      </c>
      <c r="B2601" s="1" t="str">
        <f t="shared" si="518"/>
        <v>https://m566.info/wvfd586</v>
      </c>
      <c r="C2601" s="1" t="str">
        <f>HYPERLINK("https://m566.info/wvfd586","Border Clollie")</f>
        <v>Border Clollie</v>
      </c>
    </row>
    <row r="2602">
      <c r="A2602" s="1" t="str">
        <f t="shared" si="521"/>
        <v>Dog Behaviour Training</v>
      </c>
      <c r="B2602" s="1" t="str">
        <f t="shared" si="518"/>
        <v>https://m566.info/wvfd586</v>
      </c>
      <c r="C2602" s="1" t="str">
        <f>HYPERLINK("https://m566.info/wvfd586","Rotwieller")</f>
        <v>Rotwieller</v>
      </c>
    </row>
    <row r="2603">
      <c r="A2603" s="1" t="str">
        <f t="shared" si="521"/>
        <v>Dog Behaviour Training</v>
      </c>
      <c r="B2603" s="1" t="str">
        <f t="shared" si="518"/>
        <v>https://m566.info/wvfd586</v>
      </c>
      <c r="C2603" s="1" t="str">
        <f>HYPERLINK("https://m566.info/wvfd586","Cross Bred")</f>
        <v>Cross Bred</v>
      </c>
    </row>
    <row r="2604">
      <c r="A2604" s="1" t="str">
        <f t="shared" si="521"/>
        <v>Dog Behaviour Training</v>
      </c>
      <c r="B2604" s="1" t="str">
        <f t="shared" si="518"/>
        <v>https://m566.info/wvfd586</v>
      </c>
      <c r="C2604" s="1" t="str">
        <f>HYPERLINK("https://m566.info/wvfd586","Rotweiller")</f>
        <v>Rotweiller</v>
      </c>
    </row>
    <row r="2605">
      <c r="A2605" s="1" t="str">
        <f t="shared" ref="A2605:A2610" si="522">HYPERLINK("https://m566.info/wvfd586","Dog : Elite Training")</f>
        <v>Dog : Elite Training</v>
      </c>
      <c r="B2605" s="1" t="str">
        <f t="shared" si="518"/>
        <v>https://m566.info/wvfd586</v>
      </c>
      <c r="C2605" s="1" t="str">
        <f>HYPERLINK("https://m566.info/wvfd586","Doberman")</f>
        <v>Doberman</v>
      </c>
    </row>
    <row r="2606">
      <c r="A2606" s="1" t="str">
        <f t="shared" si="522"/>
        <v>Dog : Elite Training</v>
      </c>
      <c r="B2606" s="1" t="str">
        <f t="shared" si="518"/>
        <v>https://m566.info/wvfd586</v>
      </c>
      <c r="C2606" s="1" t="str">
        <f>HYPERLINK("https://m566.info/wvfd586","German Shepherd")</f>
        <v>German Shepherd</v>
      </c>
    </row>
    <row r="2607">
      <c r="A2607" s="1" t="str">
        <f t="shared" si="522"/>
        <v>Dog : Elite Training</v>
      </c>
      <c r="B2607" s="1" t="str">
        <f t="shared" si="518"/>
        <v>https://m566.info/wvfd586</v>
      </c>
      <c r="C2607" s="1" t="str">
        <f>HYPERLINK("https://m566.info/wvfd586","Border Clollie")</f>
        <v>Border Clollie</v>
      </c>
    </row>
    <row r="2608">
      <c r="A2608" s="1" t="str">
        <f t="shared" si="522"/>
        <v>Dog : Elite Training</v>
      </c>
      <c r="B2608" s="1" t="str">
        <f t="shared" si="518"/>
        <v>https://m566.info/wvfd586</v>
      </c>
      <c r="C2608" s="1" t="str">
        <f>HYPERLINK("https://m566.info/wvfd586","Rotwieller")</f>
        <v>Rotwieller</v>
      </c>
    </row>
    <row r="2609">
      <c r="A2609" s="1" t="str">
        <f t="shared" si="522"/>
        <v>Dog : Elite Training</v>
      </c>
      <c r="B2609" s="1" t="str">
        <f t="shared" si="518"/>
        <v>https://m566.info/wvfd586</v>
      </c>
      <c r="C2609" s="1" t="str">
        <f>HYPERLINK("https://m566.info/wvfd586","Cross Bred")</f>
        <v>Cross Bred</v>
      </c>
    </row>
    <row r="2610">
      <c r="A2610" s="1" t="str">
        <f t="shared" si="522"/>
        <v>Dog : Elite Training</v>
      </c>
      <c r="B2610" s="1" t="str">
        <f t="shared" si="518"/>
        <v>https://m566.info/wvfd586</v>
      </c>
      <c r="C2610" s="1" t="str">
        <f>HYPERLINK("https://m566.info/wvfd586","Rotweiller")</f>
        <v>Rotweiller</v>
      </c>
    </row>
    <row r="2611">
      <c r="A2611" s="1" t="str">
        <f t="shared" ref="A2611:A2616" si="523">HYPERLINK("https://m566.info/degmle1","Dog Aggression Training")</f>
        <v>Dog Aggression Training</v>
      </c>
      <c r="B2611" s="1" t="str">
        <f t="shared" ref="B2611:B2640" si="524">HYPERLINK("https://m566.info/degmle1","https://m566.info/degmle1")</f>
        <v>https://m566.info/degmle1</v>
      </c>
      <c r="C2611" s="1" t="str">
        <f>HYPERLINK("https://m566.info/degmle1","Doberman")</f>
        <v>Doberman</v>
      </c>
    </row>
    <row r="2612">
      <c r="A2612" s="1" t="str">
        <f t="shared" si="523"/>
        <v>Dog Aggression Training</v>
      </c>
      <c r="B2612" s="1" t="str">
        <f t="shared" si="524"/>
        <v>https://m566.info/degmle1</v>
      </c>
      <c r="C2612" s="1" t="str">
        <f>HYPERLINK("https://m566.info/degmle1","German Shepherd")</f>
        <v>German Shepherd</v>
      </c>
    </row>
    <row r="2613">
      <c r="A2613" s="1" t="str">
        <f t="shared" si="523"/>
        <v>Dog Aggression Training</v>
      </c>
      <c r="B2613" s="1" t="str">
        <f t="shared" si="524"/>
        <v>https://m566.info/degmle1</v>
      </c>
      <c r="C2613" s="1" t="str">
        <f>HYPERLINK("https://m566.info/degmle1","Border Clollie")</f>
        <v>Border Clollie</v>
      </c>
    </row>
    <row r="2614">
      <c r="A2614" s="1" t="str">
        <f t="shared" si="523"/>
        <v>Dog Aggression Training</v>
      </c>
      <c r="B2614" s="1" t="str">
        <f t="shared" si="524"/>
        <v>https://m566.info/degmle1</v>
      </c>
      <c r="C2614" s="1" t="str">
        <f>HYPERLINK("https://m566.info/degmle1","Rotwieller")</f>
        <v>Rotwieller</v>
      </c>
    </row>
    <row r="2615">
      <c r="A2615" s="1" t="str">
        <f t="shared" si="523"/>
        <v>Dog Aggression Training</v>
      </c>
      <c r="B2615" s="1" t="str">
        <f t="shared" si="524"/>
        <v>https://m566.info/degmle1</v>
      </c>
      <c r="C2615" s="1" t="str">
        <f>HYPERLINK("https://m566.info/degmle1","Cross Bred")</f>
        <v>Cross Bred</v>
      </c>
    </row>
    <row r="2616">
      <c r="A2616" s="1" t="str">
        <f t="shared" si="523"/>
        <v>Dog Aggression Training</v>
      </c>
      <c r="B2616" s="1" t="str">
        <f t="shared" si="524"/>
        <v>https://m566.info/degmle1</v>
      </c>
      <c r="C2616" s="1" t="str">
        <f>HYPERLINK("https://m566.info/degmle1","Rotweiller")</f>
        <v>Rotweiller</v>
      </c>
    </row>
    <row r="2617">
      <c r="A2617" s="1" t="str">
        <f t="shared" ref="A2617:A2622" si="525">HYPERLINK("https://m566.info/degmle1","Dog Obedience Training")</f>
        <v>Dog Obedience Training</v>
      </c>
      <c r="B2617" s="1" t="str">
        <f t="shared" si="524"/>
        <v>https://m566.info/degmle1</v>
      </c>
      <c r="C2617" s="1" t="str">
        <f>HYPERLINK("https://m566.info/degmle1","Doberman")</f>
        <v>Doberman</v>
      </c>
    </row>
    <row r="2618">
      <c r="A2618" s="1" t="str">
        <f t="shared" si="525"/>
        <v>Dog Obedience Training</v>
      </c>
      <c r="B2618" s="1" t="str">
        <f t="shared" si="524"/>
        <v>https://m566.info/degmle1</v>
      </c>
      <c r="C2618" s="1" t="str">
        <f>HYPERLINK("https://m566.info/degmle1","German Shepherd")</f>
        <v>German Shepherd</v>
      </c>
    </row>
    <row r="2619">
      <c r="A2619" s="1" t="str">
        <f t="shared" si="525"/>
        <v>Dog Obedience Training</v>
      </c>
      <c r="B2619" s="1" t="str">
        <f t="shared" si="524"/>
        <v>https://m566.info/degmle1</v>
      </c>
      <c r="C2619" s="1" t="str">
        <f>HYPERLINK("https://m566.info/degmle1","Border Clollie")</f>
        <v>Border Clollie</v>
      </c>
    </row>
    <row r="2620">
      <c r="A2620" s="1" t="str">
        <f t="shared" si="525"/>
        <v>Dog Obedience Training</v>
      </c>
      <c r="B2620" s="1" t="str">
        <f t="shared" si="524"/>
        <v>https://m566.info/degmle1</v>
      </c>
      <c r="C2620" s="1" t="str">
        <f>HYPERLINK("https://m566.info/degmle1","Rotwieller")</f>
        <v>Rotwieller</v>
      </c>
    </row>
    <row r="2621">
      <c r="A2621" s="1" t="str">
        <f t="shared" si="525"/>
        <v>Dog Obedience Training</v>
      </c>
      <c r="B2621" s="1" t="str">
        <f t="shared" si="524"/>
        <v>https://m566.info/degmle1</v>
      </c>
      <c r="C2621" s="1" t="str">
        <f>HYPERLINK("https://m566.info/degmle1","Cross Bred")</f>
        <v>Cross Bred</v>
      </c>
    </row>
    <row r="2622">
      <c r="A2622" s="1" t="str">
        <f t="shared" si="525"/>
        <v>Dog Obedience Training</v>
      </c>
      <c r="B2622" s="1" t="str">
        <f t="shared" si="524"/>
        <v>https://m566.info/degmle1</v>
      </c>
      <c r="C2622" s="1" t="str">
        <f>HYPERLINK("https://m566.info/degmle1","Rotweiller")</f>
        <v>Rotweiller</v>
      </c>
    </row>
    <row r="2623">
      <c r="A2623" s="1" t="str">
        <f t="shared" ref="A2623:A2628" si="526">HYPERLINK("https://m566.info/degmle1","Dog House Training")</f>
        <v>Dog House Training</v>
      </c>
      <c r="B2623" s="1" t="str">
        <f t="shared" si="524"/>
        <v>https://m566.info/degmle1</v>
      </c>
      <c r="C2623" s="1" t="str">
        <f>HYPERLINK("https://m566.info/degmle1","Doberman")</f>
        <v>Doberman</v>
      </c>
    </row>
    <row r="2624">
      <c r="A2624" s="1" t="str">
        <f t="shared" si="526"/>
        <v>Dog House Training</v>
      </c>
      <c r="B2624" s="1" t="str">
        <f t="shared" si="524"/>
        <v>https://m566.info/degmle1</v>
      </c>
      <c r="C2624" s="1" t="str">
        <f>HYPERLINK("https://m566.info/degmle1","German Shepherd")</f>
        <v>German Shepherd</v>
      </c>
    </row>
    <row r="2625">
      <c r="A2625" s="1" t="str">
        <f t="shared" si="526"/>
        <v>Dog House Training</v>
      </c>
      <c r="B2625" s="1" t="str">
        <f t="shared" si="524"/>
        <v>https://m566.info/degmle1</v>
      </c>
      <c r="C2625" s="1" t="str">
        <f>HYPERLINK("https://m566.info/degmle1","Border Clollie")</f>
        <v>Border Clollie</v>
      </c>
    </row>
    <row r="2626">
      <c r="A2626" s="1" t="str">
        <f t="shared" si="526"/>
        <v>Dog House Training</v>
      </c>
      <c r="B2626" s="1" t="str">
        <f t="shared" si="524"/>
        <v>https://m566.info/degmle1</v>
      </c>
      <c r="C2626" s="1" t="str">
        <f>HYPERLINK("https://m566.info/degmle1","Rotwieller")</f>
        <v>Rotwieller</v>
      </c>
    </row>
    <row r="2627">
      <c r="A2627" s="1" t="str">
        <f t="shared" si="526"/>
        <v>Dog House Training</v>
      </c>
      <c r="B2627" s="1" t="str">
        <f t="shared" si="524"/>
        <v>https://m566.info/degmle1</v>
      </c>
      <c r="C2627" s="1" t="str">
        <f>HYPERLINK("https://m566.info/degmle1","Cross Bred")</f>
        <v>Cross Bred</v>
      </c>
    </row>
    <row r="2628">
      <c r="A2628" s="1" t="str">
        <f t="shared" si="526"/>
        <v>Dog House Training</v>
      </c>
      <c r="B2628" s="1" t="str">
        <f t="shared" si="524"/>
        <v>https://m566.info/degmle1</v>
      </c>
      <c r="C2628" s="1" t="str">
        <f>HYPERLINK("https://m566.info/degmle1","Rotweiller")</f>
        <v>Rotweiller</v>
      </c>
    </row>
    <row r="2629">
      <c r="A2629" s="1" t="str">
        <f t="shared" ref="A2629:A2634" si="527">HYPERLINK("https://m566.info/degmle1","Dog Behaviour Training")</f>
        <v>Dog Behaviour Training</v>
      </c>
      <c r="B2629" s="1" t="str">
        <f t="shared" si="524"/>
        <v>https://m566.info/degmle1</v>
      </c>
      <c r="C2629" s="1" t="str">
        <f>HYPERLINK("https://m566.info/degmle1","Doberman")</f>
        <v>Doberman</v>
      </c>
    </row>
    <row r="2630">
      <c r="A2630" s="1" t="str">
        <f t="shared" si="527"/>
        <v>Dog Behaviour Training</v>
      </c>
      <c r="B2630" s="1" t="str">
        <f t="shared" si="524"/>
        <v>https://m566.info/degmle1</v>
      </c>
      <c r="C2630" s="1" t="str">
        <f>HYPERLINK("https://m566.info/degmle1","German Shepherd")</f>
        <v>German Shepherd</v>
      </c>
    </row>
    <row r="2631">
      <c r="A2631" s="1" t="str">
        <f t="shared" si="527"/>
        <v>Dog Behaviour Training</v>
      </c>
      <c r="B2631" s="1" t="str">
        <f t="shared" si="524"/>
        <v>https://m566.info/degmle1</v>
      </c>
      <c r="C2631" s="1" t="str">
        <f>HYPERLINK("https://m566.info/degmle1","Border Clollie")</f>
        <v>Border Clollie</v>
      </c>
    </row>
    <row r="2632">
      <c r="A2632" s="1" t="str">
        <f t="shared" si="527"/>
        <v>Dog Behaviour Training</v>
      </c>
      <c r="B2632" s="1" t="str">
        <f t="shared" si="524"/>
        <v>https://m566.info/degmle1</v>
      </c>
      <c r="C2632" s="1" t="str">
        <f>HYPERLINK("https://m566.info/degmle1","Rotwieller")</f>
        <v>Rotwieller</v>
      </c>
    </row>
    <row r="2633">
      <c r="A2633" s="1" t="str">
        <f t="shared" si="527"/>
        <v>Dog Behaviour Training</v>
      </c>
      <c r="B2633" s="1" t="str">
        <f t="shared" si="524"/>
        <v>https://m566.info/degmle1</v>
      </c>
      <c r="C2633" s="1" t="str">
        <f>HYPERLINK("https://m566.info/degmle1","Cross Bred")</f>
        <v>Cross Bred</v>
      </c>
    </row>
    <row r="2634">
      <c r="A2634" s="1" t="str">
        <f t="shared" si="527"/>
        <v>Dog Behaviour Training</v>
      </c>
      <c r="B2634" s="1" t="str">
        <f t="shared" si="524"/>
        <v>https://m566.info/degmle1</v>
      </c>
      <c r="C2634" s="1" t="str">
        <f>HYPERLINK("https://m566.info/degmle1","Rotweiller")</f>
        <v>Rotweiller</v>
      </c>
    </row>
    <row r="2635">
      <c r="A2635" s="1" t="str">
        <f t="shared" ref="A2635:A2640" si="528">HYPERLINK("https://m566.info/degmle1","Dog : Elite Training")</f>
        <v>Dog : Elite Training</v>
      </c>
      <c r="B2635" s="1" t="str">
        <f t="shared" si="524"/>
        <v>https://m566.info/degmle1</v>
      </c>
      <c r="C2635" s="1" t="str">
        <f>HYPERLINK("https://m566.info/degmle1","Doberman")</f>
        <v>Doberman</v>
      </c>
    </row>
    <row r="2636">
      <c r="A2636" s="1" t="str">
        <f t="shared" si="528"/>
        <v>Dog : Elite Training</v>
      </c>
      <c r="B2636" s="1" t="str">
        <f t="shared" si="524"/>
        <v>https://m566.info/degmle1</v>
      </c>
      <c r="C2636" s="1" t="str">
        <f>HYPERLINK("https://m566.info/degmle1","German Shepherd")</f>
        <v>German Shepherd</v>
      </c>
    </row>
    <row r="2637">
      <c r="A2637" s="1" t="str">
        <f t="shared" si="528"/>
        <v>Dog : Elite Training</v>
      </c>
      <c r="B2637" s="1" t="str">
        <f t="shared" si="524"/>
        <v>https://m566.info/degmle1</v>
      </c>
      <c r="C2637" s="1" t="str">
        <f>HYPERLINK("https://m566.info/degmle1","Border Clollie")</f>
        <v>Border Clollie</v>
      </c>
    </row>
    <row r="2638">
      <c r="A2638" s="1" t="str">
        <f t="shared" si="528"/>
        <v>Dog : Elite Training</v>
      </c>
      <c r="B2638" s="1" t="str">
        <f t="shared" si="524"/>
        <v>https://m566.info/degmle1</v>
      </c>
      <c r="C2638" s="1" t="str">
        <f>HYPERLINK("https://m566.info/degmle1","Rotwieller")</f>
        <v>Rotwieller</v>
      </c>
    </row>
    <row r="2639">
      <c r="A2639" s="1" t="str">
        <f t="shared" si="528"/>
        <v>Dog : Elite Training</v>
      </c>
      <c r="B2639" s="1" t="str">
        <f t="shared" si="524"/>
        <v>https://m566.info/degmle1</v>
      </c>
      <c r="C2639" s="1" t="str">
        <f>HYPERLINK("https://m566.info/degmle1","Cross Bred")</f>
        <v>Cross Bred</v>
      </c>
    </row>
    <row r="2640">
      <c r="A2640" s="1" t="str">
        <f t="shared" si="528"/>
        <v>Dog : Elite Training</v>
      </c>
      <c r="B2640" s="1" t="str">
        <f t="shared" si="524"/>
        <v>https://m566.info/degmle1</v>
      </c>
      <c r="C2640" s="1" t="str">
        <f>HYPERLINK("https://m566.info/degmle1","Rotweiller")</f>
        <v>Rotweiller</v>
      </c>
    </row>
    <row r="2641">
      <c r="A2641" s="1" t="str">
        <f t="shared" ref="A2641:A2646" si="529">HYPERLINK("https://m566.info/1fpz3n3","Dog Aggression Training")</f>
        <v>Dog Aggression Training</v>
      </c>
      <c r="B2641" s="1" t="str">
        <f t="shared" ref="B2641:B2670" si="530">HYPERLINK("https://m566.info/1fpz3n3","https://m566.info/1fpz3n3")</f>
        <v>https://m566.info/1fpz3n3</v>
      </c>
      <c r="C2641" s="1" t="str">
        <f>HYPERLINK("https://m566.info/1fpz3n3","Doberman")</f>
        <v>Doberman</v>
      </c>
    </row>
    <row r="2642">
      <c r="A2642" s="1" t="str">
        <f t="shared" si="529"/>
        <v>Dog Aggression Training</v>
      </c>
      <c r="B2642" s="1" t="str">
        <f t="shared" si="530"/>
        <v>https://m566.info/1fpz3n3</v>
      </c>
      <c r="C2642" s="1" t="str">
        <f>HYPERLINK("https://m566.info/1fpz3n3","German Shepherd")</f>
        <v>German Shepherd</v>
      </c>
    </row>
    <row r="2643">
      <c r="A2643" s="1" t="str">
        <f t="shared" si="529"/>
        <v>Dog Aggression Training</v>
      </c>
      <c r="B2643" s="1" t="str">
        <f t="shared" si="530"/>
        <v>https://m566.info/1fpz3n3</v>
      </c>
      <c r="C2643" s="1" t="str">
        <f>HYPERLINK("https://m566.info/1fpz3n3","Border Clollie")</f>
        <v>Border Clollie</v>
      </c>
    </row>
    <row r="2644">
      <c r="A2644" s="1" t="str">
        <f t="shared" si="529"/>
        <v>Dog Aggression Training</v>
      </c>
      <c r="B2644" s="1" t="str">
        <f t="shared" si="530"/>
        <v>https://m566.info/1fpz3n3</v>
      </c>
      <c r="C2644" s="1" t="str">
        <f>HYPERLINK("https://m566.info/1fpz3n3","Rotwieller")</f>
        <v>Rotwieller</v>
      </c>
    </row>
    <row r="2645">
      <c r="A2645" s="1" t="str">
        <f t="shared" si="529"/>
        <v>Dog Aggression Training</v>
      </c>
      <c r="B2645" s="1" t="str">
        <f t="shared" si="530"/>
        <v>https://m566.info/1fpz3n3</v>
      </c>
      <c r="C2645" s="1" t="str">
        <f>HYPERLINK("https://m566.info/1fpz3n3","Cross Bred")</f>
        <v>Cross Bred</v>
      </c>
    </row>
    <row r="2646">
      <c r="A2646" s="1" t="str">
        <f t="shared" si="529"/>
        <v>Dog Aggression Training</v>
      </c>
      <c r="B2646" s="1" t="str">
        <f t="shared" si="530"/>
        <v>https://m566.info/1fpz3n3</v>
      </c>
      <c r="C2646" s="1" t="str">
        <f>HYPERLINK("https://m566.info/1fpz3n3","Rotweiller")</f>
        <v>Rotweiller</v>
      </c>
    </row>
    <row r="2647">
      <c r="A2647" s="1" t="str">
        <f t="shared" ref="A2647:A2652" si="531">HYPERLINK("https://m566.info/1fpz3n3","Dog Obedience Training")</f>
        <v>Dog Obedience Training</v>
      </c>
      <c r="B2647" s="1" t="str">
        <f t="shared" si="530"/>
        <v>https://m566.info/1fpz3n3</v>
      </c>
      <c r="C2647" s="1" t="str">
        <f>HYPERLINK("https://m566.info/1fpz3n3","Doberman")</f>
        <v>Doberman</v>
      </c>
    </row>
    <row r="2648">
      <c r="A2648" s="1" t="str">
        <f t="shared" si="531"/>
        <v>Dog Obedience Training</v>
      </c>
      <c r="B2648" s="1" t="str">
        <f t="shared" si="530"/>
        <v>https://m566.info/1fpz3n3</v>
      </c>
      <c r="C2648" s="1" t="str">
        <f>HYPERLINK("https://m566.info/1fpz3n3","German Shepherd")</f>
        <v>German Shepherd</v>
      </c>
    </row>
    <row r="2649">
      <c r="A2649" s="1" t="str">
        <f t="shared" si="531"/>
        <v>Dog Obedience Training</v>
      </c>
      <c r="B2649" s="1" t="str">
        <f t="shared" si="530"/>
        <v>https://m566.info/1fpz3n3</v>
      </c>
      <c r="C2649" s="1" t="str">
        <f>HYPERLINK("https://m566.info/1fpz3n3","Border Clollie")</f>
        <v>Border Clollie</v>
      </c>
    </row>
    <row r="2650">
      <c r="A2650" s="1" t="str">
        <f t="shared" si="531"/>
        <v>Dog Obedience Training</v>
      </c>
      <c r="B2650" s="1" t="str">
        <f t="shared" si="530"/>
        <v>https://m566.info/1fpz3n3</v>
      </c>
      <c r="C2650" s="1" t="str">
        <f>HYPERLINK("https://m566.info/1fpz3n3","Rotwieller")</f>
        <v>Rotwieller</v>
      </c>
    </row>
    <row r="2651">
      <c r="A2651" s="1" t="str">
        <f t="shared" si="531"/>
        <v>Dog Obedience Training</v>
      </c>
      <c r="B2651" s="1" t="str">
        <f t="shared" si="530"/>
        <v>https://m566.info/1fpz3n3</v>
      </c>
      <c r="C2651" s="1" t="str">
        <f>HYPERLINK("https://m566.info/1fpz3n3","Cross Bred")</f>
        <v>Cross Bred</v>
      </c>
    </row>
    <row r="2652">
      <c r="A2652" s="1" t="str">
        <f t="shared" si="531"/>
        <v>Dog Obedience Training</v>
      </c>
      <c r="B2652" s="1" t="str">
        <f t="shared" si="530"/>
        <v>https://m566.info/1fpz3n3</v>
      </c>
      <c r="C2652" s="1" t="str">
        <f>HYPERLINK("https://m566.info/1fpz3n3","Rotweiller")</f>
        <v>Rotweiller</v>
      </c>
    </row>
    <row r="2653">
      <c r="A2653" s="1" t="str">
        <f t="shared" ref="A2653:A2658" si="532">HYPERLINK("https://m566.info/1fpz3n3","Dog House Training")</f>
        <v>Dog House Training</v>
      </c>
      <c r="B2653" s="1" t="str">
        <f t="shared" si="530"/>
        <v>https://m566.info/1fpz3n3</v>
      </c>
      <c r="C2653" s="1" t="str">
        <f>HYPERLINK("https://m566.info/1fpz3n3","Doberman")</f>
        <v>Doberman</v>
      </c>
    </row>
    <row r="2654">
      <c r="A2654" s="1" t="str">
        <f t="shared" si="532"/>
        <v>Dog House Training</v>
      </c>
      <c r="B2654" s="1" t="str">
        <f t="shared" si="530"/>
        <v>https://m566.info/1fpz3n3</v>
      </c>
      <c r="C2654" s="1" t="str">
        <f>HYPERLINK("https://m566.info/1fpz3n3","German Shepherd")</f>
        <v>German Shepherd</v>
      </c>
    </row>
    <row r="2655">
      <c r="A2655" s="1" t="str">
        <f t="shared" si="532"/>
        <v>Dog House Training</v>
      </c>
      <c r="B2655" s="1" t="str">
        <f t="shared" si="530"/>
        <v>https://m566.info/1fpz3n3</v>
      </c>
      <c r="C2655" s="1" t="str">
        <f>HYPERLINK("https://m566.info/1fpz3n3","Border Clollie")</f>
        <v>Border Clollie</v>
      </c>
    </row>
    <row r="2656">
      <c r="A2656" s="1" t="str">
        <f t="shared" si="532"/>
        <v>Dog House Training</v>
      </c>
      <c r="B2656" s="1" t="str">
        <f t="shared" si="530"/>
        <v>https://m566.info/1fpz3n3</v>
      </c>
      <c r="C2656" s="1" t="str">
        <f>HYPERLINK("https://m566.info/1fpz3n3","Rotwieller")</f>
        <v>Rotwieller</v>
      </c>
    </row>
    <row r="2657">
      <c r="A2657" s="1" t="str">
        <f t="shared" si="532"/>
        <v>Dog House Training</v>
      </c>
      <c r="B2657" s="1" t="str">
        <f t="shared" si="530"/>
        <v>https://m566.info/1fpz3n3</v>
      </c>
      <c r="C2657" s="1" t="str">
        <f>HYPERLINK("https://m566.info/1fpz3n3","Cross Bred")</f>
        <v>Cross Bred</v>
      </c>
    </row>
    <row r="2658">
      <c r="A2658" s="1" t="str">
        <f t="shared" si="532"/>
        <v>Dog House Training</v>
      </c>
      <c r="B2658" s="1" t="str">
        <f t="shared" si="530"/>
        <v>https://m566.info/1fpz3n3</v>
      </c>
      <c r="C2658" s="1" t="str">
        <f>HYPERLINK("https://m566.info/1fpz3n3","Rotweiller")</f>
        <v>Rotweiller</v>
      </c>
    </row>
    <row r="2659">
      <c r="A2659" s="1" t="str">
        <f t="shared" ref="A2659:A2664" si="533">HYPERLINK("https://m566.info/1fpz3n3","Dog Behaviour Training")</f>
        <v>Dog Behaviour Training</v>
      </c>
      <c r="B2659" s="1" t="str">
        <f t="shared" si="530"/>
        <v>https://m566.info/1fpz3n3</v>
      </c>
      <c r="C2659" s="1" t="str">
        <f>HYPERLINK("https://m566.info/1fpz3n3","Doberman")</f>
        <v>Doberman</v>
      </c>
    </row>
    <row r="2660">
      <c r="A2660" s="1" t="str">
        <f t="shared" si="533"/>
        <v>Dog Behaviour Training</v>
      </c>
      <c r="B2660" s="1" t="str">
        <f t="shared" si="530"/>
        <v>https://m566.info/1fpz3n3</v>
      </c>
      <c r="C2660" s="1" t="str">
        <f>HYPERLINK("https://m566.info/1fpz3n3","German Shepherd")</f>
        <v>German Shepherd</v>
      </c>
    </row>
    <row r="2661">
      <c r="A2661" s="1" t="str">
        <f t="shared" si="533"/>
        <v>Dog Behaviour Training</v>
      </c>
      <c r="B2661" s="1" t="str">
        <f t="shared" si="530"/>
        <v>https://m566.info/1fpz3n3</v>
      </c>
      <c r="C2661" s="1" t="str">
        <f>HYPERLINK("https://m566.info/1fpz3n3","Border Clollie")</f>
        <v>Border Clollie</v>
      </c>
    </row>
    <row r="2662">
      <c r="A2662" s="1" t="str">
        <f t="shared" si="533"/>
        <v>Dog Behaviour Training</v>
      </c>
      <c r="B2662" s="1" t="str">
        <f t="shared" si="530"/>
        <v>https://m566.info/1fpz3n3</v>
      </c>
      <c r="C2662" s="1" t="str">
        <f>HYPERLINK("https://m566.info/1fpz3n3","Rotwieller")</f>
        <v>Rotwieller</v>
      </c>
    </row>
    <row r="2663">
      <c r="A2663" s="1" t="str">
        <f t="shared" si="533"/>
        <v>Dog Behaviour Training</v>
      </c>
      <c r="B2663" s="1" t="str">
        <f t="shared" si="530"/>
        <v>https://m566.info/1fpz3n3</v>
      </c>
      <c r="C2663" s="1" t="str">
        <f>HYPERLINK("https://m566.info/1fpz3n3","Cross Bred")</f>
        <v>Cross Bred</v>
      </c>
    </row>
    <row r="2664">
      <c r="A2664" s="1" t="str">
        <f t="shared" si="533"/>
        <v>Dog Behaviour Training</v>
      </c>
      <c r="B2664" s="1" t="str">
        <f t="shared" si="530"/>
        <v>https://m566.info/1fpz3n3</v>
      </c>
      <c r="C2664" s="1" t="str">
        <f>HYPERLINK("https://m566.info/1fpz3n3","Rotweiller")</f>
        <v>Rotweiller</v>
      </c>
    </row>
    <row r="2665">
      <c r="A2665" s="1" t="str">
        <f t="shared" ref="A2665:A2670" si="534">HYPERLINK("https://m566.info/1fpz3n3","Dog : Elite Training")</f>
        <v>Dog : Elite Training</v>
      </c>
      <c r="B2665" s="1" t="str">
        <f t="shared" si="530"/>
        <v>https://m566.info/1fpz3n3</v>
      </c>
      <c r="C2665" s="1" t="str">
        <f>HYPERLINK("https://m566.info/1fpz3n3","Doberman")</f>
        <v>Doberman</v>
      </c>
    </row>
    <row r="2666">
      <c r="A2666" s="1" t="str">
        <f t="shared" si="534"/>
        <v>Dog : Elite Training</v>
      </c>
      <c r="B2666" s="1" t="str">
        <f t="shared" si="530"/>
        <v>https://m566.info/1fpz3n3</v>
      </c>
      <c r="C2666" s="1" t="str">
        <f>HYPERLINK("https://m566.info/1fpz3n3","German Shepherd")</f>
        <v>German Shepherd</v>
      </c>
    </row>
    <row r="2667">
      <c r="A2667" s="1" t="str">
        <f t="shared" si="534"/>
        <v>Dog : Elite Training</v>
      </c>
      <c r="B2667" s="1" t="str">
        <f t="shared" si="530"/>
        <v>https://m566.info/1fpz3n3</v>
      </c>
      <c r="C2667" s="1" t="str">
        <f>HYPERLINK("https://m566.info/1fpz3n3","Border Clollie")</f>
        <v>Border Clollie</v>
      </c>
    </row>
    <row r="2668">
      <c r="A2668" s="1" t="str">
        <f t="shared" si="534"/>
        <v>Dog : Elite Training</v>
      </c>
      <c r="B2668" s="1" t="str">
        <f t="shared" si="530"/>
        <v>https://m566.info/1fpz3n3</v>
      </c>
      <c r="C2668" s="1" t="str">
        <f>HYPERLINK("https://m566.info/1fpz3n3","Rotwieller")</f>
        <v>Rotwieller</v>
      </c>
    </row>
    <row r="2669">
      <c r="A2669" s="1" t="str">
        <f t="shared" si="534"/>
        <v>Dog : Elite Training</v>
      </c>
      <c r="B2669" s="1" t="str">
        <f t="shared" si="530"/>
        <v>https://m566.info/1fpz3n3</v>
      </c>
      <c r="C2669" s="1" t="str">
        <f>HYPERLINK("https://m566.info/1fpz3n3","Cross Bred")</f>
        <v>Cross Bred</v>
      </c>
    </row>
    <row r="2670">
      <c r="A2670" s="1" t="str">
        <f t="shared" si="534"/>
        <v>Dog : Elite Training</v>
      </c>
      <c r="B2670" s="1" t="str">
        <f t="shared" si="530"/>
        <v>https://m566.info/1fpz3n3</v>
      </c>
      <c r="C2670" s="1" t="str">
        <f>HYPERLINK("https://m566.info/1fpz3n3","Rotweiller")</f>
        <v>Rotweiller</v>
      </c>
    </row>
    <row r="2671">
      <c r="A2671" s="1" t="str">
        <f t="shared" ref="A2671:A2676" si="535">HYPERLINK("https://m566.info/k9ayl7m","Dog Aggression Training")</f>
        <v>Dog Aggression Training</v>
      </c>
      <c r="B2671" s="1" t="str">
        <f t="shared" ref="B2671:B2700" si="536">HYPERLINK("https://m566.info/k9ayl7m","https://m566.info/k9ayl7m")</f>
        <v>https://m566.info/k9ayl7m</v>
      </c>
      <c r="C2671" s="1" t="str">
        <f>HYPERLINK("https://m566.info/k9ayl7m","Doberman")</f>
        <v>Doberman</v>
      </c>
    </row>
    <row r="2672">
      <c r="A2672" s="1" t="str">
        <f t="shared" si="535"/>
        <v>Dog Aggression Training</v>
      </c>
      <c r="B2672" s="1" t="str">
        <f t="shared" si="536"/>
        <v>https://m566.info/k9ayl7m</v>
      </c>
      <c r="C2672" s="1" t="str">
        <f>HYPERLINK("https://m566.info/k9ayl7m","German Shepherd")</f>
        <v>German Shepherd</v>
      </c>
    </row>
    <row r="2673">
      <c r="A2673" s="1" t="str">
        <f t="shared" si="535"/>
        <v>Dog Aggression Training</v>
      </c>
      <c r="B2673" s="1" t="str">
        <f t="shared" si="536"/>
        <v>https://m566.info/k9ayl7m</v>
      </c>
      <c r="C2673" s="1" t="str">
        <f>HYPERLINK("https://m566.info/k9ayl7m","Border Clollie")</f>
        <v>Border Clollie</v>
      </c>
    </row>
    <row r="2674">
      <c r="A2674" s="1" t="str">
        <f t="shared" si="535"/>
        <v>Dog Aggression Training</v>
      </c>
      <c r="B2674" s="1" t="str">
        <f t="shared" si="536"/>
        <v>https://m566.info/k9ayl7m</v>
      </c>
      <c r="C2674" s="1" t="str">
        <f>HYPERLINK("https://m566.info/k9ayl7m","Rotwieller")</f>
        <v>Rotwieller</v>
      </c>
    </row>
    <row r="2675">
      <c r="A2675" s="1" t="str">
        <f t="shared" si="535"/>
        <v>Dog Aggression Training</v>
      </c>
      <c r="B2675" s="1" t="str">
        <f t="shared" si="536"/>
        <v>https://m566.info/k9ayl7m</v>
      </c>
      <c r="C2675" s="1" t="str">
        <f>HYPERLINK("https://m566.info/k9ayl7m","Cross Bred")</f>
        <v>Cross Bred</v>
      </c>
    </row>
    <row r="2676">
      <c r="A2676" s="1" t="str">
        <f t="shared" si="535"/>
        <v>Dog Aggression Training</v>
      </c>
      <c r="B2676" s="1" t="str">
        <f t="shared" si="536"/>
        <v>https://m566.info/k9ayl7m</v>
      </c>
      <c r="C2676" s="1" t="str">
        <f>HYPERLINK("https://m566.info/k9ayl7m","Rotweiller")</f>
        <v>Rotweiller</v>
      </c>
    </row>
    <row r="2677">
      <c r="A2677" s="1" t="str">
        <f t="shared" ref="A2677:A2682" si="537">HYPERLINK("https://m566.info/k9ayl7m","Dog Obedience Training")</f>
        <v>Dog Obedience Training</v>
      </c>
      <c r="B2677" s="1" t="str">
        <f t="shared" si="536"/>
        <v>https://m566.info/k9ayl7m</v>
      </c>
      <c r="C2677" s="1" t="str">
        <f>HYPERLINK("https://m566.info/k9ayl7m","Doberman")</f>
        <v>Doberman</v>
      </c>
    </row>
    <row r="2678">
      <c r="A2678" s="1" t="str">
        <f t="shared" si="537"/>
        <v>Dog Obedience Training</v>
      </c>
      <c r="B2678" s="1" t="str">
        <f t="shared" si="536"/>
        <v>https://m566.info/k9ayl7m</v>
      </c>
      <c r="C2678" s="1" t="str">
        <f>HYPERLINK("https://m566.info/k9ayl7m","German Shepherd")</f>
        <v>German Shepherd</v>
      </c>
    </row>
    <row r="2679">
      <c r="A2679" s="1" t="str">
        <f t="shared" si="537"/>
        <v>Dog Obedience Training</v>
      </c>
      <c r="B2679" s="1" t="str">
        <f t="shared" si="536"/>
        <v>https://m566.info/k9ayl7m</v>
      </c>
      <c r="C2679" s="1" t="str">
        <f>HYPERLINK("https://m566.info/k9ayl7m","Border Clollie")</f>
        <v>Border Clollie</v>
      </c>
    </row>
    <row r="2680">
      <c r="A2680" s="1" t="str">
        <f t="shared" si="537"/>
        <v>Dog Obedience Training</v>
      </c>
      <c r="B2680" s="1" t="str">
        <f t="shared" si="536"/>
        <v>https://m566.info/k9ayl7m</v>
      </c>
      <c r="C2680" s="1" t="str">
        <f>HYPERLINK("https://m566.info/k9ayl7m","Rotwieller")</f>
        <v>Rotwieller</v>
      </c>
    </row>
    <row r="2681">
      <c r="A2681" s="1" t="str">
        <f t="shared" si="537"/>
        <v>Dog Obedience Training</v>
      </c>
      <c r="B2681" s="1" t="str">
        <f t="shared" si="536"/>
        <v>https://m566.info/k9ayl7m</v>
      </c>
      <c r="C2681" s="1" t="str">
        <f>HYPERLINK("https://m566.info/k9ayl7m","Cross Bred")</f>
        <v>Cross Bred</v>
      </c>
    </row>
    <row r="2682">
      <c r="A2682" s="1" t="str">
        <f t="shared" si="537"/>
        <v>Dog Obedience Training</v>
      </c>
      <c r="B2682" s="1" t="str">
        <f t="shared" si="536"/>
        <v>https://m566.info/k9ayl7m</v>
      </c>
      <c r="C2682" s="1" t="str">
        <f>HYPERLINK("https://m566.info/k9ayl7m","Rotweiller")</f>
        <v>Rotweiller</v>
      </c>
    </row>
    <row r="2683">
      <c r="A2683" s="1" t="str">
        <f t="shared" ref="A2683:A2688" si="538">HYPERLINK("https://m566.info/k9ayl7m","Dog House Training")</f>
        <v>Dog House Training</v>
      </c>
      <c r="B2683" s="1" t="str">
        <f t="shared" si="536"/>
        <v>https://m566.info/k9ayl7m</v>
      </c>
      <c r="C2683" s="1" t="str">
        <f>HYPERLINK("https://m566.info/k9ayl7m","Doberman")</f>
        <v>Doberman</v>
      </c>
    </row>
    <row r="2684">
      <c r="A2684" s="1" t="str">
        <f t="shared" si="538"/>
        <v>Dog House Training</v>
      </c>
      <c r="B2684" s="1" t="str">
        <f t="shared" si="536"/>
        <v>https://m566.info/k9ayl7m</v>
      </c>
      <c r="C2684" s="1" t="str">
        <f>HYPERLINK("https://m566.info/k9ayl7m","German Shepherd")</f>
        <v>German Shepherd</v>
      </c>
    </row>
    <row r="2685">
      <c r="A2685" s="1" t="str">
        <f t="shared" si="538"/>
        <v>Dog House Training</v>
      </c>
      <c r="B2685" s="1" t="str">
        <f t="shared" si="536"/>
        <v>https://m566.info/k9ayl7m</v>
      </c>
      <c r="C2685" s="1" t="str">
        <f>HYPERLINK("https://m566.info/k9ayl7m","Border Clollie")</f>
        <v>Border Clollie</v>
      </c>
    </row>
    <row r="2686">
      <c r="A2686" s="1" t="str">
        <f t="shared" si="538"/>
        <v>Dog House Training</v>
      </c>
      <c r="B2686" s="1" t="str">
        <f t="shared" si="536"/>
        <v>https://m566.info/k9ayl7m</v>
      </c>
      <c r="C2686" s="1" t="str">
        <f>HYPERLINK("https://m566.info/k9ayl7m","Rotwieller")</f>
        <v>Rotwieller</v>
      </c>
    </row>
    <row r="2687">
      <c r="A2687" s="1" t="str">
        <f t="shared" si="538"/>
        <v>Dog House Training</v>
      </c>
      <c r="B2687" s="1" t="str">
        <f t="shared" si="536"/>
        <v>https://m566.info/k9ayl7m</v>
      </c>
      <c r="C2687" s="1" t="str">
        <f>HYPERLINK("https://m566.info/k9ayl7m","Cross Bred")</f>
        <v>Cross Bred</v>
      </c>
    </row>
    <row r="2688">
      <c r="A2688" s="1" t="str">
        <f t="shared" si="538"/>
        <v>Dog House Training</v>
      </c>
      <c r="B2688" s="1" t="str">
        <f t="shared" si="536"/>
        <v>https://m566.info/k9ayl7m</v>
      </c>
      <c r="C2688" s="1" t="str">
        <f>HYPERLINK("https://m566.info/k9ayl7m","Rotweiller")</f>
        <v>Rotweiller</v>
      </c>
    </row>
    <row r="2689">
      <c r="A2689" s="1" t="str">
        <f t="shared" ref="A2689:A2694" si="539">HYPERLINK("https://m566.info/k9ayl7m","Dog Behaviour Training")</f>
        <v>Dog Behaviour Training</v>
      </c>
      <c r="B2689" s="1" t="str">
        <f t="shared" si="536"/>
        <v>https://m566.info/k9ayl7m</v>
      </c>
      <c r="C2689" s="1" t="str">
        <f>HYPERLINK("https://m566.info/k9ayl7m","Doberman")</f>
        <v>Doberman</v>
      </c>
    </row>
    <row r="2690">
      <c r="A2690" s="1" t="str">
        <f t="shared" si="539"/>
        <v>Dog Behaviour Training</v>
      </c>
      <c r="B2690" s="1" t="str">
        <f t="shared" si="536"/>
        <v>https://m566.info/k9ayl7m</v>
      </c>
      <c r="C2690" s="1" t="str">
        <f>HYPERLINK("https://m566.info/k9ayl7m","German Shepherd")</f>
        <v>German Shepherd</v>
      </c>
    </row>
    <row r="2691">
      <c r="A2691" s="1" t="str">
        <f t="shared" si="539"/>
        <v>Dog Behaviour Training</v>
      </c>
      <c r="B2691" s="1" t="str">
        <f t="shared" si="536"/>
        <v>https://m566.info/k9ayl7m</v>
      </c>
      <c r="C2691" s="1" t="str">
        <f>HYPERLINK("https://m566.info/k9ayl7m","Border Clollie")</f>
        <v>Border Clollie</v>
      </c>
    </row>
    <row r="2692">
      <c r="A2692" s="1" t="str">
        <f t="shared" si="539"/>
        <v>Dog Behaviour Training</v>
      </c>
      <c r="B2692" s="1" t="str">
        <f t="shared" si="536"/>
        <v>https://m566.info/k9ayl7m</v>
      </c>
      <c r="C2692" s="1" t="str">
        <f>HYPERLINK("https://m566.info/k9ayl7m","Rotwieller")</f>
        <v>Rotwieller</v>
      </c>
    </row>
    <row r="2693">
      <c r="A2693" s="1" t="str">
        <f t="shared" si="539"/>
        <v>Dog Behaviour Training</v>
      </c>
      <c r="B2693" s="1" t="str">
        <f t="shared" si="536"/>
        <v>https://m566.info/k9ayl7m</v>
      </c>
      <c r="C2693" s="1" t="str">
        <f>HYPERLINK("https://m566.info/k9ayl7m","Cross Bred")</f>
        <v>Cross Bred</v>
      </c>
    </row>
    <row r="2694">
      <c r="A2694" s="1" t="str">
        <f t="shared" si="539"/>
        <v>Dog Behaviour Training</v>
      </c>
      <c r="B2694" s="1" t="str">
        <f t="shared" si="536"/>
        <v>https://m566.info/k9ayl7m</v>
      </c>
      <c r="C2694" s="1" t="str">
        <f>HYPERLINK("https://m566.info/k9ayl7m","Rotweiller")</f>
        <v>Rotweiller</v>
      </c>
    </row>
    <row r="2695">
      <c r="A2695" s="1" t="str">
        <f t="shared" ref="A2695:A2700" si="540">HYPERLINK("https://m566.info/k9ayl7m","Dog : Elite Training")</f>
        <v>Dog : Elite Training</v>
      </c>
      <c r="B2695" s="1" t="str">
        <f t="shared" si="536"/>
        <v>https://m566.info/k9ayl7m</v>
      </c>
      <c r="C2695" s="1" t="str">
        <f>HYPERLINK("https://m566.info/k9ayl7m","Doberman")</f>
        <v>Doberman</v>
      </c>
    </row>
    <row r="2696">
      <c r="A2696" s="1" t="str">
        <f t="shared" si="540"/>
        <v>Dog : Elite Training</v>
      </c>
      <c r="B2696" s="1" t="str">
        <f t="shared" si="536"/>
        <v>https://m566.info/k9ayl7m</v>
      </c>
      <c r="C2696" s="1" t="str">
        <f>HYPERLINK("https://m566.info/k9ayl7m","German Shepherd")</f>
        <v>German Shepherd</v>
      </c>
    </row>
    <row r="2697">
      <c r="A2697" s="1" t="str">
        <f t="shared" si="540"/>
        <v>Dog : Elite Training</v>
      </c>
      <c r="B2697" s="1" t="str">
        <f t="shared" si="536"/>
        <v>https://m566.info/k9ayl7m</v>
      </c>
      <c r="C2697" s="1" t="str">
        <f>HYPERLINK("https://m566.info/k9ayl7m","Border Clollie")</f>
        <v>Border Clollie</v>
      </c>
    </row>
    <row r="2698">
      <c r="A2698" s="1" t="str">
        <f t="shared" si="540"/>
        <v>Dog : Elite Training</v>
      </c>
      <c r="B2698" s="1" t="str">
        <f t="shared" si="536"/>
        <v>https://m566.info/k9ayl7m</v>
      </c>
      <c r="C2698" s="1" t="str">
        <f>HYPERLINK("https://m566.info/k9ayl7m","Rotwieller")</f>
        <v>Rotwieller</v>
      </c>
    </row>
    <row r="2699">
      <c r="A2699" s="1" t="str">
        <f t="shared" si="540"/>
        <v>Dog : Elite Training</v>
      </c>
      <c r="B2699" s="1" t="str">
        <f t="shared" si="536"/>
        <v>https://m566.info/k9ayl7m</v>
      </c>
      <c r="C2699" s="1" t="str">
        <f>HYPERLINK("https://m566.info/k9ayl7m","Cross Bred")</f>
        <v>Cross Bred</v>
      </c>
    </row>
    <row r="2700">
      <c r="A2700" s="1" t="str">
        <f t="shared" si="540"/>
        <v>Dog : Elite Training</v>
      </c>
      <c r="B2700" s="1" t="str">
        <f t="shared" si="536"/>
        <v>https://m566.info/k9ayl7m</v>
      </c>
      <c r="C2700" s="1" t="str">
        <f>HYPERLINK("https://m566.info/k9ayl7m","Rotweiller")</f>
        <v>Rotweiller</v>
      </c>
    </row>
    <row r="2701">
      <c r="A2701" s="1" t="str">
        <f t="shared" ref="A2701:A2706" si="541">HYPERLINK("https://m566.info/dc2ashm","Dog Aggression Training")</f>
        <v>Dog Aggression Training</v>
      </c>
      <c r="B2701" s="1" t="str">
        <f t="shared" ref="B2701:B2730" si="542">HYPERLINK("https://m566.info/dc2ashm","https://m566.info/dc2ashm")</f>
        <v>https://m566.info/dc2ashm</v>
      </c>
      <c r="C2701" s="1" t="str">
        <f>HYPERLINK("https://m566.info/dc2ashm","Doberman")</f>
        <v>Doberman</v>
      </c>
    </row>
    <row r="2702">
      <c r="A2702" s="1" t="str">
        <f t="shared" si="541"/>
        <v>Dog Aggression Training</v>
      </c>
      <c r="B2702" s="1" t="str">
        <f t="shared" si="542"/>
        <v>https://m566.info/dc2ashm</v>
      </c>
      <c r="C2702" s="1" t="str">
        <f>HYPERLINK("https://m566.info/dc2ashm","German Shepherd")</f>
        <v>German Shepherd</v>
      </c>
    </row>
    <row r="2703">
      <c r="A2703" s="1" t="str">
        <f t="shared" si="541"/>
        <v>Dog Aggression Training</v>
      </c>
      <c r="B2703" s="1" t="str">
        <f t="shared" si="542"/>
        <v>https://m566.info/dc2ashm</v>
      </c>
      <c r="C2703" s="1" t="str">
        <f>HYPERLINK("https://m566.info/dc2ashm","Border Clollie")</f>
        <v>Border Clollie</v>
      </c>
    </row>
    <row r="2704">
      <c r="A2704" s="1" t="str">
        <f t="shared" si="541"/>
        <v>Dog Aggression Training</v>
      </c>
      <c r="B2704" s="1" t="str">
        <f t="shared" si="542"/>
        <v>https://m566.info/dc2ashm</v>
      </c>
      <c r="C2704" s="1" t="str">
        <f>HYPERLINK("https://m566.info/dc2ashm","Rotwieller")</f>
        <v>Rotwieller</v>
      </c>
    </row>
    <row r="2705">
      <c r="A2705" s="1" t="str">
        <f t="shared" si="541"/>
        <v>Dog Aggression Training</v>
      </c>
      <c r="B2705" s="1" t="str">
        <f t="shared" si="542"/>
        <v>https://m566.info/dc2ashm</v>
      </c>
      <c r="C2705" s="1" t="str">
        <f>HYPERLINK("https://m566.info/dc2ashm","Cross Bred")</f>
        <v>Cross Bred</v>
      </c>
    </row>
    <row r="2706">
      <c r="A2706" s="1" t="str">
        <f t="shared" si="541"/>
        <v>Dog Aggression Training</v>
      </c>
      <c r="B2706" s="1" t="str">
        <f t="shared" si="542"/>
        <v>https://m566.info/dc2ashm</v>
      </c>
      <c r="C2706" s="1" t="str">
        <f>HYPERLINK("https://m566.info/dc2ashm","Rotweiller")</f>
        <v>Rotweiller</v>
      </c>
    </row>
    <row r="2707">
      <c r="A2707" s="1" t="str">
        <f t="shared" ref="A2707:A2712" si="543">HYPERLINK("https://m566.info/dc2ashm","Dog Obedience Training")</f>
        <v>Dog Obedience Training</v>
      </c>
      <c r="B2707" s="1" t="str">
        <f t="shared" si="542"/>
        <v>https://m566.info/dc2ashm</v>
      </c>
      <c r="C2707" s="1" t="str">
        <f>HYPERLINK("https://m566.info/dc2ashm","Doberman")</f>
        <v>Doberman</v>
      </c>
    </row>
    <row r="2708">
      <c r="A2708" s="1" t="str">
        <f t="shared" si="543"/>
        <v>Dog Obedience Training</v>
      </c>
      <c r="B2708" s="1" t="str">
        <f t="shared" si="542"/>
        <v>https://m566.info/dc2ashm</v>
      </c>
      <c r="C2708" s="1" t="str">
        <f>HYPERLINK("https://m566.info/dc2ashm","German Shepherd")</f>
        <v>German Shepherd</v>
      </c>
    </row>
    <row r="2709">
      <c r="A2709" s="1" t="str">
        <f t="shared" si="543"/>
        <v>Dog Obedience Training</v>
      </c>
      <c r="B2709" s="1" t="str">
        <f t="shared" si="542"/>
        <v>https://m566.info/dc2ashm</v>
      </c>
      <c r="C2709" s="1" t="str">
        <f>HYPERLINK("https://m566.info/dc2ashm","Border Clollie")</f>
        <v>Border Clollie</v>
      </c>
    </row>
    <row r="2710">
      <c r="A2710" s="1" t="str">
        <f t="shared" si="543"/>
        <v>Dog Obedience Training</v>
      </c>
      <c r="B2710" s="1" t="str">
        <f t="shared" si="542"/>
        <v>https://m566.info/dc2ashm</v>
      </c>
      <c r="C2710" s="1" t="str">
        <f>HYPERLINK("https://m566.info/dc2ashm","Rotwieller")</f>
        <v>Rotwieller</v>
      </c>
    </row>
    <row r="2711">
      <c r="A2711" s="1" t="str">
        <f t="shared" si="543"/>
        <v>Dog Obedience Training</v>
      </c>
      <c r="B2711" s="1" t="str">
        <f t="shared" si="542"/>
        <v>https://m566.info/dc2ashm</v>
      </c>
      <c r="C2711" s="1" t="str">
        <f>HYPERLINK("https://m566.info/dc2ashm","Cross Bred")</f>
        <v>Cross Bred</v>
      </c>
    </row>
    <row r="2712">
      <c r="A2712" s="1" t="str">
        <f t="shared" si="543"/>
        <v>Dog Obedience Training</v>
      </c>
      <c r="B2712" s="1" t="str">
        <f t="shared" si="542"/>
        <v>https://m566.info/dc2ashm</v>
      </c>
      <c r="C2712" s="1" t="str">
        <f>HYPERLINK("https://m566.info/dc2ashm","Rotweiller")</f>
        <v>Rotweiller</v>
      </c>
    </row>
    <row r="2713">
      <c r="A2713" s="1" t="str">
        <f t="shared" ref="A2713:A2718" si="544">HYPERLINK("https://m566.info/dc2ashm","Dog House Training")</f>
        <v>Dog House Training</v>
      </c>
      <c r="B2713" s="1" t="str">
        <f t="shared" si="542"/>
        <v>https://m566.info/dc2ashm</v>
      </c>
      <c r="C2713" s="1" t="str">
        <f>HYPERLINK("https://m566.info/dc2ashm","Doberman")</f>
        <v>Doberman</v>
      </c>
    </row>
    <row r="2714">
      <c r="A2714" s="1" t="str">
        <f t="shared" si="544"/>
        <v>Dog House Training</v>
      </c>
      <c r="B2714" s="1" t="str">
        <f t="shared" si="542"/>
        <v>https://m566.info/dc2ashm</v>
      </c>
      <c r="C2714" s="1" t="str">
        <f>HYPERLINK("https://m566.info/dc2ashm","German Shepherd")</f>
        <v>German Shepherd</v>
      </c>
    </row>
    <row r="2715">
      <c r="A2715" s="1" t="str">
        <f t="shared" si="544"/>
        <v>Dog House Training</v>
      </c>
      <c r="B2715" s="1" t="str">
        <f t="shared" si="542"/>
        <v>https://m566.info/dc2ashm</v>
      </c>
      <c r="C2715" s="1" t="str">
        <f>HYPERLINK("https://m566.info/dc2ashm","Border Clollie")</f>
        <v>Border Clollie</v>
      </c>
    </row>
    <row r="2716">
      <c r="A2716" s="1" t="str">
        <f t="shared" si="544"/>
        <v>Dog House Training</v>
      </c>
      <c r="B2716" s="1" t="str">
        <f t="shared" si="542"/>
        <v>https://m566.info/dc2ashm</v>
      </c>
      <c r="C2716" s="1" t="str">
        <f>HYPERLINK("https://m566.info/dc2ashm","Rotwieller")</f>
        <v>Rotwieller</v>
      </c>
    </row>
    <row r="2717">
      <c r="A2717" s="1" t="str">
        <f t="shared" si="544"/>
        <v>Dog House Training</v>
      </c>
      <c r="B2717" s="1" t="str">
        <f t="shared" si="542"/>
        <v>https://m566.info/dc2ashm</v>
      </c>
      <c r="C2717" s="1" t="str">
        <f>HYPERLINK("https://m566.info/dc2ashm","Cross Bred")</f>
        <v>Cross Bred</v>
      </c>
    </row>
    <row r="2718">
      <c r="A2718" s="1" t="str">
        <f t="shared" si="544"/>
        <v>Dog House Training</v>
      </c>
      <c r="B2718" s="1" t="str">
        <f t="shared" si="542"/>
        <v>https://m566.info/dc2ashm</v>
      </c>
      <c r="C2718" s="1" t="str">
        <f>HYPERLINK("https://m566.info/dc2ashm","Rotweiller")</f>
        <v>Rotweiller</v>
      </c>
    </row>
    <row r="2719">
      <c r="A2719" s="1" t="str">
        <f t="shared" ref="A2719:A2724" si="545">HYPERLINK("https://m566.info/dc2ashm","Dog Behaviour Training")</f>
        <v>Dog Behaviour Training</v>
      </c>
      <c r="B2719" s="1" t="str">
        <f t="shared" si="542"/>
        <v>https://m566.info/dc2ashm</v>
      </c>
      <c r="C2719" s="1" t="str">
        <f>HYPERLINK("https://m566.info/dc2ashm","Doberman")</f>
        <v>Doberman</v>
      </c>
    </row>
    <row r="2720">
      <c r="A2720" s="1" t="str">
        <f t="shared" si="545"/>
        <v>Dog Behaviour Training</v>
      </c>
      <c r="B2720" s="1" t="str">
        <f t="shared" si="542"/>
        <v>https://m566.info/dc2ashm</v>
      </c>
      <c r="C2720" s="1" t="str">
        <f>HYPERLINK("https://m566.info/dc2ashm","German Shepherd")</f>
        <v>German Shepherd</v>
      </c>
    </row>
    <row r="2721">
      <c r="A2721" s="1" t="str">
        <f t="shared" si="545"/>
        <v>Dog Behaviour Training</v>
      </c>
      <c r="B2721" s="1" t="str">
        <f t="shared" si="542"/>
        <v>https://m566.info/dc2ashm</v>
      </c>
      <c r="C2721" s="1" t="str">
        <f>HYPERLINK("https://m566.info/dc2ashm","Border Clollie")</f>
        <v>Border Clollie</v>
      </c>
    </row>
    <row r="2722">
      <c r="A2722" s="1" t="str">
        <f t="shared" si="545"/>
        <v>Dog Behaviour Training</v>
      </c>
      <c r="B2722" s="1" t="str">
        <f t="shared" si="542"/>
        <v>https://m566.info/dc2ashm</v>
      </c>
      <c r="C2722" s="1" t="str">
        <f>HYPERLINK("https://m566.info/dc2ashm","Rotwieller")</f>
        <v>Rotwieller</v>
      </c>
    </row>
    <row r="2723">
      <c r="A2723" s="1" t="str">
        <f t="shared" si="545"/>
        <v>Dog Behaviour Training</v>
      </c>
      <c r="B2723" s="1" t="str">
        <f t="shared" si="542"/>
        <v>https://m566.info/dc2ashm</v>
      </c>
      <c r="C2723" s="1" t="str">
        <f>HYPERLINK("https://m566.info/dc2ashm","Cross Bred")</f>
        <v>Cross Bred</v>
      </c>
    </row>
    <row r="2724">
      <c r="A2724" s="1" t="str">
        <f t="shared" si="545"/>
        <v>Dog Behaviour Training</v>
      </c>
      <c r="B2724" s="1" t="str">
        <f t="shared" si="542"/>
        <v>https://m566.info/dc2ashm</v>
      </c>
      <c r="C2724" s="1" t="str">
        <f>HYPERLINK("https://m566.info/dc2ashm","Rotweiller")</f>
        <v>Rotweiller</v>
      </c>
    </row>
    <row r="2725">
      <c r="A2725" s="1" t="str">
        <f t="shared" ref="A2725:A2730" si="546">HYPERLINK("https://m566.info/dc2ashm","Dog : Elite Training")</f>
        <v>Dog : Elite Training</v>
      </c>
      <c r="B2725" s="1" t="str">
        <f t="shared" si="542"/>
        <v>https://m566.info/dc2ashm</v>
      </c>
      <c r="C2725" s="1" t="str">
        <f>HYPERLINK("https://m566.info/dc2ashm","Doberman")</f>
        <v>Doberman</v>
      </c>
    </row>
    <row r="2726">
      <c r="A2726" s="1" t="str">
        <f t="shared" si="546"/>
        <v>Dog : Elite Training</v>
      </c>
      <c r="B2726" s="1" t="str">
        <f t="shared" si="542"/>
        <v>https://m566.info/dc2ashm</v>
      </c>
      <c r="C2726" s="1" t="str">
        <f>HYPERLINK("https://m566.info/dc2ashm","German Shepherd")</f>
        <v>German Shepherd</v>
      </c>
    </row>
    <row r="2727">
      <c r="A2727" s="1" t="str">
        <f t="shared" si="546"/>
        <v>Dog : Elite Training</v>
      </c>
      <c r="B2727" s="1" t="str">
        <f t="shared" si="542"/>
        <v>https://m566.info/dc2ashm</v>
      </c>
      <c r="C2727" s="1" t="str">
        <f>HYPERLINK("https://m566.info/dc2ashm","Border Clollie")</f>
        <v>Border Clollie</v>
      </c>
    </row>
    <row r="2728">
      <c r="A2728" s="1" t="str">
        <f t="shared" si="546"/>
        <v>Dog : Elite Training</v>
      </c>
      <c r="B2728" s="1" t="str">
        <f t="shared" si="542"/>
        <v>https://m566.info/dc2ashm</v>
      </c>
      <c r="C2728" s="1" t="str">
        <f>HYPERLINK("https://m566.info/dc2ashm","Rotwieller")</f>
        <v>Rotwieller</v>
      </c>
    </row>
    <row r="2729">
      <c r="A2729" s="1" t="str">
        <f t="shared" si="546"/>
        <v>Dog : Elite Training</v>
      </c>
      <c r="B2729" s="1" t="str">
        <f t="shared" si="542"/>
        <v>https://m566.info/dc2ashm</v>
      </c>
      <c r="C2729" s="1" t="str">
        <f>HYPERLINK("https://m566.info/dc2ashm","Cross Bred")</f>
        <v>Cross Bred</v>
      </c>
    </row>
    <row r="2730">
      <c r="A2730" s="1" t="str">
        <f t="shared" si="546"/>
        <v>Dog : Elite Training</v>
      </c>
      <c r="B2730" s="1" t="str">
        <f t="shared" si="542"/>
        <v>https://m566.info/dc2ashm</v>
      </c>
      <c r="C2730" s="1" t="str">
        <f>HYPERLINK("https://m566.info/dc2ashm","Rotweiller")</f>
        <v>Rotweiller</v>
      </c>
    </row>
    <row r="2731">
      <c r="A2731" s="1" t="str">
        <f t="shared" ref="A2731:A2736" si="547">HYPERLINK("https://m566.info/t2oevji","Dog Aggression Training")</f>
        <v>Dog Aggression Training</v>
      </c>
      <c r="B2731" s="1" t="str">
        <f t="shared" ref="B2731:B2760" si="548">HYPERLINK("https://m566.info/t2oevji","https://m566.info/t2oevji")</f>
        <v>https://m566.info/t2oevji</v>
      </c>
      <c r="C2731" s="1" t="str">
        <f>HYPERLINK("https://m566.info/t2oevji","Doberman")</f>
        <v>Doberman</v>
      </c>
    </row>
    <row r="2732">
      <c r="A2732" s="1" t="str">
        <f t="shared" si="547"/>
        <v>Dog Aggression Training</v>
      </c>
      <c r="B2732" s="1" t="str">
        <f t="shared" si="548"/>
        <v>https://m566.info/t2oevji</v>
      </c>
      <c r="C2732" s="1" t="str">
        <f>HYPERLINK("https://m566.info/t2oevji","German Shepherd")</f>
        <v>German Shepherd</v>
      </c>
    </row>
    <row r="2733">
      <c r="A2733" s="1" t="str">
        <f t="shared" si="547"/>
        <v>Dog Aggression Training</v>
      </c>
      <c r="B2733" s="1" t="str">
        <f t="shared" si="548"/>
        <v>https://m566.info/t2oevji</v>
      </c>
      <c r="C2733" s="1" t="str">
        <f>HYPERLINK("https://m566.info/t2oevji","Border Clollie")</f>
        <v>Border Clollie</v>
      </c>
    </row>
    <row r="2734">
      <c r="A2734" s="1" t="str">
        <f t="shared" si="547"/>
        <v>Dog Aggression Training</v>
      </c>
      <c r="B2734" s="1" t="str">
        <f t="shared" si="548"/>
        <v>https://m566.info/t2oevji</v>
      </c>
      <c r="C2734" s="1" t="str">
        <f>HYPERLINK("https://m566.info/t2oevji","Rotwieller")</f>
        <v>Rotwieller</v>
      </c>
    </row>
    <row r="2735">
      <c r="A2735" s="1" t="str">
        <f t="shared" si="547"/>
        <v>Dog Aggression Training</v>
      </c>
      <c r="B2735" s="1" t="str">
        <f t="shared" si="548"/>
        <v>https://m566.info/t2oevji</v>
      </c>
      <c r="C2735" s="1" t="str">
        <f>HYPERLINK("https://m566.info/t2oevji","Cross Bred")</f>
        <v>Cross Bred</v>
      </c>
    </row>
    <row r="2736">
      <c r="A2736" s="1" t="str">
        <f t="shared" si="547"/>
        <v>Dog Aggression Training</v>
      </c>
      <c r="B2736" s="1" t="str">
        <f t="shared" si="548"/>
        <v>https://m566.info/t2oevji</v>
      </c>
      <c r="C2736" s="1" t="str">
        <f>HYPERLINK("https://m566.info/t2oevji","Rotweiller")</f>
        <v>Rotweiller</v>
      </c>
    </row>
    <row r="2737">
      <c r="A2737" s="1" t="str">
        <f t="shared" ref="A2737:A2742" si="549">HYPERLINK("https://m566.info/t2oevji","Dog Obedience Training")</f>
        <v>Dog Obedience Training</v>
      </c>
      <c r="B2737" s="1" t="str">
        <f t="shared" si="548"/>
        <v>https://m566.info/t2oevji</v>
      </c>
      <c r="C2737" s="1" t="str">
        <f>HYPERLINK("https://m566.info/t2oevji","Doberman")</f>
        <v>Doberman</v>
      </c>
    </row>
    <row r="2738">
      <c r="A2738" s="1" t="str">
        <f t="shared" si="549"/>
        <v>Dog Obedience Training</v>
      </c>
      <c r="B2738" s="1" t="str">
        <f t="shared" si="548"/>
        <v>https://m566.info/t2oevji</v>
      </c>
      <c r="C2738" s="1" t="str">
        <f>HYPERLINK("https://m566.info/t2oevji","German Shepherd")</f>
        <v>German Shepherd</v>
      </c>
    </row>
    <row r="2739">
      <c r="A2739" s="1" t="str">
        <f t="shared" si="549"/>
        <v>Dog Obedience Training</v>
      </c>
      <c r="B2739" s="1" t="str">
        <f t="shared" si="548"/>
        <v>https://m566.info/t2oevji</v>
      </c>
      <c r="C2739" s="1" t="str">
        <f>HYPERLINK("https://m566.info/t2oevji","Border Clollie")</f>
        <v>Border Clollie</v>
      </c>
    </row>
    <row r="2740">
      <c r="A2740" s="1" t="str">
        <f t="shared" si="549"/>
        <v>Dog Obedience Training</v>
      </c>
      <c r="B2740" s="1" t="str">
        <f t="shared" si="548"/>
        <v>https://m566.info/t2oevji</v>
      </c>
      <c r="C2740" s="1" t="str">
        <f>HYPERLINK("https://m566.info/t2oevji","Rotwieller")</f>
        <v>Rotwieller</v>
      </c>
    </row>
    <row r="2741">
      <c r="A2741" s="1" t="str">
        <f t="shared" si="549"/>
        <v>Dog Obedience Training</v>
      </c>
      <c r="B2741" s="1" t="str">
        <f t="shared" si="548"/>
        <v>https://m566.info/t2oevji</v>
      </c>
      <c r="C2741" s="1" t="str">
        <f>HYPERLINK("https://m566.info/t2oevji","Cross Bred")</f>
        <v>Cross Bred</v>
      </c>
    </row>
    <row r="2742">
      <c r="A2742" s="1" t="str">
        <f t="shared" si="549"/>
        <v>Dog Obedience Training</v>
      </c>
      <c r="B2742" s="1" t="str">
        <f t="shared" si="548"/>
        <v>https://m566.info/t2oevji</v>
      </c>
      <c r="C2742" s="1" t="str">
        <f>HYPERLINK("https://m566.info/t2oevji","Rotweiller")</f>
        <v>Rotweiller</v>
      </c>
    </row>
    <row r="2743">
      <c r="A2743" s="1" t="str">
        <f t="shared" ref="A2743:A2748" si="550">HYPERLINK("https://m566.info/t2oevji","Dog House Training")</f>
        <v>Dog House Training</v>
      </c>
      <c r="B2743" s="1" t="str">
        <f t="shared" si="548"/>
        <v>https://m566.info/t2oevji</v>
      </c>
      <c r="C2743" s="1" t="str">
        <f>HYPERLINK("https://m566.info/t2oevji","Doberman")</f>
        <v>Doberman</v>
      </c>
    </row>
    <row r="2744">
      <c r="A2744" s="1" t="str">
        <f t="shared" si="550"/>
        <v>Dog House Training</v>
      </c>
      <c r="B2744" s="1" t="str">
        <f t="shared" si="548"/>
        <v>https://m566.info/t2oevji</v>
      </c>
      <c r="C2744" s="1" t="str">
        <f>HYPERLINK("https://m566.info/t2oevji","German Shepherd")</f>
        <v>German Shepherd</v>
      </c>
    </row>
    <row r="2745">
      <c r="A2745" s="1" t="str">
        <f t="shared" si="550"/>
        <v>Dog House Training</v>
      </c>
      <c r="B2745" s="1" t="str">
        <f t="shared" si="548"/>
        <v>https://m566.info/t2oevji</v>
      </c>
      <c r="C2745" s="1" t="str">
        <f>HYPERLINK("https://m566.info/t2oevji","Border Clollie")</f>
        <v>Border Clollie</v>
      </c>
    </row>
    <row r="2746">
      <c r="A2746" s="1" t="str">
        <f t="shared" si="550"/>
        <v>Dog House Training</v>
      </c>
      <c r="B2746" s="1" t="str">
        <f t="shared" si="548"/>
        <v>https://m566.info/t2oevji</v>
      </c>
      <c r="C2746" s="1" t="str">
        <f>HYPERLINK("https://m566.info/t2oevji","Rotwieller")</f>
        <v>Rotwieller</v>
      </c>
    </row>
    <row r="2747">
      <c r="A2747" s="1" t="str">
        <f t="shared" si="550"/>
        <v>Dog House Training</v>
      </c>
      <c r="B2747" s="1" t="str">
        <f t="shared" si="548"/>
        <v>https://m566.info/t2oevji</v>
      </c>
      <c r="C2747" s="1" t="str">
        <f>HYPERLINK("https://m566.info/t2oevji","Cross Bred")</f>
        <v>Cross Bred</v>
      </c>
    </row>
    <row r="2748">
      <c r="A2748" s="1" t="str">
        <f t="shared" si="550"/>
        <v>Dog House Training</v>
      </c>
      <c r="B2748" s="1" t="str">
        <f t="shared" si="548"/>
        <v>https://m566.info/t2oevji</v>
      </c>
      <c r="C2748" s="1" t="str">
        <f>HYPERLINK("https://m566.info/t2oevji","Rotweiller")</f>
        <v>Rotweiller</v>
      </c>
    </row>
    <row r="2749">
      <c r="A2749" s="1" t="str">
        <f t="shared" ref="A2749:A2754" si="551">HYPERLINK("https://m566.info/t2oevji","Dog Behaviour Training")</f>
        <v>Dog Behaviour Training</v>
      </c>
      <c r="B2749" s="1" t="str">
        <f t="shared" si="548"/>
        <v>https://m566.info/t2oevji</v>
      </c>
      <c r="C2749" s="1" t="str">
        <f>HYPERLINK("https://m566.info/t2oevji","Doberman")</f>
        <v>Doberman</v>
      </c>
    </row>
    <row r="2750">
      <c r="A2750" s="1" t="str">
        <f t="shared" si="551"/>
        <v>Dog Behaviour Training</v>
      </c>
      <c r="B2750" s="1" t="str">
        <f t="shared" si="548"/>
        <v>https://m566.info/t2oevji</v>
      </c>
      <c r="C2750" s="1" t="str">
        <f>HYPERLINK("https://m566.info/t2oevji","German Shepherd")</f>
        <v>German Shepherd</v>
      </c>
    </row>
    <row r="2751">
      <c r="A2751" s="1" t="str">
        <f t="shared" si="551"/>
        <v>Dog Behaviour Training</v>
      </c>
      <c r="B2751" s="1" t="str">
        <f t="shared" si="548"/>
        <v>https://m566.info/t2oevji</v>
      </c>
      <c r="C2751" s="1" t="str">
        <f>HYPERLINK("https://m566.info/t2oevji","Border Clollie")</f>
        <v>Border Clollie</v>
      </c>
    </row>
    <row r="2752">
      <c r="A2752" s="1" t="str">
        <f t="shared" si="551"/>
        <v>Dog Behaviour Training</v>
      </c>
      <c r="B2752" s="1" t="str">
        <f t="shared" si="548"/>
        <v>https://m566.info/t2oevji</v>
      </c>
      <c r="C2752" s="1" t="str">
        <f>HYPERLINK("https://m566.info/t2oevji","Rotwieller")</f>
        <v>Rotwieller</v>
      </c>
    </row>
    <row r="2753">
      <c r="A2753" s="1" t="str">
        <f t="shared" si="551"/>
        <v>Dog Behaviour Training</v>
      </c>
      <c r="B2753" s="1" t="str">
        <f t="shared" si="548"/>
        <v>https://m566.info/t2oevji</v>
      </c>
      <c r="C2753" s="1" t="str">
        <f>HYPERLINK("https://m566.info/t2oevji","Cross Bred")</f>
        <v>Cross Bred</v>
      </c>
    </row>
    <row r="2754">
      <c r="A2754" s="1" t="str">
        <f t="shared" si="551"/>
        <v>Dog Behaviour Training</v>
      </c>
      <c r="B2754" s="1" t="str">
        <f t="shared" si="548"/>
        <v>https://m566.info/t2oevji</v>
      </c>
      <c r="C2754" s="1" t="str">
        <f>HYPERLINK("https://m566.info/t2oevji","Rotweiller")</f>
        <v>Rotweiller</v>
      </c>
    </row>
    <row r="2755">
      <c r="A2755" s="1" t="str">
        <f t="shared" ref="A2755:A2760" si="552">HYPERLINK("https://m566.info/t2oevji","Dog : Elite Training")</f>
        <v>Dog : Elite Training</v>
      </c>
      <c r="B2755" s="1" t="str">
        <f t="shared" si="548"/>
        <v>https://m566.info/t2oevji</v>
      </c>
      <c r="C2755" s="1" t="str">
        <f>HYPERLINK("https://m566.info/t2oevji","Doberman")</f>
        <v>Doberman</v>
      </c>
    </row>
    <row r="2756">
      <c r="A2756" s="1" t="str">
        <f t="shared" si="552"/>
        <v>Dog : Elite Training</v>
      </c>
      <c r="B2756" s="1" t="str">
        <f t="shared" si="548"/>
        <v>https://m566.info/t2oevji</v>
      </c>
      <c r="C2756" s="1" t="str">
        <f>HYPERLINK("https://m566.info/t2oevji","German Shepherd")</f>
        <v>German Shepherd</v>
      </c>
    </row>
    <row r="2757">
      <c r="A2757" s="1" t="str">
        <f t="shared" si="552"/>
        <v>Dog : Elite Training</v>
      </c>
      <c r="B2757" s="1" t="str">
        <f t="shared" si="548"/>
        <v>https://m566.info/t2oevji</v>
      </c>
      <c r="C2757" s="1" t="str">
        <f>HYPERLINK("https://m566.info/t2oevji","Border Clollie")</f>
        <v>Border Clollie</v>
      </c>
    </row>
    <row r="2758">
      <c r="A2758" s="1" t="str">
        <f t="shared" si="552"/>
        <v>Dog : Elite Training</v>
      </c>
      <c r="B2758" s="1" t="str">
        <f t="shared" si="548"/>
        <v>https://m566.info/t2oevji</v>
      </c>
      <c r="C2758" s="1" t="str">
        <f>HYPERLINK("https://m566.info/t2oevji","Rotwieller")</f>
        <v>Rotwieller</v>
      </c>
    </row>
    <row r="2759">
      <c r="A2759" s="1" t="str">
        <f t="shared" si="552"/>
        <v>Dog : Elite Training</v>
      </c>
      <c r="B2759" s="1" t="str">
        <f t="shared" si="548"/>
        <v>https://m566.info/t2oevji</v>
      </c>
      <c r="C2759" s="1" t="str">
        <f>HYPERLINK("https://m566.info/t2oevji","Cross Bred")</f>
        <v>Cross Bred</v>
      </c>
    </row>
    <row r="2760">
      <c r="A2760" s="1" t="str">
        <f t="shared" si="552"/>
        <v>Dog : Elite Training</v>
      </c>
      <c r="B2760" s="1" t="str">
        <f t="shared" si="548"/>
        <v>https://m566.info/t2oevji</v>
      </c>
      <c r="C2760" s="1" t="str">
        <f>HYPERLINK("https://m566.info/t2oevji","Rotweiller")</f>
        <v>Rotweiller</v>
      </c>
    </row>
    <row r="2761">
      <c r="A2761" s="1" t="str">
        <f t="shared" ref="A2761:A2766" si="553">HYPERLINK("https://m566.info/ko3xfzo","Dog Aggression Training")</f>
        <v>Dog Aggression Training</v>
      </c>
      <c r="B2761" s="1" t="str">
        <f t="shared" ref="B2761:B2790" si="554">HYPERLINK("https://m566.info/ko3xfzo","https://m566.info/ko3xfzo")</f>
        <v>https://m566.info/ko3xfzo</v>
      </c>
      <c r="C2761" s="1" t="str">
        <f>HYPERLINK("https://m566.info/ko3xfzo","Doberman")</f>
        <v>Doberman</v>
      </c>
    </row>
    <row r="2762">
      <c r="A2762" s="1" t="str">
        <f t="shared" si="553"/>
        <v>Dog Aggression Training</v>
      </c>
      <c r="B2762" s="1" t="str">
        <f t="shared" si="554"/>
        <v>https://m566.info/ko3xfzo</v>
      </c>
      <c r="C2762" s="1" t="str">
        <f>HYPERLINK("https://m566.info/ko3xfzo","German Shepherd")</f>
        <v>German Shepherd</v>
      </c>
    </row>
    <row r="2763">
      <c r="A2763" s="1" t="str">
        <f t="shared" si="553"/>
        <v>Dog Aggression Training</v>
      </c>
      <c r="B2763" s="1" t="str">
        <f t="shared" si="554"/>
        <v>https://m566.info/ko3xfzo</v>
      </c>
      <c r="C2763" s="1" t="str">
        <f>HYPERLINK("https://m566.info/ko3xfzo","Border Clollie")</f>
        <v>Border Clollie</v>
      </c>
    </row>
    <row r="2764">
      <c r="A2764" s="1" t="str">
        <f t="shared" si="553"/>
        <v>Dog Aggression Training</v>
      </c>
      <c r="B2764" s="1" t="str">
        <f t="shared" si="554"/>
        <v>https://m566.info/ko3xfzo</v>
      </c>
      <c r="C2764" s="1" t="str">
        <f>HYPERLINK("https://m566.info/ko3xfzo","Rotwieller")</f>
        <v>Rotwieller</v>
      </c>
    </row>
    <row r="2765">
      <c r="A2765" s="1" t="str">
        <f t="shared" si="553"/>
        <v>Dog Aggression Training</v>
      </c>
      <c r="B2765" s="1" t="str">
        <f t="shared" si="554"/>
        <v>https://m566.info/ko3xfzo</v>
      </c>
      <c r="C2765" s="1" t="str">
        <f>HYPERLINK("https://m566.info/ko3xfzo","Cross Bred")</f>
        <v>Cross Bred</v>
      </c>
    </row>
    <row r="2766">
      <c r="A2766" s="1" t="str">
        <f t="shared" si="553"/>
        <v>Dog Aggression Training</v>
      </c>
      <c r="B2766" s="1" t="str">
        <f t="shared" si="554"/>
        <v>https://m566.info/ko3xfzo</v>
      </c>
      <c r="C2766" s="1" t="str">
        <f>HYPERLINK("https://m566.info/ko3xfzo","Rotweiller")</f>
        <v>Rotweiller</v>
      </c>
    </row>
    <row r="2767">
      <c r="A2767" s="1" t="str">
        <f t="shared" ref="A2767:A2772" si="555">HYPERLINK("https://m566.info/ko3xfzo","Dog Obedience Training")</f>
        <v>Dog Obedience Training</v>
      </c>
      <c r="B2767" s="1" t="str">
        <f t="shared" si="554"/>
        <v>https://m566.info/ko3xfzo</v>
      </c>
      <c r="C2767" s="1" t="str">
        <f>HYPERLINK("https://m566.info/ko3xfzo","Doberman")</f>
        <v>Doberman</v>
      </c>
    </row>
    <row r="2768">
      <c r="A2768" s="1" t="str">
        <f t="shared" si="555"/>
        <v>Dog Obedience Training</v>
      </c>
      <c r="B2768" s="1" t="str">
        <f t="shared" si="554"/>
        <v>https://m566.info/ko3xfzo</v>
      </c>
      <c r="C2768" s="1" t="str">
        <f>HYPERLINK("https://m566.info/ko3xfzo","German Shepherd")</f>
        <v>German Shepherd</v>
      </c>
    </row>
    <row r="2769">
      <c r="A2769" s="1" t="str">
        <f t="shared" si="555"/>
        <v>Dog Obedience Training</v>
      </c>
      <c r="B2769" s="1" t="str">
        <f t="shared" si="554"/>
        <v>https://m566.info/ko3xfzo</v>
      </c>
      <c r="C2769" s="1" t="str">
        <f>HYPERLINK("https://m566.info/ko3xfzo","Border Clollie")</f>
        <v>Border Clollie</v>
      </c>
    </row>
    <row r="2770">
      <c r="A2770" s="1" t="str">
        <f t="shared" si="555"/>
        <v>Dog Obedience Training</v>
      </c>
      <c r="B2770" s="1" t="str">
        <f t="shared" si="554"/>
        <v>https://m566.info/ko3xfzo</v>
      </c>
      <c r="C2770" s="1" t="str">
        <f>HYPERLINK("https://m566.info/ko3xfzo","Rotwieller")</f>
        <v>Rotwieller</v>
      </c>
    </row>
    <row r="2771">
      <c r="A2771" s="1" t="str">
        <f t="shared" si="555"/>
        <v>Dog Obedience Training</v>
      </c>
      <c r="B2771" s="1" t="str">
        <f t="shared" si="554"/>
        <v>https://m566.info/ko3xfzo</v>
      </c>
      <c r="C2771" s="1" t="str">
        <f>HYPERLINK("https://m566.info/ko3xfzo","Cross Bred")</f>
        <v>Cross Bred</v>
      </c>
    </row>
    <row r="2772">
      <c r="A2772" s="1" t="str">
        <f t="shared" si="555"/>
        <v>Dog Obedience Training</v>
      </c>
      <c r="B2772" s="1" t="str">
        <f t="shared" si="554"/>
        <v>https://m566.info/ko3xfzo</v>
      </c>
      <c r="C2772" s="1" t="str">
        <f>HYPERLINK("https://m566.info/ko3xfzo","Rotweiller")</f>
        <v>Rotweiller</v>
      </c>
    </row>
    <row r="2773">
      <c r="A2773" s="1" t="str">
        <f t="shared" ref="A2773:A2778" si="556">HYPERLINK("https://m566.info/ko3xfzo","Dog House Training")</f>
        <v>Dog House Training</v>
      </c>
      <c r="B2773" s="1" t="str">
        <f t="shared" si="554"/>
        <v>https://m566.info/ko3xfzo</v>
      </c>
      <c r="C2773" s="1" t="str">
        <f>HYPERLINK("https://m566.info/ko3xfzo","Doberman")</f>
        <v>Doberman</v>
      </c>
    </row>
    <row r="2774">
      <c r="A2774" s="1" t="str">
        <f t="shared" si="556"/>
        <v>Dog House Training</v>
      </c>
      <c r="B2774" s="1" t="str">
        <f t="shared" si="554"/>
        <v>https://m566.info/ko3xfzo</v>
      </c>
      <c r="C2774" s="1" t="str">
        <f>HYPERLINK("https://m566.info/ko3xfzo","German Shepherd")</f>
        <v>German Shepherd</v>
      </c>
    </row>
    <row r="2775">
      <c r="A2775" s="1" t="str">
        <f t="shared" si="556"/>
        <v>Dog House Training</v>
      </c>
      <c r="B2775" s="1" t="str">
        <f t="shared" si="554"/>
        <v>https://m566.info/ko3xfzo</v>
      </c>
      <c r="C2775" s="1" t="str">
        <f>HYPERLINK("https://m566.info/ko3xfzo","Border Clollie")</f>
        <v>Border Clollie</v>
      </c>
    </row>
    <row r="2776">
      <c r="A2776" s="1" t="str">
        <f t="shared" si="556"/>
        <v>Dog House Training</v>
      </c>
      <c r="B2776" s="1" t="str">
        <f t="shared" si="554"/>
        <v>https://m566.info/ko3xfzo</v>
      </c>
      <c r="C2776" s="1" t="str">
        <f>HYPERLINK("https://m566.info/ko3xfzo","Rotwieller")</f>
        <v>Rotwieller</v>
      </c>
    </row>
    <row r="2777">
      <c r="A2777" s="1" t="str">
        <f t="shared" si="556"/>
        <v>Dog House Training</v>
      </c>
      <c r="B2777" s="1" t="str">
        <f t="shared" si="554"/>
        <v>https://m566.info/ko3xfzo</v>
      </c>
      <c r="C2777" s="1" t="str">
        <f>HYPERLINK("https://m566.info/ko3xfzo","Cross Bred")</f>
        <v>Cross Bred</v>
      </c>
    </row>
    <row r="2778">
      <c r="A2778" s="1" t="str">
        <f t="shared" si="556"/>
        <v>Dog House Training</v>
      </c>
      <c r="B2778" s="1" t="str">
        <f t="shared" si="554"/>
        <v>https://m566.info/ko3xfzo</v>
      </c>
      <c r="C2778" s="1" t="str">
        <f>HYPERLINK("https://m566.info/ko3xfzo","Rotweiller")</f>
        <v>Rotweiller</v>
      </c>
    </row>
    <row r="2779">
      <c r="A2779" s="1" t="str">
        <f t="shared" ref="A2779:A2784" si="557">HYPERLINK("https://m566.info/ko3xfzo","Dog Behaviour Training")</f>
        <v>Dog Behaviour Training</v>
      </c>
      <c r="B2779" s="1" t="str">
        <f t="shared" si="554"/>
        <v>https://m566.info/ko3xfzo</v>
      </c>
      <c r="C2779" s="1" t="str">
        <f>HYPERLINK("https://m566.info/ko3xfzo","Doberman")</f>
        <v>Doberman</v>
      </c>
    </row>
    <row r="2780">
      <c r="A2780" s="1" t="str">
        <f t="shared" si="557"/>
        <v>Dog Behaviour Training</v>
      </c>
      <c r="B2780" s="1" t="str">
        <f t="shared" si="554"/>
        <v>https://m566.info/ko3xfzo</v>
      </c>
      <c r="C2780" s="1" t="str">
        <f>HYPERLINK("https://m566.info/ko3xfzo","German Shepherd")</f>
        <v>German Shepherd</v>
      </c>
    </row>
    <row r="2781">
      <c r="A2781" s="1" t="str">
        <f t="shared" si="557"/>
        <v>Dog Behaviour Training</v>
      </c>
      <c r="B2781" s="1" t="str">
        <f t="shared" si="554"/>
        <v>https://m566.info/ko3xfzo</v>
      </c>
      <c r="C2781" s="1" t="str">
        <f>HYPERLINK("https://m566.info/ko3xfzo","Border Clollie")</f>
        <v>Border Clollie</v>
      </c>
    </row>
    <row r="2782">
      <c r="A2782" s="1" t="str">
        <f t="shared" si="557"/>
        <v>Dog Behaviour Training</v>
      </c>
      <c r="B2782" s="1" t="str">
        <f t="shared" si="554"/>
        <v>https://m566.info/ko3xfzo</v>
      </c>
      <c r="C2782" s="1" t="str">
        <f>HYPERLINK("https://m566.info/ko3xfzo","Rotwieller")</f>
        <v>Rotwieller</v>
      </c>
    </row>
    <row r="2783">
      <c r="A2783" s="1" t="str">
        <f t="shared" si="557"/>
        <v>Dog Behaviour Training</v>
      </c>
      <c r="B2783" s="1" t="str">
        <f t="shared" si="554"/>
        <v>https://m566.info/ko3xfzo</v>
      </c>
      <c r="C2783" s="1" t="str">
        <f>HYPERLINK("https://m566.info/ko3xfzo","Cross Bred")</f>
        <v>Cross Bred</v>
      </c>
    </row>
    <row r="2784">
      <c r="A2784" s="1" t="str">
        <f t="shared" si="557"/>
        <v>Dog Behaviour Training</v>
      </c>
      <c r="B2784" s="1" t="str">
        <f t="shared" si="554"/>
        <v>https://m566.info/ko3xfzo</v>
      </c>
      <c r="C2784" s="1" t="str">
        <f>HYPERLINK("https://m566.info/ko3xfzo","Rotweiller")</f>
        <v>Rotweiller</v>
      </c>
    </row>
    <row r="2785">
      <c r="A2785" s="1" t="str">
        <f t="shared" ref="A2785:A2790" si="558">HYPERLINK("https://m566.info/ko3xfzo","Dog : Elite Training")</f>
        <v>Dog : Elite Training</v>
      </c>
      <c r="B2785" s="1" t="str">
        <f t="shared" si="554"/>
        <v>https://m566.info/ko3xfzo</v>
      </c>
      <c r="C2785" s="1" t="str">
        <f>HYPERLINK("https://m566.info/ko3xfzo","Doberman")</f>
        <v>Doberman</v>
      </c>
    </row>
    <row r="2786">
      <c r="A2786" s="1" t="str">
        <f t="shared" si="558"/>
        <v>Dog : Elite Training</v>
      </c>
      <c r="B2786" s="1" t="str">
        <f t="shared" si="554"/>
        <v>https://m566.info/ko3xfzo</v>
      </c>
      <c r="C2786" s="1" t="str">
        <f>HYPERLINK("https://m566.info/ko3xfzo","German Shepherd")</f>
        <v>German Shepherd</v>
      </c>
    </row>
    <row r="2787">
      <c r="A2787" s="1" t="str">
        <f t="shared" si="558"/>
        <v>Dog : Elite Training</v>
      </c>
      <c r="B2787" s="1" t="str">
        <f t="shared" si="554"/>
        <v>https://m566.info/ko3xfzo</v>
      </c>
      <c r="C2787" s="1" t="str">
        <f>HYPERLINK("https://m566.info/ko3xfzo","Border Clollie")</f>
        <v>Border Clollie</v>
      </c>
    </row>
    <row r="2788">
      <c r="A2788" s="1" t="str">
        <f t="shared" si="558"/>
        <v>Dog : Elite Training</v>
      </c>
      <c r="B2788" s="1" t="str">
        <f t="shared" si="554"/>
        <v>https://m566.info/ko3xfzo</v>
      </c>
      <c r="C2788" s="1" t="str">
        <f>HYPERLINK("https://m566.info/ko3xfzo","Rotwieller")</f>
        <v>Rotwieller</v>
      </c>
    </row>
    <row r="2789">
      <c r="A2789" s="1" t="str">
        <f t="shared" si="558"/>
        <v>Dog : Elite Training</v>
      </c>
      <c r="B2789" s="1" t="str">
        <f t="shared" si="554"/>
        <v>https://m566.info/ko3xfzo</v>
      </c>
      <c r="C2789" s="1" t="str">
        <f>HYPERLINK("https://m566.info/ko3xfzo","Cross Bred")</f>
        <v>Cross Bred</v>
      </c>
    </row>
    <row r="2790">
      <c r="A2790" s="1" t="str">
        <f t="shared" si="558"/>
        <v>Dog : Elite Training</v>
      </c>
      <c r="B2790" s="1" t="str">
        <f t="shared" si="554"/>
        <v>https://m566.info/ko3xfzo</v>
      </c>
      <c r="C2790" s="1" t="str">
        <f>HYPERLINK("https://m566.info/ko3xfzo","Rotweiller")</f>
        <v>Rotweiller</v>
      </c>
    </row>
    <row r="2791">
      <c r="A2791" s="1" t="str">
        <f t="shared" ref="A2791:A2796" si="559">HYPERLINK("https://m566.info/qawo95o","Dog Aggression Training")</f>
        <v>Dog Aggression Training</v>
      </c>
      <c r="B2791" s="1" t="str">
        <f t="shared" ref="B2791:B2820" si="560">HYPERLINK("https://m566.info/qawo95o","https://m566.info/qawo95o")</f>
        <v>https://m566.info/qawo95o</v>
      </c>
      <c r="C2791" s="1" t="str">
        <f>HYPERLINK("https://m566.info/qawo95o","Doberman")</f>
        <v>Doberman</v>
      </c>
    </row>
    <row r="2792">
      <c r="A2792" s="1" t="str">
        <f t="shared" si="559"/>
        <v>Dog Aggression Training</v>
      </c>
      <c r="B2792" s="1" t="str">
        <f t="shared" si="560"/>
        <v>https://m566.info/qawo95o</v>
      </c>
      <c r="C2792" s="1" t="str">
        <f>HYPERLINK("https://m566.info/qawo95o","German Shepherd")</f>
        <v>German Shepherd</v>
      </c>
    </row>
    <row r="2793">
      <c r="A2793" s="1" t="str">
        <f t="shared" si="559"/>
        <v>Dog Aggression Training</v>
      </c>
      <c r="B2793" s="1" t="str">
        <f t="shared" si="560"/>
        <v>https://m566.info/qawo95o</v>
      </c>
      <c r="C2793" s="1" t="str">
        <f>HYPERLINK("https://m566.info/qawo95o","Border Clollie")</f>
        <v>Border Clollie</v>
      </c>
    </row>
    <row r="2794">
      <c r="A2794" s="1" t="str">
        <f t="shared" si="559"/>
        <v>Dog Aggression Training</v>
      </c>
      <c r="B2794" s="1" t="str">
        <f t="shared" si="560"/>
        <v>https://m566.info/qawo95o</v>
      </c>
      <c r="C2794" s="1" t="str">
        <f>HYPERLINK("https://m566.info/qawo95o","Rotwieller")</f>
        <v>Rotwieller</v>
      </c>
    </row>
    <row r="2795">
      <c r="A2795" s="1" t="str">
        <f t="shared" si="559"/>
        <v>Dog Aggression Training</v>
      </c>
      <c r="B2795" s="1" t="str">
        <f t="shared" si="560"/>
        <v>https://m566.info/qawo95o</v>
      </c>
      <c r="C2795" s="1" t="str">
        <f>HYPERLINK("https://m566.info/qawo95o","Cross Bred")</f>
        <v>Cross Bred</v>
      </c>
    </row>
    <row r="2796">
      <c r="A2796" s="1" t="str">
        <f t="shared" si="559"/>
        <v>Dog Aggression Training</v>
      </c>
      <c r="B2796" s="1" t="str">
        <f t="shared" si="560"/>
        <v>https://m566.info/qawo95o</v>
      </c>
      <c r="C2796" s="1" t="str">
        <f>HYPERLINK("https://m566.info/qawo95o","Rotweiller")</f>
        <v>Rotweiller</v>
      </c>
    </row>
    <row r="2797">
      <c r="A2797" s="1" t="str">
        <f t="shared" ref="A2797:A2802" si="561">HYPERLINK("https://m566.info/qawo95o","Dog Obedience Training")</f>
        <v>Dog Obedience Training</v>
      </c>
      <c r="B2797" s="1" t="str">
        <f t="shared" si="560"/>
        <v>https://m566.info/qawo95o</v>
      </c>
      <c r="C2797" s="1" t="str">
        <f>HYPERLINK("https://m566.info/qawo95o","Doberman")</f>
        <v>Doberman</v>
      </c>
    </row>
    <row r="2798">
      <c r="A2798" s="1" t="str">
        <f t="shared" si="561"/>
        <v>Dog Obedience Training</v>
      </c>
      <c r="B2798" s="1" t="str">
        <f t="shared" si="560"/>
        <v>https://m566.info/qawo95o</v>
      </c>
      <c r="C2798" s="1" t="str">
        <f>HYPERLINK("https://m566.info/qawo95o","German Shepherd")</f>
        <v>German Shepherd</v>
      </c>
    </row>
    <row r="2799">
      <c r="A2799" s="1" t="str">
        <f t="shared" si="561"/>
        <v>Dog Obedience Training</v>
      </c>
      <c r="B2799" s="1" t="str">
        <f t="shared" si="560"/>
        <v>https://m566.info/qawo95o</v>
      </c>
      <c r="C2799" s="1" t="str">
        <f>HYPERLINK("https://m566.info/qawo95o","Border Clollie")</f>
        <v>Border Clollie</v>
      </c>
    </row>
    <row r="2800">
      <c r="A2800" s="1" t="str">
        <f t="shared" si="561"/>
        <v>Dog Obedience Training</v>
      </c>
      <c r="B2800" s="1" t="str">
        <f t="shared" si="560"/>
        <v>https://m566.info/qawo95o</v>
      </c>
      <c r="C2800" s="1" t="str">
        <f>HYPERLINK("https://m566.info/qawo95o","Rotwieller")</f>
        <v>Rotwieller</v>
      </c>
    </row>
    <row r="2801">
      <c r="A2801" s="1" t="str">
        <f t="shared" si="561"/>
        <v>Dog Obedience Training</v>
      </c>
      <c r="B2801" s="1" t="str">
        <f t="shared" si="560"/>
        <v>https://m566.info/qawo95o</v>
      </c>
      <c r="C2801" s="1" t="str">
        <f>HYPERLINK("https://m566.info/qawo95o","Cross Bred")</f>
        <v>Cross Bred</v>
      </c>
    </row>
    <row r="2802">
      <c r="A2802" s="1" t="str">
        <f t="shared" si="561"/>
        <v>Dog Obedience Training</v>
      </c>
      <c r="B2802" s="1" t="str">
        <f t="shared" si="560"/>
        <v>https://m566.info/qawo95o</v>
      </c>
      <c r="C2802" s="1" t="str">
        <f>HYPERLINK("https://m566.info/qawo95o","Rotweiller")</f>
        <v>Rotweiller</v>
      </c>
    </row>
    <row r="2803">
      <c r="A2803" s="1" t="str">
        <f t="shared" ref="A2803:A2808" si="562">HYPERLINK("https://m566.info/qawo95o","Dog House Training")</f>
        <v>Dog House Training</v>
      </c>
      <c r="B2803" s="1" t="str">
        <f t="shared" si="560"/>
        <v>https://m566.info/qawo95o</v>
      </c>
      <c r="C2803" s="1" t="str">
        <f>HYPERLINK("https://m566.info/qawo95o","Doberman")</f>
        <v>Doberman</v>
      </c>
    </row>
    <row r="2804">
      <c r="A2804" s="1" t="str">
        <f t="shared" si="562"/>
        <v>Dog House Training</v>
      </c>
      <c r="B2804" s="1" t="str">
        <f t="shared" si="560"/>
        <v>https://m566.info/qawo95o</v>
      </c>
      <c r="C2804" s="1" t="str">
        <f>HYPERLINK("https://m566.info/qawo95o","German Shepherd")</f>
        <v>German Shepherd</v>
      </c>
    </row>
    <row r="2805">
      <c r="A2805" s="1" t="str">
        <f t="shared" si="562"/>
        <v>Dog House Training</v>
      </c>
      <c r="B2805" s="1" t="str">
        <f t="shared" si="560"/>
        <v>https://m566.info/qawo95o</v>
      </c>
      <c r="C2805" s="1" t="str">
        <f>HYPERLINK("https://m566.info/qawo95o","Border Clollie")</f>
        <v>Border Clollie</v>
      </c>
    </row>
    <row r="2806">
      <c r="A2806" s="1" t="str">
        <f t="shared" si="562"/>
        <v>Dog House Training</v>
      </c>
      <c r="B2806" s="1" t="str">
        <f t="shared" si="560"/>
        <v>https://m566.info/qawo95o</v>
      </c>
      <c r="C2806" s="1" t="str">
        <f>HYPERLINK("https://m566.info/qawo95o","Rotwieller")</f>
        <v>Rotwieller</v>
      </c>
    </row>
    <row r="2807">
      <c r="A2807" s="1" t="str">
        <f t="shared" si="562"/>
        <v>Dog House Training</v>
      </c>
      <c r="B2807" s="1" t="str">
        <f t="shared" si="560"/>
        <v>https://m566.info/qawo95o</v>
      </c>
      <c r="C2807" s="1" t="str">
        <f>HYPERLINK("https://m566.info/qawo95o","Cross Bred")</f>
        <v>Cross Bred</v>
      </c>
    </row>
    <row r="2808">
      <c r="A2808" s="1" t="str">
        <f t="shared" si="562"/>
        <v>Dog House Training</v>
      </c>
      <c r="B2808" s="1" t="str">
        <f t="shared" si="560"/>
        <v>https://m566.info/qawo95o</v>
      </c>
      <c r="C2808" s="1" t="str">
        <f>HYPERLINK("https://m566.info/qawo95o","Rotweiller")</f>
        <v>Rotweiller</v>
      </c>
    </row>
    <row r="2809">
      <c r="A2809" s="1" t="str">
        <f t="shared" ref="A2809:A2814" si="563">HYPERLINK("https://m566.info/qawo95o","Dog Behaviour Training")</f>
        <v>Dog Behaviour Training</v>
      </c>
      <c r="B2809" s="1" t="str">
        <f t="shared" si="560"/>
        <v>https://m566.info/qawo95o</v>
      </c>
      <c r="C2809" s="1" t="str">
        <f>HYPERLINK("https://m566.info/qawo95o","Doberman")</f>
        <v>Doberman</v>
      </c>
    </row>
    <row r="2810">
      <c r="A2810" s="1" t="str">
        <f t="shared" si="563"/>
        <v>Dog Behaviour Training</v>
      </c>
      <c r="B2810" s="1" t="str">
        <f t="shared" si="560"/>
        <v>https://m566.info/qawo95o</v>
      </c>
      <c r="C2810" s="1" t="str">
        <f>HYPERLINK("https://m566.info/qawo95o","German Shepherd")</f>
        <v>German Shepherd</v>
      </c>
    </row>
    <row r="2811">
      <c r="A2811" s="1" t="str">
        <f t="shared" si="563"/>
        <v>Dog Behaviour Training</v>
      </c>
      <c r="B2811" s="1" t="str">
        <f t="shared" si="560"/>
        <v>https://m566.info/qawo95o</v>
      </c>
      <c r="C2811" s="1" t="str">
        <f>HYPERLINK("https://m566.info/qawo95o","Border Clollie")</f>
        <v>Border Clollie</v>
      </c>
    </row>
    <row r="2812">
      <c r="A2812" s="1" t="str">
        <f t="shared" si="563"/>
        <v>Dog Behaviour Training</v>
      </c>
      <c r="B2812" s="1" t="str">
        <f t="shared" si="560"/>
        <v>https://m566.info/qawo95o</v>
      </c>
      <c r="C2812" s="1" t="str">
        <f>HYPERLINK("https://m566.info/qawo95o","Rotwieller")</f>
        <v>Rotwieller</v>
      </c>
    </row>
    <row r="2813">
      <c r="A2813" s="1" t="str">
        <f t="shared" si="563"/>
        <v>Dog Behaviour Training</v>
      </c>
      <c r="B2813" s="1" t="str">
        <f t="shared" si="560"/>
        <v>https://m566.info/qawo95o</v>
      </c>
      <c r="C2813" s="1" t="str">
        <f>HYPERLINK("https://m566.info/qawo95o","Cross Bred")</f>
        <v>Cross Bred</v>
      </c>
    </row>
    <row r="2814">
      <c r="A2814" s="1" t="str">
        <f t="shared" si="563"/>
        <v>Dog Behaviour Training</v>
      </c>
      <c r="B2814" s="1" t="str">
        <f t="shared" si="560"/>
        <v>https://m566.info/qawo95o</v>
      </c>
      <c r="C2814" s="1" t="str">
        <f>HYPERLINK("https://m566.info/qawo95o","Rotweiller")</f>
        <v>Rotweiller</v>
      </c>
    </row>
    <row r="2815">
      <c r="A2815" s="1" t="str">
        <f t="shared" ref="A2815:A2820" si="564">HYPERLINK("https://m566.info/qawo95o","Dog : Elite Training")</f>
        <v>Dog : Elite Training</v>
      </c>
      <c r="B2815" s="1" t="str">
        <f t="shared" si="560"/>
        <v>https://m566.info/qawo95o</v>
      </c>
      <c r="C2815" s="1" t="str">
        <f>HYPERLINK("https://m566.info/qawo95o","Doberman")</f>
        <v>Doberman</v>
      </c>
    </row>
    <row r="2816">
      <c r="A2816" s="1" t="str">
        <f t="shared" si="564"/>
        <v>Dog : Elite Training</v>
      </c>
      <c r="B2816" s="1" t="str">
        <f t="shared" si="560"/>
        <v>https://m566.info/qawo95o</v>
      </c>
      <c r="C2816" s="1" t="str">
        <f>HYPERLINK("https://m566.info/qawo95o","German Shepherd")</f>
        <v>German Shepherd</v>
      </c>
    </row>
    <row r="2817">
      <c r="A2817" s="1" t="str">
        <f t="shared" si="564"/>
        <v>Dog : Elite Training</v>
      </c>
      <c r="B2817" s="1" t="str">
        <f t="shared" si="560"/>
        <v>https://m566.info/qawo95o</v>
      </c>
      <c r="C2817" s="1" t="str">
        <f>HYPERLINK("https://m566.info/qawo95o","Border Clollie")</f>
        <v>Border Clollie</v>
      </c>
    </row>
    <row r="2818">
      <c r="A2818" s="1" t="str">
        <f t="shared" si="564"/>
        <v>Dog : Elite Training</v>
      </c>
      <c r="B2818" s="1" t="str">
        <f t="shared" si="560"/>
        <v>https://m566.info/qawo95o</v>
      </c>
      <c r="C2818" s="1" t="str">
        <f>HYPERLINK("https://m566.info/qawo95o","Rotwieller")</f>
        <v>Rotwieller</v>
      </c>
    </row>
    <row r="2819">
      <c r="A2819" s="1" t="str">
        <f t="shared" si="564"/>
        <v>Dog : Elite Training</v>
      </c>
      <c r="B2819" s="1" t="str">
        <f t="shared" si="560"/>
        <v>https://m566.info/qawo95o</v>
      </c>
      <c r="C2819" s="1" t="str">
        <f>HYPERLINK("https://m566.info/qawo95o","Cross Bred")</f>
        <v>Cross Bred</v>
      </c>
    </row>
    <row r="2820">
      <c r="A2820" s="1" t="str">
        <f t="shared" si="564"/>
        <v>Dog : Elite Training</v>
      </c>
      <c r="B2820" s="1" t="str">
        <f t="shared" si="560"/>
        <v>https://m566.info/qawo95o</v>
      </c>
      <c r="C2820" s="1" t="str">
        <f>HYPERLINK("https://m566.info/qawo95o","Rotweiller")</f>
        <v>Rotweiller</v>
      </c>
    </row>
    <row r="2821">
      <c r="A2821" s="1" t="str">
        <f t="shared" ref="A2821:A2826" si="565">HYPERLINK("https://m566.info/oxx7jdv","Dog Aggression Training")</f>
        <v>Dog Aggression Training</v>
      </c>
      <c r="B2821" s="1" t="str">
        <f t="shared" ref="B2821:B2850" si="566">HYPERLINK("https://m566.info/oxx7jdv","https://m566.info/oxx7jdv")</f>
        <v>https://m566.info/oxx7jdv</v>
      </c>
      <c r="C2821" s="1" t="str">
        <f>HYPERLINK("https://m566.info/oxx7jdv","Doberman")</f>
        <v>Doberman</v>
      </c>
    </row>
    <row r="2822">
      <c r="A2822" s="1" t="str">
        <f t="shared" si="565"/>
        <v>Dog Aggression Training</v>
      </c>
      <c r="B2822" s="1" t="str">
        <f t="shared" si="566"/>
        <v>https://m566.info/oxx7jdv</v>
      </c>
      <c r="C2822" s="1" t="str">
        <f>HYPERLINK("https://m566.info/oxx7jdv","German Shepherd")</f>
        <v>German Shepherd</v>
      </c>
    </row>
    <row r="2823">
      <c r="A2823" s="1" t="str">
        <f t="shared" si="565"/>
        <v>Dog Aggression Training</v>
      </c>
      <c r="B2823" s="1" t="str">
        <f t="shared" si="566"/>
        <v>https://m566.info/oxx7jdv</v>
      </c>
      <c r="C2823" s="1" t="str">
        <f>HYPERLINK("https://m566.info/oxx7jdv","Border Clollie")</f>
        <v>Border Clollie</v>
      </c>
    </row>
    <row r="2824">
      <c r="A2824" s="1" t="str">
        <f t="shared" si="565"/>
        <v>Dog Aggression Training</v>
      </c>
      <c r="B2824" s="1" t="str">
        <f t="shared" si="566"/>
        <v>https://m566.info/oxx7jdv</v>
      </c>
      <c r="C2824" s="1" t="str">
        <f>HYPERLINK("https://m566.info/oxx7jdv","Rotwieller")</f>
        <v>Rotwieller</v>
      </c>
    </row>
    <row r="2825">
      <c r="A2825" s="1" t="str">
        <f t="shared" si="565"/>
        <v>Dog Aggression Training</v>
      </c>
      <c r="B2825" s="1" t="str">
        <f t="shared" si="566"/>
        <v>https://m566.info/oxx7jdv</v>
      </c>
      <c r="C2825" s="1" t="str">
        <f>HYPERLINK("https://m566.info/oxx7jdv","Cross Bred")</f>
        <v>Cross Bred</v>
      </c>
    </row>
    <row r="2826">
      <c r="A2826" s="1" t="str">
        <f t="shared" si="565"/>
        <v>Dog Aggression Training</v>
      </c>
      <c r="B2826" s="1" t="str">
        <f t="shared" si="566"/>
        <v>https://m566.info/oxx7jdv</v>
      </c>
      <c r="C2826" s="1" t="str">
        <f>HYPERLINK("https://m566.info/oxx7jdv","Rotweiller")</f>
        <v>Rotweiller</v>
      </c>
    </row>
    <row r="2827">
      <c r="A2827" s="1" t="str">
        <f t="shared" ref="A2827:A2832" si="567">HYPERLINK("https://m566.info/oxx7jdv","Dog Obedience Training")</f>
        <v>Dog Obedience Training</v>
      </c>
      <c r="B2827" s="1" t="str">
        <f t="shared" si="566"/>
        <v>https://m566.info/oxx7jdv</v>
      </c>
      <c r="C2827" s="1" t="str">
        <f>HYPERLINK("https://m566.info/oxx7jdv","Doberman")</f>
        <v>Doberman</v>
      </c>
    </row>
    <row r="2828">
      <c r="A2828" s="1" t="str">
        <f t="shared" si="567"/>
        <v>Dog Obedience Training</v>
      </c>
      <c r="B2828" s="1" t="str">
        <f t="shared" si="566"/>
        <v>https://m566.info/oxx7jdv</v>
      </c>
      <c r="C2828" s="1" t="str">
        <f>HYPERLINK("https://m566.info/oxx7jdv","German Shepherd")</f>
        <v>German Shepherd</v>
      </c>
    </row>
    <row r="2829">
      <c r="A2829" s="1" t="str">
        <f t="shared" si="567"/>
        <v>Dog Obedience Training</v>
      </c>
      <c r="B2829" s="1" t="str">
        <f t="shared" si="566"/>
        <v>https://m566.info/oxx7jdv</v>
      </c>
      <c r="C2829" s="1" t="str">
        <f>HYPERLINK("https://m566.info/oxx7jdv","Border Clollie")</f>
        <v>Border Clollie</v>
      </c>
    </row>
    <row r="2830">
      <c r="A2830" s="1" t="str">
        <f t="shared" si="567"/>
        <v>Dog Obedience Training</v>
      </c>
      <c r="B2830" s="1" t="str">
        <f t="shared" si="566"/>
        <v>https://m566.info/oxx7jdv</v>
      </c>
      <c r="C2830" s="1" t="str">
        <f>HYPERLINK("https://m566.info/oxx7jdv","Rotwieller")</f>
        <v>Rotwieller</v>
      </c>
    </row>
    <row r="2831">
      <c r="A2831" s="1" t="str">
        <f t="shared" si="567"/>
        <v>Dog Obedience Training</v>
      </c>
      <c r="B2831" s="1" t="str">
        <f t="shared" si="566"/>
        <v>https://m566.info/oxx7jdv</v>
      </c>
      <c r="C2831" s="1" t="str">
        <f>HYPERLINK("https://m566.info/oxx7jdv","Cross Bred")</f>
        <v>Cross Bred</v>
      </c>
    </row>
    <row r="2832">
      <c r="A2832" s="1" t="str">
        <f t="shared" si="567"/>
        <v>Dog Obedience Training</v>
      </c>
      <c r="B2832" s="1" t="str">
        <f t="shared" si="566"/>
        <v>https://m566.info/oxx7jdv</v>
      </c>
      <c r="C2832" s="1" t="str">
        <f>HYPERLINK("https://m566.info/oxx7jdv","Rotweiller")</f>
        <v>Rotweiller</v>
      </c>
    </row>
    <row r="2833">
      <c r="A2833" s="1" t="str">
        <f t="shared" ref="A2833:A2838" si="568">HYPERLINK("https://m566.info/oxx7jdv","Dog House Training")</f>
        <v>Dog House Training</v>
      </c>
      <c r="B2833" s="1" t="str">
        <f t="shared" si="566"/>
        <v>https://m566.info/oxx7jdv</v>
      </c>
      <c r="C2833" s="1" t="str">
        <f>HYPERLINK("https://m566.info/oxx7jdv","Doberman")</f>
        <v>Doberman</v>
      </c>
    </row>
    <row r="2834">
      <c r="A2834" s="1" t="str">
        <f t="shared" si="568"/>
        <v>Dog House Training</v>
      </c>
      <c r="B2834" s="1" t="str">
        <f t="shared" si="566"/>
        <v>https://m566.info/oxx7jdv</v>
      </c>
      <c r="C2834" s="1" t="str">
        <f>HYPERLINK("https://m566.info/oxx7jdv","German Shepherd")</f>
        <v>German Shepherd</v>
      </c>
    </row>
    <row r="2835">
      <c r="A2835" s="1" t="str">
        <f t="shared" si="568"/>
        <v>Dog House Training</v>
      </c>
      <c r="B2835" s="1" t="str">
        <f t="shared" si="566"/>
        <v>https://m566.info/oxx7jdv</v>
      </c>
      <c r="C2835" s="1" t="str">
        <f>HYPERLINK("https://m566.info/oxx7jdv","Border Clollie")</f>
        <v>Border Clollie</v>
      </c>
    </row>
    <row r="2836">
      <c r="A2836" s="1" t="str">
        <f t="shared" si="568"/>
        <v>Dog House Training</v>
      </c>
      <c r="B2836" s="1" t="str">
        <f t="shared" si="566"/>
        <v>https://m566.info/oxx7jdv</v>
      </c>
      <c r="C2836" s="1" t="str">
        <f>HYPERLINK("https://m566.info/oxx7jdv","Rotwieller")</f>
        <v>Rotwieller</v>
      </c>
    </row>
    <row r="2837">
      <c r="A2837" s="1" t="str">
        <f t="shared" si="568"/>
        <v>Dog House Training</v>
      </c>
      <c r="B2837" s="1" t="str">
        <f t="shared" si="566"/>
        <v>https://m566.info/oxx7jdv</v>
      </c>
      <c r="C2837" s="1" t="str">
        <f>HYPERLINK("https://m566.info/oxx7jdv","Cross Bred")</f>
        <v>Cross Bred</v>
      </c>
    </row>
    <row r="2838">
      <c r="A2838" s="1" t="str">
        <f t="shared" si="568"/>
        <v>Dog House Training</v>
      </c>
      <c r="B2838" s="1" t="str">
        <f t="shared" si="566"/>
        <v>https://m566.info/oxx7jdv</v>
      </c>
      <c r="C2838" s="1" t="str">
        <f>HYPERLINK("https://m566.info/oxx7jdv","Rotweiller")</f>
        <v>Rotweiller</v>
      </c>
    </row>
    <row r="2839">
      <c r="A2839" s="1" t="str">
        <f t="shared" ref="A2839:A2844" si="569">HYPERLINK("https://m566.info/oxx7jdv","Dog Behaviour Training")</f>
        <v>Dog Behaviour Training</v>
      </c>
      <c r="B2839" s="1" t="str">
        <f t="shared" si="566"/>
        <v>https://m566.info/oxx7jdv</v>
      </c>
      <c r="C2839" s="1" t="str">
        <f>HYPERLINK("https://m566.info/oxx7jdv","Doberman")</f>
        <v>Doberman</v>
      </c>
    </row>
    <row r="2840">
      <c r="A2840" s="1" t="str">
        <f t="shared" si="569"/>
        <v>Dog Behaviour Training</v>
      </c>
      <c r="B2840" s="1" t="str">
        <f t="shared" si="566"/>
        <v>https://m566.info/oxx7jdv</v>
      </c>
      <c r="C2840" s="1" t="str">
        <f>HYPERLINK("https://m566.info/oxx7jdv","German Shepherd")</f>
        <v>German Shepherd</v>
      </c>
    </row>
    <row r="2841">
      <c r="A2841" s="1" t="str">
        <f t="shared" si="569"/>
        <v>Dog Behaviour Training</v>
      </c>
      <c r="B2841" s="1" t="str">
        <f t="shared" si="566"/>
        <v>https://m566.info/oxx7jdv</v>
      </c>
      <c r="C2841" s="1" t="str">
        <f>HYPERLINK("https://m566.info/oxx7jdv","Border Clollie")</f>
        <v>Border Clollie</v>
      </c>
    </row>
    <row r="2842">
      <c r="A2842" s="1" t="str">
        <f t="shared" si="569"/>
        <v>Dog Behaviour Training</v>
      </c>
      <c r="B2842" s="1" t="str">
        <f t="shared" si="566"/>
        <v>https://m566.info/oxx7jdv</v>
      </c>
      <c r="C2842" s="1" t="str">
        <f>HYPERLINK("https://m566.info/oxx7jdv","Rotwieller")</f>
        <v>Rotwieller</v>
      </c>
    </row>
    <row r="2843">
      <c r="A2843" s="1" t="str">
        <f t="shared" si="569"/>
        <v>Dog Behaviour Training</v>
      </c>
      <c r="B2843" s="1" t="str">
        <f t="shared" si="566"/>
        <v>https://m566.info/oxx7jdv</v>
      </c>
      <c r="C2843" s="1" t="str">
        <f>HYPERLINK("https://m566.info/oxx7jdv","Cross Bred")</f>
        <v>Cross Bred</v>
      </c>
    </row>
    <row r="2844">
      <c r="A2844" s="1" t="str">
        <f t="shared" si="569"/>
        <v>Dog Behaviour Training</v>
      </c>
      <c r="B2844" s="1" t="str">
        <f t="shared" si="566"/>
        <v>https://m566.info/oxx7jdv</v>
      </c>
      <c r="C2844" s="1" t="str">
        <f>HYPERLINK("https://m566.info/oxx7jdv","Rotweiller")</f>
        <v>Rotweiller</v>
      </c>
    </row>
    <row r="2845">
      <c r="A2845" s="1" t="str">
        <f t="shared" ref="A2845:A2850" si="570">HYPERLINK("https://m566.info/oxx7jdv","Dog : Elite Training")</f>
        <v>Dog : Elite Training</v>
      </c>
      <c r="B2845" s="1" t="str">
        <f t="shared" si="566"/>
        <v>https://m566.info/oxx7jdv</v>
      </c>
      <c r="C2845" s="1" t="str">
        <f>HYPERLINK("https://m566.info/oxx7jdv","Doberman")</f>
        <v>Doberman</v>
      </c>
    </row>
    <row r="2846">
      <c r="A2846" s="1" t="str">
        <f t="shared" si="570"/>
        <v>Dog : Elite Training</v>
      </c>
      <c r="B2846" s="1" t="str">
        <f t="shared" si="566"/>
        <v>https://m566.info/oxx7jdv</v>
      </c>
      <c r="C2846" s="1" t="str">
        <f>HYPERLINK("https://m566.info/oxx7jdv","German Shepherd")</f>
        <v>German Shepherd</v>
      </c>
    </row>
    <row r="2847">
      <c r="A2847" s="1" t="str">
        <f t="shared" si="570"/>
        <v>Dog : Elite Training</v>
      </c>
      <c r="B2847" s="1" t="str">
        <f t="shared" si="566"/>
        <v>https://m566.info/oxx7jdv</v>
      </c>
      <c r="C2847" s="1" t="str">
        <f>HYPERLINK("https://m566.info/oxx7jdv","Border Clollie")</f>
        <v>Border Clollie</v>
      </c>
    </row>
    <row r="2848">
      <c r="A2848" s="1" t="str">
        <f t="shared" si="570"/>
        <v>Dog : Elite Training</v>
      </c>
      <c r="B2848" s="1" t="str">
        <f t="shared" si="566"/>
        <v>https://m566.info/oxx7jdv</v>
      </c>
      <c r="C2848" s="1" t="str">
        <f>HYPERLINK("https://m566.info/oxx7jdv","Rotwieller")</f>
        <v>Rotwieller</v>
      </c>
    </row>
    <row r="2849">
      <c r="A2849" s="1" t="str">
        <f t="shared" si="570"/>
        <v>Dog : Elite Training</v>
      </c>
      <c r="B2849" s="1" t="str">
        <f t="shared" si="566"/>
        <v>https://m566.info/oxx7jdv</v>
      </c>
      <c r="C2849" s="1" t="str">
        <f>HYPERLINK("https://m566.info/oxx7jdv","Cross Bred")</f>
        <v>Cross Bred</v>
      </c>
    </row>
    <row r="2850">
      <c r="A2850" s="1" t="str">
        <f t="shared" si="570"/>
        <v>Dog : Elite Training</v>
      </c>
      <c r="B2850" s="1" t="str">
        <f t="shared" si="566"/>
        <v>https://m566.info/oxx7jdv</v>
      </c>
      <c r="C2850" s="1" t="str">
        <f>HYPERLINK("https://m566.info/oxx7jdv","Rotweiller")</f>
        <v>Rotweiller</v>
      </c>
    </row>
    <row r="2851">
      <c r="A2851" s="1" t="str">
        <f t="shared" ref="A2851:A2856" si="571">HYPERLINK("https://m566.info/gxom1lb","Dog Aggression Training")</f>
        <v>Dog Aggression Training</v>
      </c>
      <c r="B2851" s="1" t="str">
        <f t="shared" ref="B2851:B2880" si="572">HYPERLINK("https://m566.info/gxom1lb","https://m566.info/gxom1lb")</f>
        <v>https://m566.info/gxom1lb</v>
      </c>
      <c r="C2851" s="1" t="str">
        <f>HYPERLINK("https://m566.info/gxom1lb","Doberman")</f>
        <v>Doberman</v>
      </c>
    </row>
    <row r="2852">
      <c r="A2852" s="1" t="str">
        <f t="shared" si="571"/>
        <v>Dog Aggression Training</v>
      </c>
      <c r="B2852" s="1" t="str">
        <f t="shared" si="572"/>
        <v>https://m566.info/gxom1lb</v>
      </c>
      <c r="C2852" s="1" t="str">
        <f>HYPERLINK("https://m566.info/gxom1lb","German Shepherd")</f>
        <v>German Shepherd</v>
      </c>
    </row>
    <row r="2853">
      <c r="A2853" s="1" t="str">
        <f t="shared" si="571"/>
        <v>Dog Aggression Training</v>
      </c>
      <c r="B2853" s="1" t="str">
        <f t="shared" si="572"/>
        <v>https://m566.info/gxom1lb</v>
      </c>
      <c r="C2853" s="1" t="str">
        <f>HYPERLINK("https://m566.info/gxom1lb","Border Clollie")</f>
        <v>Border Clollie</v>
      </c>
    </row>
    <row r="2854">
      <c r="A2854" s="1" t="str">
        <f t="shared" si="571"/>
        <v>Dog Aggression Training</v>
      </c>
      <c r="B2854" s="1" t="str">
        <f t="shared" si="572"/>
        <v>https://m566.info/gxom1lb</v>
      </c>
      <c r="C2854" s="1" t="str">
        <f>HYPERLINK("https://m566.info/gxom1lb","Rotwieller")</f>
        <v>Rotwieller</v>
      </c>
    </row>
    <row r="2855">
      <c r="A2855" s="1" t="str">
        <f t="shared" si="571"/>
        <v>Dog Aggression Training</v>
      </c>
      <c r="B2855" s="1" t="str">
        <f t="shared" si="572"/>
        <v>https://m566.info/gxom1lb</v>
      </c>
      <c r="C2855" s="1" t="str">
        <f>HYPERLINK("https://m566.info/gxom1lb","Cross Bred")</f>
        <v>Cross Bred</v>
      </c>
    </row>
    <row r="2856">
      <c r="A2856" s="1" t="str">
        <f t="shared" si="571"/>
        <v>Dog Aggression Training</v>
      </c>
      <c r="B2856" s="1" t="str">
        <f t="shared" si="572"/>
        <v>https://m566.info/gxom1lb</v>
      </c>
      <c r="C2856" s="1" t="str">
        <f>HYPERLINK("https://m566.info/gxom1lb","Rotweiller")</f>
        <v>Rotweiller</v>
      </c>
    </row>
    <row r="2857">
      <c r="A2857" s="1" t="str">
        <f t="shared" ref="A2857:A2862" si="573">HYPERLINK("https://m566.info/gxom1lb","Dog Obedience Training")</f>
        <v>Dog Obedience Training</v>
      </c>
      <c r="B2857" s="1" t="str">
        <f t="shared" si="572"/>
        <v>https://m566.info/gxom1lb</v>
      </c>
      <c r="C2857" s="1" t="str">
        <f>HYPERLINK("https://m566.info/gxom1lb","Doberman")</f>
        <v>Doberman</v>
      </c>
    </row>
    <row r="2858">
      <c r="A2858" s="1" t="str">
        <f t="shared" si="573"/>
        <v>Dog Obedience Training</v>
      </c>
      <c r="B2858" s="1" t="str">
        <f t="shared" si="572"/>
        <v>https://m566.info/gxom1lb</v>
      </c>
      <c r="C2858" s="1" t="str">
        <f>HYPERLINK("https://m566.info/gxom1lb","German Shepherd")</f>
        <v>German Shepherd</v>
      </c>
    </row>
    <row r="2859">
      <c r="A2859" s="1" t="str">
        <f t="shared" si="573"/>
        <v>Dog Obedience Training</v>
      </c>
      <c r="B2859" s="1" t="str">
        <f t="shared" si="572"/>
        <v>https://m566.info/gxom1lb</v>
      </c>
      <c r="C2859" s="1" t="str">
        <f>HYPERLINK("https://m566.info/gxom1lb","Border Clollie")</f>
        <v>Border Clollie</v>
      </c>
    </row>
    <row r="2860">
      <c r="A2860" s="1" t="str">
        <f t="shared" si="573"/>
        <v>Dog Obedience Training</v>
      </c>
      <c r="B2860" s="1" t="str">
        <f t="shared" si="572"/>
        <v>https://m566.info/gxom1lb</v>
      </c>
      <c r="C2860" s="1" t="str">
        <f>HYPERLINK("https://m566.info/gxom1lb","Rotwieller")</f>
        <v>Rotwieller</v>
      </c>
    </row>
    <row r="2861">
      <c r="A2861" s="1" t="str">
        <f t="shared" si="573"/>
        <v>Dog Obedience Training</v>
      </c>
      <c r="B2861" s="1" t="str">
        <f t="shared" si="572"/>
        <v>https://m566.info/gxom1lb</v>
      </c>
      <c r="C2861" s="1" t="str">
        <f>HYPERLINK("https://m566.info/gxom1lb","Cross Bred")</f>
        <v>Cross Bred</v>
      </c>
    </row>
    <row r="2862">
      <c r="A2862" s="1" t="str">
        <f t="shared" si="573"/>
        <v>Dog Obedience Training</v>
      </c>
      <c r="B2862" s="1" t="str">
        <f t="shared" si="572"/>
        <v>https://m566.info/gxom1lb</v>
      </c>
      <c r="C2862" s="1" t="str">
        <f>HYPERLINK("https://m566.info/gxom1lb","Rotweiller")</f>
        <v>Rotweiller</v>
      </c>
    </row>
    <row r="2863">
      <c r="A2863" s="1" t="str">
        <f t="shared" ref="A2863:A2868" si="574">HYPERLINK("https://m566.info/gxom1lb","Dog House Training")</f>
        <v>Dog House Training</v>
      </c>
      <c r="B2863" s="1" t="str">
        <f t="shared" si="572"/>
        <v>https://m566.info/gxom1lb</v>
      </c>
      <c r="C2863" s="1" t="str">
        <f>HYPERLINK("https://m566.info/gxom1lb","Doberman")</f>
        <v>Doberman</v>
      </c>
    </row>
    <row r="2864">
      <c r="A2864" s="1" t="str">
        <f t="shared" si="574"/>
        <v>Dog House Training</v>
      </c>
      <c r="B2864" s="1" t="str">
        <f t="shared" si="572"/>
        <v>https://m566.info/gxom1lb</v>
      </c>
      <c r="C2864" s="1" t="str">
        <f>HYPERLINK("https://m566.info/gxom1lb","German Shepherd")</f>
        <v>German Shepherd</v>
      </c>
    </row>
    <row r="2865">
      <c r="A2865" s="1" t="str">
        <f t="shared" si="574"/>
        <v>Dog House Training</v>
      </c>
      <c r="B2865" s="1" t="str">
        <f t="shared" si="572"/>
        <v>https://m566.info/gxom1lb</v>
      </c>
      <c r="C2865" s="1" t="str">
        <f>HYPERLINK("https://m566.info/gxom1lb","Border Clollie")</f>
        <v>Border Clollie</v>
      </c>
    </row>
    <row r="2866">
      <c r="A2866" s="1" t="str">
        <f t="shared" si="574"/>
        <v>Dog House Training</v>
      </c>
      <c r="B2866" s="1" t="str">
        <f t="shared" si="572"/>
        <v>https://m566.info/gxom1lb</v>
      </c>
      <c r="C2866" s="1" t="str">
        <f>HYPERLINK("https://m566.info/gxom1lb","Rotwieller")</f>
        <v>Rotwieller</v>
      </c>
    </row>
    <row r="2867">
      <c r="A2867" s="1" t="str">
        <f t="shared" si="574"/>
        <v>Dog House Training</v>
      </c>
      <c r="B2867" s="1" t="str">
        <f t="shared" si="572"/>
        <v>https://m566.info/gxom1lb</v>
      </c>
      <c r="C2867" s="1" t="str">
        <f>HYPERLINK("https://m566.info/gxom1lb","Cross Bred")</f>
        <v>Cross Bred</v>
      </c>
    </row>
    <row r="2868">
      <c r="A2868" s="1" t="str">
        <f t="shared" si="574"/>
        <v>Dog House Training</v>
      </c>
      <c r="B2868" s="1" t="str">
        <f t="shared" si="572"/>
        <v>https://m566.info/gxom1lb</v>
      </c>
      <c r="C2868" s="1" t="str">
        <f>HYPERLINK("https://m566.info/gxom1lb","Rotweiller")</f>
        <v>Rotweiller</v>
      </c>
    </row>
    <row r="2869">
      <c r="A2869" s="1" t="str">
        <f t="shared" ref="A2869:A2874" si="575">HYPERLINK("https://m566.info/gxom1lb","Dog Behaviour Training")</f>
        <v>Dog Behaviour Training</v>
      </c>
      <c r="B2869" s="1" t="str">
        <f t="shared" si="572"/>
        <v>https://m566.info/gxom1lb</v>
      </c>
      <c r="C2869" s="1" t="str">
        <f>HYPERLINK("https://m566.info/gxom1lb","Doberman")</f>
        <v>Doberman</v>
      </c>
    </row>
    <row r="2870">
      <c r="A2870" s="1" t="str">
        <f t="shared" si="575"/>
        <v>Dog Behaviour Training</v>
      </c>
      <c r="B2870" s="1" t="str">
        <f t="shared" si="572"/>
        <v>https://m566.info/gxom1lb</v>
      </c>
      <c r="C2870" s="1" t="str">
        <f>HYPERLINK("https://m566.info/gxom1lb","German Shepherd")</f>
        <v>German Shepherd</v>
      </c>
    </row>
    <row r="2871">
      <c r="A2871" s="1" t="str">
        <f t="shared" si="575"/>
        <v>Dog Behaviour Training</v>
      </c>
      <c r="B2871" s="1" t="str">
        <f t="shared" si="572"/>
        <v>https://m566.info/gxom1lb</v>
      </c>
      <c r="C2871" s="1" t="str">
        <f>HYPERLINK("https://m566.info/gxom1lb","Border Clollie")</f>
        <v>Border Clollie</v>
      </c>
    </row>
    <row r="2872">
      <c r="A2872" s="1" t="str">
        <f t="shared" si="575"/>
        <v>Dog Behaviour Training</v>
      </c>
      <c r="B2872" s="1" t="str">
        <f t="shared" si="572"/>
        <v>https://m566.info/gxom1lb</v>
      </c>
      <c r="C2872" s="1" t="str">
        <f>HYPERLINK("https://m566.info/gxom1lb","Rotwieller")</f>
        <v>Rotwieller</v>
      </c>
    </row>
    <row r="2873">
      <c r="A2873" s="1" t="str">
        <f t="shared" si="575"/>
        <v>Dog Behaviour Training</v>
      </c>
      <c r="B2873" s="1" t="str">
        <f t="shared" si="572"/>
        <v>https://m566.info/gxom1lb</v>
      </c>
      <c r="C2873" s="1" t="str">
        <f>HYPERLINK("https://m566.info/gxom1lb","Cross Bred")</f>
        <v>Cross Bred</v>
      </c>
    </row>
    <row r="2874">
      <c r="A2874" s="1" t="str">
        <f t="shared" si="575"/>
        <v>Dog Behaviour Training</v>
      </c>
      <c r="B2874" s="1" t="str">
        <f t="shared" si="572"/>
        <v>https://m566.info/gxom1lb</v>
      </c>
      <c r="C2874" s="1" t="str">
        <f>HYPERLINK("https://m566.info/gxom1lb","Rotweiller")</f>
        <v>Rotweiller</v>
      </c>
    </row>
    <row r="2875">
      <c r="A2875" s="1" t="str">
        <f t="shared" ref="A2875:A2880" si="576">HYPERLINK("https://m566.info/gxom1lb","Dog : Elite Training")</f>
        <v>Dog : Elite Training</v>
      </c>
      <c r="B2875" s="1" t="str">
        <f t="shared" si="572"/>
        <v>https://m566.info/gxom1lb</v>
      </c>
      <c r="C2875" s="1" t="str">
        <f>HYPERLINK("https://m566.info/gxom1lb","Doberman")</f>
        <v>Doberman</v>
      </c>
    </row>
    <row r="2876">
      <c r="A2876" s="1" t="str">
        <f t="shared" si="576"/>
        <v>Dog : Elite Training</v>
      </c>
      <c r="B2876" s="1" t="str">
        <f t="shared" si="572"/>
        <v>https://m566.info/gxom1lb</v>
      </c>
      <c r="C2876" s="1" t="str">
        <f>HYPERLINK("https://m566.info/gxom1lb","German Shepherd")</f>
        <v>German Shepherd</v>
      </c>
    </row>
    <row r="2877">
      <c r="A2877" s="1" t="str">
        <f t="shared" si="576"/>
        <v>Dog : Elite Training</v>
      </c>
      <c r="B2877" s="1" t="str">
        <f t="shared" si="572"/>
        <v>https://m566.info/gxom1lb</v>
      </c>
      <c r="C2877" s="1" t="str">
        <f>HYPERLINK("https://m566.info/gxom1lb","Border Clollie")</f>
        <v>Border Clollie</v>
      </c>
    </row>
    <row r="2878">
      <c r="A2878" s="1" t="str">
        <f t="shared" si="576"/>
        <v>Dog : Elite Training</v>
      </c>
      <c r="B2878" s="1" t="str">
        <f t="shared" si="572"/>
        <v>https://m566.info/gxom1lb</v>
      </c>
      <c r="C2878" s="1" t="str">
        <f>HYPERLINK("https://m566.info/gxom1lb","Rotwieller")</f>
        <v>Rotwieller</v>
      </c>
    </row>
    <row r="2879">
      <c r="A2879" s="1" t="str">
        <f t="shared" si="576"/>
        <v>Dog : Elite Training</v>
      </c>
      <c r="B2879" s="1" t="str">
        <f t="shared" si="572"/>
        <v>https://m566.info/gxom1lb</v>
      </c>
      <c r="C2879" s="1" t="str">
        <f>HYPERLINK("https://m566.info/gxom1lb","Cross Bred")</f>
        <v>Cross Bred</v>
      </c>
    </row>
    <row r="2880">
      <c r="A2880" s="1" t="str">
        <f t="shared" si="576"/>
        <v>Dog : Elite Training</v>
      </c>
      <c r="B2880" s="1" t="str">
        <f t="shared" si="572"/>
        <v>https://m566.info/gxom1lb</v>
      </c>
      <c r="C2880" s="1" t="str">
        <f>HYPERLINK("https://m566.info/gxom1lb","Rotweiller")</f>
        <v>Rotweiller</v>
      </c>
    </row>
    <row r="2881">
      <c r="A2881" s="1" t="str">
        <f t="shared" ref="A2881:A2886" si="577">HYPERLINK("https://m566.info/2nxq941","Dog Aggression Training")</f>
        <v>Dog Aggression Training</v>
      </c>
      <c r="B2881" s="1" t="str">
        <f t="shared" ref="B2881:B2910" si="578">HYPERLINK("https://m566.info/2nxq941","https://m566.info/2nxq941")</f>
        <v>https://m566.info/2nxq941</v>
      </c>
      <c r="C2881" s="1" t="str">
        <f>HYPERLINK("https://m566.info/2nxq941","Doberman")</f>
        <v>Doberman</v>
      </c>
    </row>
    <row r="2882">
      <c r="A2882" s="1" t="str">
        <f t="shared" si="577"/>
        <v>Dog Aggression Training</v>
      </c>
      <c r="B2882" s="1" t="str">
        <f t="shared" si="578"/>
        <v>https://m566.info/2nxq941</v>
      </c>
      <c r="C2882" s="1" t="str">
        <f>HYPERLINK("https://m566.info/2nxq941","German Shepherd")</f>
        <v>German Shepherd</v>
      </c>
    </row>
    <row r="2883">
      <c r="A2883" s="1" t="str">
        <f t="shared" si="577"/>
        <v>Dog Aggression Training</v>
      </c>
      <c r="B2883" s="1" t="str">
        <f t="shared" si="578"/>
        <v>https://m566.info/2nxq941</v>
      </c>
      <c r="C2883" s="1" t="str">
        <f>HYPERLINK("https://m566.info/2nxq941","Border Clollie")</f>
        <v>Border Clollie</v>
      </c>
    </row>
    <row r="2884">
      <c r="A2884" s="1" t="str">
        <f t="shared" si="577"/>
        <v>Dog Aggression Training</v>
      </c>
      <c r="B2884" s="1" t="str">
        <f t="shared" si="578"/>
        <v>https://m566.info/2nxq941</v>
      </c>
      <c r="C2884" s="1" t="str">
        <f>HYPERLINK("https://m566.info/2nxq941","Rotwieller")</f>
        <v>Rotwieller</v>
      </c>
    </row>
    <row r="2885">
      <c r="A2885" s="1" t="str">
        <f t="shared" si="577"/>
        <v>Dog Aggression Training</v>
      </c>
      <c r="B2885" s="1" t="str">
        <f t="shared" si="578"/>
        <v>https://m566.info/2nxq941</v>
      </c>
      <c r="C2885" s="1" t="str">
        <f>HYPERLINK("https://m566.info/2nxq941","Cross Bred")</f>
        <v>Cross Bred</v>
      </c>
    </row>
    <row r="2886">
      <c r="A2886" s="1" t="str">
        <f t="shared" si="577"/>
        <v>Dog Aggression Training</v>
      </c>
      <c r="B2886" s="1" t="str">
        <f t="shared" si="578"/>
        <v>https://m566.info/2nxq941</v>
      </c>
      <c r="C2886" s="1" t="str">
        <f>HYPERLINK("https://m566.info/2nxq941","Rotweiller")</f>
        <v>Rotweiller</v>
      </c>
    </row>
    <row r="2887">
      <c r="A2887" s="1" t="str">
        <f t="shared" ref="A2887:A2892" si="579">HYPERLINK("https://m566.info/2nxq941","Dog Obedience Training")</f>
        <v>Dog Obedience Training</v>
      </c>
      <c r="B2887" s="1" t="str">
        <f t="shared" si="578"/>
        <v>https://m566.info/2nxq941</v>
      </c>
      <c r="C2887" s="1" t="str">
        <f>HYPERLINK("https://m566.info/2nxq941","Doberman")</f>
        <v>Doberman</v>
      </c>
    </row>
    <row r="2888">
      <c r="A2888" s="1" t="str">
        <f t="shared" si="579"/>
        <v>Dog Obedience Training</v>
      </c>
      <c r="B2888" s="1" t="str">
        <f t="shared" si="578"/>
        <v>https://m566.info/2nxq941</v>
      </c>
      <c r="C2888" s="1" t="str">
        <f>HYPERLINK("https://m566.info/2nxq941","German Shepherd")</f>
        <v>German Shepherd</v>
      </c>
    </row>
    <row r="2889">
      <c r="A2889" s="1" t="str">
        <f t="shared" si="579"/>
        <v>Dog Obedience Training</v>
      </c>
      <c r="B2889" s="1" t="str">
        <f t="shared" si="578"/>
        <v>https://m566.info/2nxq941</v>
      </c>
      <c r="C2889" s="1" t="str">
        <f>HYPERLINK("https://m566.info/2nxq941","Border Clollie")</f>
        <v>Border Clollie</v>
      </c>
    </row>
    <row r="2890">
      <c r="A2890" s="1" t="str">
        <f t="shared" si="579"/>
        <v>Dog Obedience Training</v>
      </c>
      <c r="B2890" s="1" t="str">
        <f t="shared" si="578"/>
        <v>https://m566.info/2nxq941</v>
      </c>
      <c r="C2890" s="1" t="str">
        <f>HYPERLINK("https://m566.info/2nxq941","Rotwieller")</f>
        <v>Rotwieller</v>
      </c>
    </row>
    <row r="2891">
      <c r="A2891" s="1" t="str">
        <f t="shared" si="579"/>
        <v>Dog Obedience Training</v>
      </c>
      <c r="B2891" s="1" t="str">
        <f t="shared" si="578"/>
        <v>https://m566.info/2nxq941</v>
      </c>
      <c r="C2891" s="1" t="str">
        <f>HYPERLINK("https://m566.info/2nxq941","Cross Bred")</f>
        <v>Cross Bred</v>
      </c>
    </row>
    <row r="2892">
      <c r="A2892" s="1" t="str">
        <f t="shared" si="579"/>
        <v>Dog Obedience Training</v>
      </c>
      <c r="B2892" s="1" t="str">
        <f t="shared" si="578"/>
        <v>https://m566.info/2nxq941</v>
      </c>
      <c r="C2892" s="1" t="str">
        <f>HYPERLINK("https://m566.info/2nxq941","Rotweiller")</f>
        <v>Rotweiller</v>
      </c>
    </row>
    <row r="2893">
      <c r="A2893" s="1" t="str">
        <f t="shared" ref="A2893:A2898" si="580">HYPERLINK("https://m566.info/2nxq941","Dog House Training")</f>
        <v>Dog House Training</v>
      </c>
      <c r="B2893" s="1" t="str">
        <f t="shared" si="578"/>
        <v>https://m566.info/2nxq941</v>
      </c>
      <c r="C2893" s="1" t="str">
        <f>HYPERLINK("https://m566.info/2nxq941","Doberman")</f>
        <v>Doberman</v>
      </c>
    </row>
    <row r="2894">
      <c r="A2894" s="1" t="str">
        <f t="shared" si="580"/>
        <v>Dog House Training</v>
      </c>
      <c r="B2894" s="1" t="str">
        <f t="shared" si="578"/>
        <v>https://m566.info/2nxq941</v>
      </c>
      <c r="C2894" s="1" t="str">
        <f>HYPERLINK("https://m566.info/2nxq941","German Shepherd")</f>
        <v>German Shepherd</v>
      </c>
    </row>
    <row r="2895">
      <c r="A2895" s="1" t="str">
        <f t="shared" si="580"/>
        <v>Dog House Training</v>
      </c>
      <c r="B2895" s="1" t="str">
        <f t="shared" si="578"/>
        <v>https://m566.info/2nxq941</v>
      </c>
      <c r="C2895" s="1" t="str">
        <f>HYPERLINK("https://m566.info/2nxq941","Border Clollie")</f>
        <v>Border Clollie</v>
      </c>
    </row>
    <row r="2896">
      <c r="A2896" s="1" t="str">
        <f t="shared" si="580"/>
        <v>Dog House Training</v>
      </c>
      <c r="B2896" s="1" t="str">
        <f t="shared" si="578"/>
        <v>https://m566.info/2nxq941</v>
      </c>
      <c r="C2896" s="1" t="str">
        <f>HYPERLINK("https://m566.info/2nxq941","Rotwieller")</f>
        <v>Rotwieller</v>
      </c>
    </row>
    <row r="2897">
      <c r="A2897" s="1" t="str">
        <f t="shared" si="580"/>
        <v>Dog House Training</v>
      </c>
      <c r="B2897" s="1" t="str">
        <f t="shared" si="578"/>
        <v>https://m566.info/2nxq941</v>
      </c>
      <c r="C2897" s="1" t="str">
        <f>HYPERLINK("https://m566.info/2nxq941","Cross Bred")</f>
        <v>Cross Bred</v>
      </c>
    </row>
    <row r="2898">
      <c r="A2898" s="1" t="str">
        <f t="shared" si="580"/>
        <v>Dog House Training</v>
      </c>
      <c r="B2898" s="1" t="str">
        <f t="shared" si="578"/>
        <v>https://m566.info/2nxq941</v>
      </c>
      <c r="C2898" s="1" t="str">
        <f>HYPERLINK("https://m566.info/2nxq941","Rotweiller")</f>
        <v>Rotweiller</v>
      </c>
    </row>
    <row r="2899">
      <c r="A2899" s="1" t="str">
        <f t="shared" ref="A2899:A2904" si="581">HYPERLINK("https://m566.info/2nxq941","Dog Behaviour Training")</f>
        <v>Dog Behaviour Training</v>
      </c>
      <c r="B2899" s="1" t="str">
        <f t="shared" si="578"/>
        <v>https://m566.info/2nxq941</v>
      </c>
      <c r="C2899" s="1" t="str">
        <f>HYPERLINK("https://m566.info/2nxq941","Doberman")</f>
        <v>Doberman</v>
      </c>
    </row>
    <row r="2900">
      <c r="A2900" s="1" t="str">
        <f t="shared" si="581"/>
        <v>Dog Behaviour Training</v>
      </c>
      <c r="B2900" s="1" t="str">
        <f t="shared" si="578"/>
        <v>https://m566.info/2nxq941</v>
      </c>
      <c r="C2900" s="1" t="str">
        <f>HYPERLINK("https://m566.info/2nxq941","German Shepherd")</f>
        <v>German Shepherd</v>
      </c>
    </row>
    <row r="2901">
      <c r="A2901" s="1" t="str">
        <f t="shared" si="581"/>
        <v>Dog Behaviour Training</v>
      </c>
      <c r="B2901" s="1" t="str">
        <f t="shared" si="578"/>
        <v>https://m566.info/2nxq941</v>
      </c>
      <c r="C2901" s="1" t="str">
        <f>HYPERLINK("https://m566.info/2nxq941","Border Clollie")</f>
        <v>Border Clollie</v>
      </c>
    </row>
    <row r="2902">
      <c r="A2902" s="1" t="str">
        <f t="shared" si="581"/>
        <v>Dog Behaviour Training</v>
      </c>
      <c r="B2902" s="1" t="str">
        <f t="shared" si="578"/>
        <v>https://m566.info/2nxq941</v>
      </c>
      <c r="C2902" s="1" t="str">
        <f>HYPERLINK("https://m566.info/2nxq941","Rotwieller")</f>
        <v>Rotwieller</v>
      </c>
    </row>
    <row r="2903">
      <c r="A2903" s="1" t="str">
        <f t="shared" si="581"/>
        <v>Dog Behaviour Training</v>
      </c>
      <c r="B2903" s="1" t="str">
        <f t="shared" si="578"/>
        <v>https://m566.info/2nxq941</v>
      </c>
      <c r="C2903" s="1" t="str">
        <f>HYPERLINK("https://m566.info/2nxq941","Cross Bred")</f>
        <v>Cross Bred</v>
      </c>
    </row>
    <row r="2904">
      <c r="A2904" s="1" t="str">
        <f t="shared" si="581"/>
        <v>Dog Behaviour Training</v>
      </c>
      <c r="B2904" s="1" t="str">
        <f t="shared" si="578"/>
        <v>https://m566.info/2nxq941</v>
      </c>
      <c r="C2904" s="1" t="str">
        <f>HYPERLINK("https://m566.info/2nxq941","Rotweiller")</f>
        <v>Rotweiller</v>
      </c>
    </row>
    <row r="2905">
      <c r="A2905" s="1" t="str">
        <f t="shared" ref="A2905:A2910" si="582">HYPERLINK("https://m566.info/2nxq941","Dog : Elite Training")</f>
        <v>Dog : Elite Training</v>
      </c>
      <c r="B2905" s="1" t="str">
        <f t="shared" si="578"/>
        <v>https://m566.info/2nxq941</v>
      </c>
      <c r="C2905" s="1" t="str">
        <f>HYPERLINK("https://m566.info/2nxq941","Doberman")</f>
        <v>Doberman</v>
      </c>
    </row>
    <row r="2906">
      <c r="A2906" s="1" t="str">
        <f t="shared" si="582"/>
        <v>Dog : Elite Training</v>
      </c>
      <c r="B2906" s="1" t="str">
        <f t="shared" si="578"/>
        <v>https://m566.info/2nxq941</v>
      </c>
      <c r="C2906" s="1" t="str">
        <f>HYPERLINK("https://m566.info/2nxq941","German Shepherd")</f>
        <v>German Shepherd</v>
      </c>
    </row>
    <row r="2907">
      <c r="A2907" s="1" t="str">
        <f t="shared" si="582"/>
        <v>Dog : Elite Training</v>
      </c>
      <c r="B2907" s="1" t="str">
        <f t="shared" si="578"/>
        <v>https://m566.info/2nxq941</v>
      </c>
      <c r="C2907" s="1" t="str">
        <f>HYPERLINK("https://m566.info/2nxq941","Border Clollie")</f>
        <v>Border Clollie</v>
      </c>
    </row>
    <row r="2908">
      <c r="A2908" s="1" t="str">
        <f t="shared" si="582"/>
        <v>Dog : Elite Training</v>
      </c>
      <c r="B2908" s="1" t="str">
        <f t="shared" si="578"/>
        <v>https://m566.info/2nxq941</v>
      </c>
      <c r="C2908" s="1" t="str">
        <f>HYPERLINK("https://m566.info/2nxq941","Rotwieller")</f>
        <v>Rotwieller</v>
      </c>
    </row>
    <row r="2909">
      <c r="A2909" s="1" t="str">
        <f t="shared" si="582"/>
        <v>Dog : Elite Training</v>
      </c>
      <c r="B2909" s="1" t="str">
        <f t="shared" si="578"/>
        <v>https://m566.info/2nxq941</v>
      </c>
      <c r="C2909" s="1" t="str">
        <f>HYPERLINK("https://m566.info/2nxq941","Cross Bred")</f>
        <v>Cross Bred</v>
      </c>
    </row>
    <row r="2910">
      <c r="A2910" s="1" t="str">
        <f t="shared" si="582"/>
        <v>Dog : Elite Training</v>
      </c>
      <c r="B2910" s="1" t="str">
        <f t="shared" si="578"/>
        <v>https://m566.info/2nxq941</v>
      </c>
      <c r="C2910" s="1" t="str">
        <f>HYPERLINK("https://m566.info/2nxq941","Rotweiller")</f>
        <v>Rotweiller</v>
      </c>
    </row>
    <row r="2911">
      <c r="A2911" s="1" t="str">
        <f t="shared" ref="A2911:A2916" si="583">HYPERLINK("https://m566.info/n5wzpki","Dog Aggression Training")</f>
        <v>Dog Aggression Training</v>
      </c>
      <c r="B2911" s="1" t="str">
        <f t="shared" ref="B2911:B2940" si="584">HYPERLINK("https://m566.info/n5wzpki","https://m566.info/n5wzpki")</f>
        <v>https://m566.info/n5wzpki</v>
      </c>
      <c r="C2911" s="1" t="str">
        <f>HYPERLINK("https://m566.info/n5wzpki","Doberman")</f>
        <v>Doberman</v>
      </c>
    </row>
    <row r="2912">
      <c r="A2912" s="1" t="str">
        <f t="shared" si="583"/>
        <v>Dog Aggression Training</v>
      </c>
      <c r="B2912" s="1" t="str">
        <f t="shared" si="584"/>
        <v>https://m566.info/n5wzpki</v>
      </c>
      <c r="C2912" s="1" t="str">
        <f>HYPERLINK("https://m566.info/n5wzpki","German Shepherd")</f>
        <v>German Shepherd</v>
      </c>
    </row>
    <row r="2913">
      <c r="A2913" s="1" t="str">
        <f t="shared" si="583"/>
        <v>Dog Aggression Training</v>
      </c>
      <c r="B2913" s="1" t="str">
        <f t="shared" si="584"/>
        <v>https://m566.info/n5wzpki</v>
      </c>
      <c r="C2913" s="1" t="str">
        <f>HYPERLINK("https://m566.info/n5wzpki","Border Clollie")</f>
        <v>Border Clollie</v>
      </c>
    </row>
    <row r="2914">
      <c r="A2914" s="1" t="str">
        <f t="shared" si="583"/>
        <v>Dog Aggression Training</v>
      </c>
      <c r="B2914" s="1" t="str">
        <f t="shared" si="584"/>
        <v>https://m566.info/n5wzpki</v>
      </c>
      <c r="C2914" s="1" t="str">
        <f>HYPERLINK("https://m566.info/n5wzpki","Rotwieller")</f>
        <v>Rotwieller</v>
      </c>
    </row>
    <row r="2915">
      <c r="A2915" s="1" t="str">
        <f t="shared" si="583"/>
        <v>Dog Aggression Training</v>
      </c>
      <c r="B2915" s="1" t="str">
        <f t="shared" si="584"/>
        <v>https://m566.info/n5wzpki</v>
      </c>
      <c r="C2915" s="1" t="str">
        <f>HYPERLINK("https://m566.info/n5wzpki","Cross Bred")</f>
        <v>Cross Bred</v>
      </c>
    </row>
    <row r="2916">
      <c r="A2916" s="1" t="str">
        <f t="shared" si="583"/>
        <v>Dog Aggression Training</v>
      </c>
      <c r="B2916" s="1" t="str">
        <f t="shared" si="584"/>
        <v>https://m566.info/n5wzpki</v>
      </c>
      <c r="C2916" s="1" t="str">
        <f>HYPERLINK("https://m566.info/n5wzpki","Rotweiller")</f>
        <v>Rotweiller</v>
      </c>
    </row>
    <row r="2917">
      <c r="A2917" s="1" t="str">
        <f t="shared" ref="A2917:A2922" si="585">HYPERLINK("https://m566.info/n5wzpki","Dog Obedience Training")</f>
        <v>Dog Obedience Training</v>
      </c>
      <c r="B2917" s="1" t="str">
        <f t="shared" si="584"/>
        <v>https://m566.info/n5wzpki</v>
      </c>
      <c r="C2917" s="1" t="str">
        <f>HYPERLINK("https://m566.info/n5wzpki","Doberman")</f>
        <v>Doberman</v>
      </c>
    </row>
    <row r="2918">
      <c r="A2918" s="1" t="str">
        <f t="shared" si="585"/>
        <v>Dog Obedience Training</v>
      </c>
      <c r="B2918" s="1" t="str">
        <f t="shared" si="584"/>
        <v>https://m566.info/n5wzpki</v>
      </c>
      <c r="C2918" s="1" t="str">
        <f>HYPERLINK("https://m566.info/n5wzpki","German Shepherd")</f>
        <v>German Shepherd</v>
      </c>
    </row>
    <row r="2919">
      <c r="A2919" s="1" t="str">
        <f t="shared" si="585"/>
        <v>Dog Obedience Training</v>
      </c>
      <c r="B2919" s="1" t="str">
        <f t="shared" si="584"/>
        <v>https://m566.info/n5wzpki</v>
      </c>
      <c r="C2919" s="1" t="str">
        <f>HYPERLINK("https://m566.info/n5wzpki","Border Clollie")</f>
        <v>Border Clollie</v>
      </c>
    </row>
    <row r="2920">
      <c r="A2920" s="1" t="str">
        <f t="shared" si="585"/>
        <v>Dog Obedience Training</v>
      </c>
      <c r="B2920" s="1" t="str">
        <f t="shared" si="584"/>
        <v>https://m566.info/n5wzpki</v>
      </c>
      <c r="C2920" s="1" t="str">
        <f>HYPERLINK("https://m566.info/n5wzpki","Rotwieller")</f>
        <v>Rotwieller</v>
      </c>
    </row>
    <row r="2921">
      <c r="A2921" s="1" t="str">
        <f t="shared" si="585"/>
        <v>Dog Obedience Training</v>
      </c>
      <c r="B2921" s="1" t="str">
        <f t="shared" si="584"/>
        <v>https://m566.info/n5wzpki</v>
      </c>
      <c r="C2921" s="1" t="str">
        <f>HYPERLINK("https://m566.info/n5wzpki","Cross Bred")</f>
        <v>Cross Bred</v>
      </c>
    </row>
    <row r="2922">
      <c r="A2922" s="1" t="str">
        <f t="shared" si="585"/>
        <v>Dog Obedience Training</v>
      </c>
      <c r="B2922" s="1" t="str">
        <f t="shared" si="584"/>
        <v>https://m566.info/n5wzpki</v>
      </c>
      <c r="C2922" s="1" t="str">
        <f>HYPERLINK("https://m566.info/n5wzpki","Rotweiller")</f>
        <v>Rotweiller</v>
      </c>
    </row>
    <row r="2923">
      <c r="A2923" s="1" t="str">
        <f t="shared" ref="A2923:A2928" si="586">HYPERLINK("https://m566.info/n5wzpki","Dog House Training")</f>
        <v>Dog House Training</v>
      </c>
      <c r="B2923" s="1" t="str">
        <f t="shared" si="584"/>
        <v>https://m566.info/n5wzpki</v>
      </c>
      <c r="C2923" s="1" t="str">
        <f>HYPERLINK("https://m566.info/n5wzpki","Doberman")</f>
        <v>Doberman</v>
      </c>
    </row>
    <row r="2924">
      <c r="A2924" s="1" t="str">
        <f t="shared" si="586"/>
        <v>Dog House Training</v>
      </c>
      <c r="B2924" s="1" t="str">
        <f t="shared" si="584"/>
        <v>https://m566.info/n5wzpki</v>
      </c>
      <c r="C2924" s="1" t="str">
        <f>HYPERLINK("https://m566.info/n5wzpki","German Shepherd")</f>
        <v>German Shepherd</v>
      </c>
    </row>
    <row r="2925">
      <c r="A2925" s="1" t="str">
        <f t="shared" si="586"/>
        <v>Dog House Training</v>
      </c>
      <c r="B2925" s="1" t="str">
        <f t="shared" si="584"/>
        <v>https://m566.info/n5wzpki</v>
      </c>
      <c r="C2925" s="1" t="str">
        <f>HYPERLINK("https://m566.info/n5wzpki","Border Clollie")</f>
        <v>Border Clollie</v>
      </c>
    </row>
    <row r="2926">
      <c r="A2926" s="1" t="str">
        <f t="shared" si="586"/>
        <v>Dog House Training</v>
      </c>
      <c r="B2926" s="1" t="str">
        <f t="shared" si="584"/>
        <v>https://m566.info/n5wzpki</v>
      </c>
      <c r="C2926" s="1" t="str">
        <f>HYPERLINK("https://m566.info/n5wzpki","Rotwieller")</f>
        <v>Rotwieller</v>
      </c>
    </row>
    <row r="2927">
      <c r="A2927" s="1" t="str">
        <f t="shared" si="586"/>
        <v>Dog House Training</v>
      </c>
      <c r="B2927" s="1" t="str">
        <f t="shared" si="584"/>
        <v>https://m566.info/n5wzpki</v>
      </c>
      <c r="C2927" s="1" t="str">
        <f>HYPERLINK("https://m566.info/n5wzpki","Cross Bred")</f>
        <v>Cross Bred</v>
      </c>
    </row>
    <row r="2928">
      <c r="A2928" s="1" t="str">
        <f t="shared" si="586"/>
        <v>Dog House Training</v>
      </c>
      <c r="B2928" s="1" t="str">
        <f t="shared" si="584"/>
        <v>https://m566.info/n5wzpki</v>
      </c>
      <c r="C2928" s="1" t="str">
        <f>HYPERLINK("https://m566.info/n5wzpki","Rotweiller")</f>
        <v>Rotweiller</v>
      </c>
    </row>
    <row r="2929">
      <c r="A2929" s="1" t="str">
        <f t="shared" ref="A2929:A2934" si="587">HYPERLINK("https://m566.info/n5wzpki","Dog Behaviour Training")</f>
        <v>Dog Behaviour Training</v>
      </c>
      <c r="B2929" s="1" t="str">
        <f t="shared" si="584"/>
        <v>https://m566.info/n5wzpki</v>
      </c>
      <c r="C2929" s="1" t="str">
        <f>HYPERLINK("https://m566.info/n5wzpki","Doberman")</f>
        <v>Doberman</v>
      </c>
    </row>
    <row r="2930">
      <c r="A2930" s="1" t="str">
        <f t="shared" si="587"/>
        <v>Dog Behaviour Training</v>
      </c>
      <c r="B2930" s="1" t="str">
        <f t="shared" si="584"/>
        <v>https://m566.info/n5wzpki</v>
      </c>
      <c r="C2930" s="1" t="str">
        <f>HYPERLINK("https://m566.info/n5wzpki","German Shepherd")</f>
        <v>German Shepherd</v>
      </c>
    </row>
    <row r="2931">
      <c r="A2931" s="1" t="str">
        <f t="shared" si="587"/>
        <v>Dog Behaviour Training</v>
      </c>
      <c r="B2931" s="1" t="str">
        <f t="shared" si="584"/>
        <v>https://m566.info/n5wzpki</v>
      </c>
      <c r="C2931" s="1" t="str">
        <f>HYPERLINK("https://m566.info/n5wzpki","Border Clollie")</f>
        <v>Border Clollie</v>
      </c>
    </row>
    <row r="2932">
      <c r="A2932" s="1" t="str">
        <f t="shared" si="587"/>
        <v>Dog Behaviour Training</v>
      </c>
      <c r="B2932" s="1" t="str">
        <f t="shared" si="584"/>
        <v>https://m566.info/n5wzpki</v>
      </c>
      <c r="C2932" s="1" t="str">
        <f>HYPERLINK("https://m566.info/n5wzpki","Rotwieller")</f>
        <v>Rotwieller</v>
      </c>
    </row>
    <row r="2933">
      <c r="A2933" s="1" t="str">
        <f t="shared" si="587"/>
        <v>Dog Behaviour Training</v>
      </c>
      <c r="B2933" s="1" t="str">
        <f t="shared" si="584"/>
        <v>https://m566.info/n5wzpki</v>
      </c>
      <c r="C2933" s="1" t="str">
        <f>HYPERLINK("https://m566.info/n5wzpki","Cross Bred")</f>
        <v>Cross Bred</v>
      </c>
    </row>
    <row r="2934">
      <c r="A2934" s="1" t="str">
        <f t="shared" si="587"/>
        <v>Dog Behaviour Training</v>
      </c>
      <c r="B2934" s="1" t="str">
        <f t="shared" si="584"/>
        <v>https://m566.info/n5wzpki</v>
      </c>
      <c r="C2934" s="1" t="str">
        <f>HYPERLINK("https://m566.info/n5wzpki","Rotweiller")</f>
        <v>Rotweiller</v>
      </c>
    </row>
    <row r="2935">
      <c r="A2935" s="1" t="str">
        <f t="shared" ref="A2935:A2940" si="588">HYPERLINK("https://m566.info/n5wzpki","Dog : Elite Training")</f>
        <v>Dog : Elite Training</v>
      </c>
      <c r="B2935" s="1" t="str">
        <f t="shared" si="584"/>
        <v>https://m566.info/n5wzpki</v>
      </c>
      <c r="C2935" s="1" t="str">
        <f>HYPERLINK("https://m566.info/n5wzpki","Doberman")</f>
        <v>Doberman</v>
      </c>
    </row>
    <row r="2936">
      <c r="A2936" s="1" t="str">
        <f t="shared" si="588"/>
        <v>Dog : Elite Training</v>
      </c>
      <c r="B2936" s="1" t="str">
        <f t="shared" si="584"/>
        <v>https://m566.info/n5wzpki</v>
      </c>
      <c r="C2936" s="1" t="str">
        <f>HYPERLINK("https://m566.info/n5wzpki","German Shepherd")</f>
        <v>German Shepherd</v>
      </c>
    </row>
    <row r="2937">
      <c r="A2937" s="1" t="str">
        <f t="shared" si="588"/>
        <v>Dog : Elite Training</v>
      </c>
      <c r="B2937" s="1" t="str">
        <f t="shared" si="584"/>
        <v>https://m566.info/n5wzpki</v>
      </c>
      <c r="C2937" s="1" t="str">
        <f>HYPERLINK("https://m566.info/n5wzpki","Border Clollie")</f>
        <v>Border Clollie</v>
      </c>
    </row>
    <row r="2938">
      <c r="A2938" s="1" t="str">
        <f t="shared" si="588"/>
        <v>Dog : Elite Training</v>
      </c>
      <c r="B2938" s="1" t="str">
        <f t="shared" si="584"/>
        <v>https://m566.info/n5wzpki</v>
      </c>
      <c r="C2938" s="1" t="str">
        <f>HYPERLINK("https://m566.info/n5wzpki","Rotwieller")</f>
        <v>Rotwieller</v>
      </c>
    </row>
    <row r="2939">
      <c r="A2939" s="1" t="str">
        <f t="shared" si="588"/>
        <v>Dog : Elite Training</v>
      </c>
      <c r="B2939" s="1" t="str">
        <f t="shared" si="584"/>
        <v>https://m566.info/n5wzpki</v>
      </c>
      <c r="C2939" s="1" t="str">
        <f>HYPERLINK("https://m566.info/n5wzpki","Cross Bred")</f>
        <v>Cross Bred</v>
      </c>
    </row>
    <row r="2940">
      <c r="A2940" s="1" t="str">
        <f t="shared" si="588"/>
        <v>Dog : Elite Training</v>
      </c>
      <c r="B2940" s="1" t="str">
        <f t="shared" si="584"/>
        <v>https://m566.info/n5wzpki</v>
      </c>
      <c r="C2940" s="1" t="str">
        <f>HYPERLINK("https://m566.info/n5wzpki","Rotweiller")</f>
        <v>Rotweiller</v>
      </c>
    </row>
    <row r="2941">
      <c r="A2941" s="1" t="str">
        <f t="shared" ref="A2941:A2946" si="589">HYPERLINK("https://m566.info/y1xbobi","Dog Aggression Training")</f>
        <v>Dog Aggression Training</v>
      </c>
      <c r="B2941" s="1" t="str">
        <f t="shared" ref="B2941:B2970" si="590">HYPERLINK("https://m566.info/y1xbobi","https://m566.info/y1xbobi")</f>
        <v>https://m566.info/y1xbobi</v>
      </c>
      <c r="C2941" s="1" t="str">
        <f>HYPERLINK("https://m566.info/y1xbobi","Doberman")</f>
        <v>Doberman</v>
      </c>
    </row>
    <row r="2942">
      <c r="A2942" s="1" t="str">
        <f t="shared" si="589"/>
        <v>Dog Aggression Training</v>
      </c>
      <c r="B2942" s="1" t="str">
        <f t="shared" si="590"/>
        <v>https://m566.info/y1xbobi</v>
      </c>
      <c r="C2942" s="1" t="str">
        <f>HYPERLINK("https://m566.info/y1xbobi","German Shepherd")</f>
        <v>German Shepherd</v>
      </c>
    </row>
    <row r="2943">
      <c r="A2943" s="1" t="str">
        <f t="shared" si="589"/>
        <v>Dog Aggression Training</v>
      </c>
      <c r="B2943" s="1" t="str">
        <f t="shared" si="590"/>
        <v>https://m566.info/y1xbobi</v>
      </c>
      <c r="C2943" s="1" t="str">
        <f>HYPERLINK("https://m566.info/y1xbobi","Border Clollie")</f>
        <v>Border Clollie</v>
      </c>
    </row>
    <row r="2944">
      <c r="A2944" s="1" t="str">
        <f t="shared" si="589"/>
        <v>Dog Aggression Training</v>
      </c>
      <c r="B2944" s="1" t="str">
        <f t="shared" si="590"/>
        <v>https://m566.info/y1xbobi</v>
      </c>
      <c r="C2944" s="1" t="str">
        <f>HYPERLINK("https://m566.info/y1xbobi","Rotwieller")</f>
        <v>Rotwieller</v>
      </c>
    </row>
    <row r="2945">
      <c r="A2945" s="1" t="str">
        <f t="shared" si="589"/>
        <v>Dog Aggression Training</v>
      </c>
      <c r="B2945" s="1" t="str">
        <f t="shared" si="590"/>
        <v>https://m566.info/y1xbobi</v>
      </c>
      <c r="C2945" s="1" t="str">
        <f>HYPERLINK("https://m566.info/y1xbobi","Cross Bred")</f>
        <v>Cross Bred</v>
      </c>
    </row>
    <row r="2946">
      <c r="A2946" s="1" t="str">
        <f t="shared" si="589"/>
        <v>Dog Aggression Training</v>
      </c>
      <c r="B2946" s="1" t="str">
        <f t="shared" si="590"/>
        <v>https://m566.info/y1xbobi</v>
      </c>
      <c r="C2946" s="1" t="str">
        <f>HYPERLINK("https://m566.info/y1xbobi","Rotweiller")</f>
        <v>Rotweiller</v>
      </c>
    </row>
    <row r="2947">
      <c r="A2947" s="1" t="str">
        <f t="shared" ref="A2947:A2952" si="591">HYPERLINK("https://m566.info/y1xbobi","Dog Obedience Training")</f>
        <v>Dog Obedience Training</v>
      </c>
      <c r="B2947" s="1" t="str">
        <f t="shared" si="590"/>
        <v>https://m566.info/y1xbobi</v>
      </c>
      <c r="C2947" s="1" t="str">
        <f>HYPERLINK("https://m566.info/y1xbobi","Doberman")</f>
        <v>Doberman</v>
      </c>
    </row>
    <row r="2948">
      <c r="A2948" s="1" t="str">
        <f t="shared" si="591"/>
        <v>Dog Obedience Training</v>
      </c>
      <c r="B2948" s="1" t="str">
        <f t="shared" si="590"/>
        <v>https://m566.info/y1xbobi</v>
      </c>
      <c r="C2948" s="1" t="str">
        <f>HYPERLINK("https://m566.info/y1xbobi","German Shepherd")</f>
        <v>German Shepherd</v>
      </c>
    </row>
    <row r="2949">
      <c r="A2949" s="1" t="str">
        <f t="shared" si="591"/>
        <v>Dog Obedience Training</v>
      </c>
      <c r="B2949" s="1" t="str">
        <f t="shared" si="590"/>
        <v>https://m566.info/y1xbobi</v>
      </c>
      <c r="C2949" s="1" t="str">
        <f>HYPERLINK("https://m566.info/y1xbobi","Border Clollie")</f>
        <v>Border Clollie</v>
      </c>
    </row>
    <row r="2950">
      <c r="A2950" s="1" t="str">
        <f t="shared" si="591"/>
        <v>Dog Obedience Training</v>
      </c>
      <c r="B2950" s="1" t="str">
        <f t="shared" si="590"/>
        <v>https://m566.info/y1xbobi</v>
      </c>
      <c r="C2950" s="1" t="str">
        <f>HYPERLINK("https://m566.info/y1xbobi","Rotwieller")</f>
        <v>Rotwieller</v>
      </c>
    </row>
    <row r="2951">
      <c r="A2951" s="1" t="str">
        <f t="shared" si="591"/>
        <v>Dog Obedience Training</v>
      </c>
      <c r="B2951" s="1" t="str">
        <f t="shared" si="590"/>
        <v>https://m566.info/y1xbobi</v>
      </c>
      <c r="C2951" s="1" t="str">
        <f>HYPERLINK("https://m566.info/y1xbobi","Cross Bred")</f>
        <v>Cross Bred</v>
      </c>
    </row>
    <row r="2952">
      <c r="A2952" s="1" t="str">
        <f t="shared" si="591"/>
        <v>Dog Obedience Training</v>
      </c>
      <c r="B2952" s="1" t="str">
        <f t="shared" si="590"/>
        <v>https://m566.info/y1xbobi</v>
      </c>
      <c r="C2952" s="1" t="str">
        <f>HYPERLINK("https://m566.info/y1xbobi","Rotweiller")</f>
        <v>Rotweiller</v>
      </c>
    </row>
    <row r="2953">
      <c r="A2953" s="1" t="str">
        <f t="shared" ref="A2953:A2958" si="592">HYPERLINK("https://m566.info/y1xbobi","Dog House Training")</f>
        <v>Dog House Training</v>
      </c>
      <c r="B2953" s="1" t="str">
        <f t="shared" si="590"/>
        <v>https://m566.info/y1xbobi</v>
      </c>
      <c r="C2953" s="1" t="str">
        <f>HYPERLINK("https://m566.info/y1xbobi","Doberman")</f>
        <v>Doberman</v>
      </c>
    </row>
    <row r="2954">
      <c r="A2954" s="1" t="str">
        <f t="shared" si="592"/>
        <v>Dog House Training</v>
      </c>
      <c r="B2954" s="1" t="str">
        <f t="shared" si="590"/>
        <v>https://m566.info/y1xbobi</v>
      </c>
      <c r="C2954" s="1" t="str">
        <f>HYPERLINK("https://m566.info/y1xbobi","German Shepherd")</f>
        <v>German Shepherd</v>
      </c>
    </row>
    <row r="2955">
      <c r="A2955" s="1" t="str">
        <f t="shared" si="592"/>
        <v>Dog House Training</v>
      </c>
      <c r="B2955" s="1" t="str">
        <f t="shared" si="590"/>
        <v>https://m566.info/y1xbobi</v>
      </c>
      <c r="C2955" s="1" t="str">
        <f>HYPERLINK("https://m566.info/y1xbobi","Border Clollie")</f>
        <v>Border Clollie</v>
      </c>
    </row>
    <row r="2956">
      <c r="A2956" s="1" t="str">
        <f t="shared" si="592"/>
        <v>Dog House Training</v>
      </c>
      <c r="B2956" s="1" t="str">
        <f t="shared" si="590"/>
        <v>https://m566.info/y1xbobi</v>
      </c>
      <c r="C2956" s="1" t="str">
        <f>HYPERLINK("https://m566.info/y1xbobi","Rotwieller")</f>
        <v>Rotwieller</v>
      </c>
    </row>
    <row r="2957">
      <c r="A2957" s="1" t="str">
        <f t="shared" si="592"/>
        <v>Dog House Training</v>
      </c>
      <c r="B2957" s="1" t="str">
        <f t="shared" si="590"/>
        <v>https://m566.info/y1xbobi</v>
      </c>
      <c r="C2957" s="1" t="str">
        <f>HYPERLINK("https://m566.info/y1xbobi","Cross Bred")</f>
        <v>Cross Bred</v>
      </c>
    </row>
    <row r="2958">
      <c r="A2958" s="1" t="str">
        <f t="shared" si="592"/>
        <v>Dog House Training</v>
      </c>
      <c r="B2958" s="1" t="str">
        <f t="shared" si="590"/>
        <v>https://m566.info/y1xbobi</v>
      </c>
      <c r="C2958" s="1" t="str">
        <f>HYPERLINK("https://m566.info/y1xbobi","Rotweiller")</f>
        <v>Rotweiller</v>
      </c>
    </row>
    <row r="2959">
      <c r="A2959" s="1" t="str">
        <f t="shared" ref="A2959:A2964" si="593">HYPERLINK("https://m566.info/y1xbobi","Dog Behaviour Training")</f>
        <v>Dog Behaviour Training</v>
      </c>
      <c r="B2959" s="1" t="str">
        <f t="shared" si="590"/>
        <v>https://m566.info/y1xbobi</v>
      </c>
      <c r="C2959" s="1" t="str">
        <f>HYPERLINK("https://m566.info/y1xbobi","Doberman")</f>
        <v>Doberman</v>
      </c>
    </row>
    <row r="2960">
      <c r="A2960" s="1" t="str">
        <f t="shared" si="593"/>
        <v>Dog Behaviour Training</v>
      </c>
      <c r="B2960" s="1" t="str">
        <f t="shared" si="590"/>
        <v>https://m566.info/y1xbobi</v>
      </c>
      <c r="C2960" s="1" t="str">
        <f>HYPERLINK("https://m566.info/y1xbobi","German Shepherd")</f>
        <v>German Shepherd</v>
      </c>
    </row>
    <row r="2961">
      <c r="A2961" s="1" t="str">
        <f t="shared" si="593"/>
        <v>Dog Behaviour Training</v>
      </c>
      <c r="B2961" s="1" t="str">
        <f t="shared" si="590"/>
        <v>https://m566.info/y1xbobi</v>
      </c>
      <c r="C2961" s="1" t="str">
        <f>HYPERLINK("https://m566.info/y1xbobi","Border Clollie")</f>
        <v>Border Clollie</v>
      </c>
    </row>
    <row r="2962">
      <c r="A2962" s="1" t="str">
        <f t="shared" si="593"/>
        <v>Dog Behaviour Training</v>
      </c>
      <c r="B2962" s="1" t="str">
        <f t="shared" si="590"/>
        <v>https://m566.info/y1xbobi</v>
      </c>
      <c r="C2962" s="1" t="str">
        <f>HYPERLINK("https://m566.info/y1xbobi","Rotwieller")</f>
        <v>Rotwieller</v>
      </c>
    </row>
    <row r="2963">
      <c r="A2963" s="1" t="str">
        <f t="shared" si="593"/>
        <v>Dog Behaviour Training</v>
      </c>
      <c r="B2963" s="1" t="str">
        <f t="shared" si="590"/>
        <v>https://m566.info/y1xbobi</v>
      </c>
      <c r="C2963" s="1" t="str">
        <f>HYPERLINK("https://m566.info/y1xbobi","Cross Bred")</f>
        <v>Cross Bred</v>
      </c>
    </row>
    <row r="2964">
      <c r="A2964" s="1" t="str">
        <f t="shared" si="593"/>
        <v>Dog Behaviour Training</v>
      </c>
      <c r="B2964" s="1" t="str">
        <f t="shared" si="590"/>
        <v>https://m566.info/y1xbobi</v>
      </c>
      <c r="C2964" s="1" t="str">
        <f>HYPERLINK("https://m566.info/y1xbobi","Rotweiller")</f>
        <v>Rotweiller</v>
      </c>
    </row>
    <row r="2965">
      <c r="A2965" s="1" t="str">
        <f t="shared" ref="A2965:A2970" si="594">HYPERLINK("https://m566.info/y1xbobi","Dog : Elite Training")</f>
        <v>Dog : Elite Training</v>
      </c>
      <c r="B2965" s="1" t="str">
        <f t="shared" si="590"/>
        <v>https://m566.info/y1xbobi</v>
      </c>
      <c r="C2965" s="1" t="str">
        <f>HYPERLINK("https://m566.info/y1xbobi","Doberman")</f>
        <v>Doberman</v>
      </c>
    </row>
    <row r="2966">
      <c r="A2966" s="1" t="str">
        <f t="shared" si="594"/>
        <v>Dog : Elite Training</v>
      </c>
      <c r="B2966" s="1" t="str">
        <f t="shared" si="590"/>
        <v>https://m566.info/y1xbobi</v>
      </c>
      <c r="C2966" s="1" t="str">
        <f>HYPERLINK("https://m566.info/y1xbobi","German Shepherd")</f>
        <v>German Shepherd</v>
      </c>
    </row>
    <row r="2967">
      <c r="A2967" s="1" t="str">
        <f t="shared" si="594"/>
        <v>Dog : Elite Training</v>
      </c>
      <c r="B2967" s="1" t="str">
        <f t="shared" si="590"/>
        <v>https://m566.info/y1xbobi</v>
      </c>
      <c r="C2967" s="1" t="str">
        <f>HYPERLINK("https://m566.info/y1xbobi","Border Clollie")</f>
        <v>Border Clollie</v>
      </c>
    </row>
    <row r="2968">
      <c r="A2968" s="1" t="str">
        <f t="shared" si="594"/>
        <v>Dog : Elite Training</v>
      </c>
      <c r="B2968" s="1" t="str">
        <f t="shared" si="590"/>
        <v>https://m566.info/y1xbobi</v>
      </c>
      <c r="C2968" s="1" t="str">
        <f>HYPERLINK("https://m566.info/y1xbobi","Rotwieller")</f>
        <v>Rotwieller</v>
      </c>
    </row>
    <row r="2969">
      <c r="A2969" s="1" t="str">
        <f t="shared" si="594"/>
        <v>Dog : Elite Training</v>
      </c>
      <c r="B2969" s="1" t="str">
        <f t="shared" si="590"/>
        <v>https://m566.info/y1xbobi</v>
      </c>
      <c r="C2969" s="1" t="str">
        <f>HYPERLINK("https://m566.info/y1xbobi","Cross Bred")</f>
        <v>Cross Bred</v>
      </c>
    </row>
    <row r="2970">
      <c r="A2970" s="1" t="str">
        <f t="shared" si="594"/>
        <v>Dog : Elite Training</v>
      </c>
      <c r="B2970" s="1" t="str">
        <f t="shared" si="590"/>
        <v>https://m566.info/y1xbobi</v>
      </c>
      <c r="C2970" s="1" t="str">
        <f>HYPERLINK("https://m566.info/y1xbobi","Rotweiller")</f>
        <v>Rotweiller</v>
      </c>
    </row>
    <row r="2971">
      <c r="A2971" s="1" t="str">
        <f t="shared" ref="A2971:A2976" si="595">HYPERLINK("https://m566.info/r8h630i","Dog Aggression Training")</f>
        <v>Dog Aggression Training</v>
      </c>
      <c r="B2971" s="1" t="str">
        <f t="shared" ref="B2971:B3000" si="596">HYPERLINK("https://m566.info/r8h630i","https://m566.info/r8h630i")</f>
        <v>https://m566.info/r8h630i</v>
      </c>
      <c r="C2971" s="1" t="str">
        <f>HYPERLINK("https://m566.info/r8h630i","Doberman")</f>
        <v>Doberman</v>
      </c>
    </row>
    <row r="2972">
      <c r="A2972" s="1" t="str">
        <f t="shared" si="595"/>
        <v>Dog Aggression Training</v>
      </c>
      <c r="B2972" s="1" t="str">
        <f t="shared" si="596"/>
        <v>https://m566.info/r8h630i</v>
      </c>
      <c r="C2972" s="1" t="str">
        <f>HYPERLINK("https://m566.info/r8h630i","German Shepherd")</f>
        <v>German Shepherd</v>
      </c>
    </row>
    <row r="2973">
      <c r="A2973" s="1" t="str">
        <f t="shared" si="595"/>
        <v>Dog Aggression Training</v>
      </c>
      <c r="B2973" s="1" t="str">
        <f t="shared" si="596"/>
        <v>https://m566.info/r8h630i</v>
      </c>
      <c r="C2973" s="1" t="str">
        <f>HYPERLINK("https://m566.info/r8h630i","Border Clollie")</f>
        <v>Border Clollie</v>
      </c>
    </row>
    <row r="2974">
      <c r="A2974" s="1" t="str">
        <f t="shared" si="595"/>
        <v>Dog Aggression Training</v>
      </c>
      <c r="B2974" s="1" t="str">
        <f t="shared" si="596"/>
        <v>https://m566.info/r8h630i</v>
      </c>
      <c r="C2974" s="1" t="str">
        <f>HYPERLINK("https://m566.info/r8h630i","Rotwieller")</f>
        <v>Rotwieller</v>
      </c>
    </row>
    <row r="2975">
      <c r="A2975" s="1" t="str">
        <f t="shared" si="595"/>
        <v>Dog Aggression Training</v>
      </c>
      <c r="B2975" s="1" t="str">
        <f t="shared" si="596"/>
        <v>https://m566.info/r8h630i</v>
      </c>
      <c r="C2975" s="1" t="str">
        <f>HYPERLINK("https://m566.info/r8h630i","Cross Bred")</f>
        <v>Cross Bred</v>
      </c>
    </row>
    <row r="2976">
      <c r="A2976" s="1" t="str">
        <f t="shared" si="595"/>
        <v>Dog Aggression Training</v>
      </c>
      <c r="B2976" s="1" t="str">
        <f t="shared" si="596"/>
        <v>https://m566.info/r8h630i</v>
      </c>
      <c r="C2976" s="1" t="str">
        <f>HYPERLINK("https://m566.info/r8h630i","Rotweiller")</f>
        <v>Rotweiller</v>
      </c>
    </row>
    <row r="2977">
      <c r="A2977" s="1" t="str">
        <f t="shared" ref="A2977:A2982" si="597">HYPERLINK("https://m566.info/r8h630i","Dog Obedience Training")</f>
        <v>Dog Obedience Training</v>
      </c>
      <c r="B2977" s="1" t="str">
        <f t="shared" si="596"/>
        <v>https://m566.info/r8h630i</v>
      </c>
      <c r="C2977" s="1" t="str">
        <f>HYPERLINK("https://m566.info/r8h630i","Doberman")</f>
        <v>Doberman</v>
      </c>
    </row>
    <row r="2978">
      <c r="A2978" s="1" t="str">
        <f t="shared" si="597"/>
        <v>Dog Obedience Training</v>
      </c>
      <c r="B2978" s="1" t="str">
        <f t="shared" si="596"/>
        <v>https://m566.info/r8h630i</v>
      </c>
      <c r="C2978" s="1" t="str">
        <f>HYPERLINK("https://m566.info/r8h630i","German Shepherd")</f>
        <v>German Shepherd</v>
      </c>
    </row>
    <row r="2979">
      <c r="A2979" s="1" t="str">
        <f t="shared" si="597"/>
        <v>Dog Obedience Training</v>
      </c>
      <c r="B2979" s="1" t="str">
        <f t="shared" si="596"/>
        <v>https://m566.info/r8h630i</v>
      </c>
      <c r="C2979" s="1" t="str">
        <f>HYPERLINK("https://m566.info/r8h630i","Border Clollie")</f>
        <v>Border Clollie</v>
      </c>
    </row>
    <row r="2980">
      <c r="A2980" s="1" t="str">
        <f t="shared" si="597"/>
        <v>Dog Obedience Training</v>
      </c>
      <c r="B2980" s="1" t="str">
        <f t="shared" si="596"/>
        <v>https://m566.info/r8h630i</v>
      </c>
      <c r="C2980" s="1" t="str">
        <f>HYPERLINK("https://m566.info/r8h630i","Rotwieller")</f>
        <v>Rotwieller</v>
      </c>
    </row>
    <row r="2981">
      <c r="A2981" s="1" t="str">
        <f t="shared" si="597"/>
        <v>Dog Obedience Training</v>
      </c>
      <c r="B2981" s="1" t="str">
        <f t="shared" si="596"/>
        <v>https://m566.info/r8h630i</v>
      </c>
      <c r="C2981" s="1" t="str">
        <f>HYPERLINK("https://m566.info/r8h630i","Cross Bred")</f>
        <v>Cross Bred</v>
      </c>
    </row>
    <row r="2982">
      <c r="A2982" s="1" t="str">
        <f t="shared" si="597"/>
        <v>Dog Obedience Training</v>
      </c>
      <c r="B2982" s="1" t="str">
        <f t="shared" si="596"/>
        <v>https://m566.info/r8h630i</v>
      </c>
      <c r="C2982" s="1" t="str">
        <f>HYPERLINK("https://m566.info/r8h630i","Rotweiller")</f>
        <v>Rotweiller</v>
      </c>
    </row>
    <row r="2983">
      <c r="A2983" s="1" t="str">
        <f t="shared" ref="A2983:A2988" si="598">HYPERLINK("https://m566.info/r8h630i","Dog House Training")</f>
        <v>Dog House Training</v>
      </c>
      <c r="B2983" s="1" t="str">
        <f t="shared" si="596"/>
        <v>https://m566.info/r8h630i</v>
      </c>
      <c r="C2983" s="1" t="str">
        <f>HYPERLINK("https://m566.info/r8h630i","Doberman")</f>
        <v>Doberman</v>
      </c>
    </row>
    <row r="2984">
      <c r="A2984" s="1" t="str">
        <f t="shared" si="598"/>
        <v>Dog House Training</v>
      </c>
      <c r="B2984" s="1" t="str">
        <f t="shared" si="596"/>
        <v>https://m566.info/r8h630i</v>
      </c>
      <c r="C2984" s="1" t="str">
        <f>HYPERLINK("https://m566.info/r8h630i","German Shepherd")</f>
        <v>German Shepherd</v>
      </c>
    </row>
    <row r="2985">
      <c r="A2985" s="1" t="str">
        <f t="shared" si="598"/>
        <v>Dog House Training</v>
      </c>
      <c r="B2985" s="1" t="str">
        <f t="shared" si="596"/>
        <v>https://m566.info/r8h630i</v>
      </c>
      <c r="C2985" s="1" t="str">
        <f>HYPERLINK("https://m566.info/r8h630i","Border Clollie")</f>
        <v>Border Clollie</v>
      </c>
    </row>
    <row r="2986">
      <c r="A2986" s="1" t="str">
        <f t="shared" si="598"/>
        <v>Dog House Training</v>
      </c>
      <c r="B2986" s="1" t="str">
        <f t="shared" si="596"/>
        <v>https://m566.info/r8h630i</v>
      </c>
      <c r="C2986" s="1" t="str">
        <f>HYPERLINK("https://m566.info/r8h630i","Rotwieller")</f>
        <v>Rotwieller</v>
      </c>
    </row>
    <row r="2987">
      <c r="A2987" s="1" t="str">
        <f t="shared" si="598"/>
        <v>Dog House Training</v>
      </c>
      <c r="B2987" s="1" t="str">
        <f t="shared" si="596"/>
        <v>https://m566.info/r8h630i</v>
      </c>
      <c r="C2987" s="1" t="str">
        <f>HYPERLINK("https://m566.info/r8h630i","Cross Bred")</f>
        <v>Cross Bred</v>
      </c>
    </row>
    <row r="2988">
      <c r="A2988" s="1" t="str">
        <f t="shared" si="598"/>
        <v>Dog House Training</v>
      </c>
      <c r="B2988" s="1" t="str">
        <f t="shared" si="596"/>
        <v>https://m566.info/r8h630i</v>
      </c>
      <c r="C2988" s="1" t="str">
        <f>HYPERLINK("https://m566.info/r8h630i","Rotweiller")</f>
        <v>Rotweiller</v>
      </c>
    </row>
    <row r="2989">
      <c r="A2989" s="1" t="str">
        <f t="shared" ref="A2989:A2994" si="599">HYPERLINK("https://m566.info/r8h630i","Dog Behaviour Training")</f>
        <v>Dog Behaviour Training</v>
      </c>
      <c r="B2989" s="1" t="str">
        <f t="shared" si="596"/>
        <v>https://m566.info/r8h630i</v>
      </c>
      <c r="C2989" s="1" t="str">
        <f>HYPERLINK("https://m566.info/r8h630i","Doberman")</f>
        <v>Doberman</v>
      </c>
    </row>
    <row r="2990">
      <c r="A2990" s="1" t="str">
        <f t="shared" si="599"/>
        <v>Dog Behaviour Training</v>
      </c>
      <c r="B2990" s="1" t="str">
        <f t="shared" si="596"/>
        <v>https://m566.info/r8h630i</v>
      </c>
      <c r="C2990" s="1" t="str">
        <f>HYPERLINK("https://m566.info/r8h630i","German Shepherd")</f>
        <v>German Shepherd</v>
      </c>
    </row>
    <row r="2991">
      <c r="A2991" s="1" t="str">
        <f t="shared" si="599"/>
        <v>Dog Behaviour Training</v>
      </c>
      <c r="B2991" s="1" t="str">
        <f t="shared" si="596"/>
        <v>https://m566.info/r8h630i</v>
      </c>
      <c r="C2991" s="1" t="str">
        <f>HYPERLINK("https://m566.info/r8h630i","Border Clollie")</f>
        <v>Border Clollie</v>
      </c>
    </row>
    <row r="2992">
      <c r="A2992" s="1" t="str">
        <f t="shared" si="599"/>
        <v>Dog Behaviour Training</v>
      </c>
      <c r="B2992" s="1" t="str">
        <f t="shared" si="596"/>
        <v>https://m566.info/r8h630i</v>
      </c>
      <c r="C2992" s="1" t="str">
        <f>HYPERLINK("https://m566.info/r8h630i","Rotwieller")</f>
        <v>Rotwieller</v>
      </c>
    </row>
    <row r="2993">
      <c r="A2993" s="1" t="str">
        <f t="shared" si="599"/>
        <v>Dog Behaviour Training</v>
      </c>
      <c r="B2993" s="1" t="str">
        <f t="shared" si="596"/>
        <v>https://m566.info/r8h630i</v>
      </c>
      <c r="C2993" s="1" t="str">
        <f>HYPERLINK("https://m566.info/r8h630i","Cross Bred")</f>
        <v>Cross Bred</v>
      </c>
    </row>
    <row r="2994">
      <c r="A2994" s="1" t="str">
        <f t="shared" si="599"/>
        <v>Dog Behaviour Training</v>
      </c>
      <c r="B2994" s="1" t="str">
        <f t="shared" si="596"/>
        <v>https://m566.info/r8h630i</v>
      </c>
      <c r="C2994" s="1" t="str">
        <f>HYPERLINK("https://m566.info/r8h630i","Rotweiller")</f>
        <v>Rotweiller</v>
      </c>
    </row>
    <row r="2995">
      <c r="A2995" s="1" t="str">
        <f t="shared" ref="A2995:A3000" si="600">HYPERLINK("https://m566.info/r8h630i","Dog : Elite Training")</f>
        <v>Dog : Elite Training</v>
      </c>
      <c r="B2995" s="1" t="str">
        <f t="shared" si="596"/>
        <v>https://m566.info/r8h630i</v>
      </c>
      <c r="C2995" s="1" t="str">
        <f>HYPERLINK("https://m566.info/r8h630i","Doberman")</f>
        <v>Doberman</v>
      </c>
    </row>
    <row r="2996">
      <c r="A2996" s="1" t="str">
        <f t="shared" si="600"/>
        <v>Dog : Elite Training</v>
      </c>
      <c r="B2996" s="1" t="str">
        <f t="shared" si="596"/>
        <v>https://m566.info/r8h630i</v>
      </c>
      <c r="C2996" s="1" t="str">
        <f>HYPERLINK("https://m566.info/r8h630i","German Shepherd")</f>
        <v>German Shepherd</v>
      </c>
    </row>
    <row r="2997">
      <c r="A2997" s="1" t="str">
        <f t="shared" si="600"/>
        <v>Dog : Elite Training</v>
      </c>
      <c r="B2997" s="1" t="str">
        <f t="shared" si="596"/>
        <v>https://m566.info/r8h630i</v>
      </c>
      <c r="C2997" s="1" t="str">
        <f>HYPERLINK("https://m566.info/r8h630i","Border Clollie")</f>
        <v>Border Clollie</v>
      </c>
    </row>
    <row r="2998">
      <c r="A2998" s="1" t="str">
        <f t="shared" si="600"/>
        <v>Dog : Elite Training</v>
      </c>
      <c r="B2998" s="1" t="str">
        <f t="shared" si="596"/>
        <v>https://m566.info/r8h630i</v>
      </c>
      <c r="C2998" s="1" t="str">
        <f>HYPERLINK("https://m566.info/r8h630i","Rotwieller")</f>
        <v>Rotwieller</v>
      </c>
    </row>
    <row r="2999">
      <c r="A2999" s="1" t="str">
        <f t="shared" si="600"/>
        <v>Dog : Elite Training</v>
      </c>
      <c r="B2999" s="1" t="str">
        <f t="shared" si="596"/>
        <v>https://m566.info/r8h630i</v>
      </c>
      <c r="C2999" s="1" t="str">
        <f>HYPERLINK("https://m566.info/r8h630i","Cross Bred")</f>
        <v>Cross Bred</v>
      </c>
    </row>
    <row r="3000">
      <c r="A3000" s="1" t="str">
        <f t="shared" si="600"/>
        <v>Dog : Elite Training</v>
      </c>
      <c r="B3000" s="1" t="str">
        <f t="shared" si="596"/>
        <v>https://m566.info/r8h630i</v>
      </c>
      <c r="C3000" s="1" t="str">
        <f>HYPERLINK("https://m566.info/r8h630i","Rotweiller")</f>
        <v>Rotweiller</v>
      </c>
    </row>
    <row r="3001">
      <c r="A3001" s="2" t="str">
        <f t="shared" ref="A3001:A3006" si="601">HYPERLINK("https://get-complete-dog-training.s3.amazonaws.com/index.html","Dog Obedience Training")</f>
        <v>Dog Obedience Training</v>
      </c>
      <c r="B3001" s="2" t="str">
        <f t="shared" ref="B3001:B3030" si="602">HYPERLINK("https://get-complete-dog-training.s3.amazonaws.com/index.html","https://get-complete-dog-training.s3.amazonaws.com/index.html")</f>
        <v>https://get-complete-dog-training.s3.amazonaws.com/index.html</v>
      </c>
      <c r="C3001" s="3" t="str">
        <f>HYPERLINK("https://get-complete-dog-training.s3.amazonaws.com/index.html","German Shepherd")</f>
        <v>German Shepherd</v>
      </c>
    </row>
    <row r="3002">
      <c r="A3002" s="2" t="str">
        <f t="shared" si="601"/>
        <v>Dog Obedience Training</v>
      </c>
      <c r="B3002" s="2" t="str">
        <f t="shared" si="602"/>
        <v>https://get-complete-dog-training.s3.amazonaws.com/index.html</v>
      </c>
      <c r="C3002" s="2" t="str">
        <f>HYPERLINK("https://get-complete-dog-training.s3.amazonaws.com/index.html","Border Clollie")</f>
        <v>Border Clollie</v>
      </c>
    </row>
    <row r="3003">
      <c r="A3003" s="2" t="str">
        <f t="shared" si="601"/>
        <v>Dog Obedience Training</v>
      </c>
      <c r="B3003" s="2" t="str">
        <f t="shared" si="602"/>
        <v>https://get-complete-dog-training.s3.amazonaws.com/index.html</v>
      </c>
      <c r="C3003" s="2" t="str">
        <f>HYPERLINK("https://get-complete-dog-training.s3.amazonaws.com/index.html","Doberman")</f>
        <v>Doberman</v>
      </c>
    </row>
    <row r="3004">
      <c r="A3004" s="2" t="str">
        <f t="shared" si="601"/>
        <v>Dog Obedience Training</v>
      </c>
      <c r="B3004" s="2" t="str">
        <f t="shared" si="602"/>
        <v>https://get-complete-dog-training.s3.amazonaws.com/index.html</v>
      </c>
      <c r="C3004" s="2" t="str">
        <f>HYPERLINK("https://get-complete-dog-training.s3.amazonaws.com/index.html","Rotweiller")</f>
        <v>Rotweiller</v>
      </c>
    </row>
    <row r="3005">
      <c r="A3005" s="2" t="str">
        <f t="shared" si="601"/>
        <v>Dog Obedience Training</v>
      </c>
      <c r="B3005" s="2" t="str">
        <f t="shared" si="602"/>
        <v>https://get-complete-dog-training.s3.amazonaws.com/index.html</v>
      </c>
      <c r="C3005" s="2" t="str">
        <f>HYPERLINK("https://get-complete-dog-training.s3.amazonaws.com/index.html","Rotwieller")</f>
        <v>Rotwieller</v>
      </c>
    </row>
    <row r="3006">
      <c r="A3006" s="2" t="str">
        <f t="shared" si="601"/>
        <v>Dog Obedience Training</v>
      </c>
      <c r="B3006" s="2" t="str">
        <f t="shared" si="602"/>
        <v>https://get-complete-dog-training.s3.amazonaws.com/index.html</v>
      </c>
      <c r="C3006" s="2" t="str">
        <f>HYPERLINK("https://get-complete-dog-training.s3.amazonaws.com/index.html","Cross Bred")</f>
        <v>Cross Bred</v>
      </c>
    </row>
    <row r="3007">
      <c r="A3007" s="2" t="str">
        <f t="shared" ref="A3007:A3012" si="603">HYPERLINK("https://get-complete-dog-training.s3.amazonaws.com/index.html","Dog House Training")</f>
        <v>Dog House Training</v>
      </c>
      <c r="B3007" s="2" t="str">
        <f t="shared" si="602"/>
        <v>https://get-complete-dog-training.s3.amazonaws.com/index.html</v>
      </c>
      <c r="C3007" s="3" t="str">
        <f>HYPERLINK("https://get-complete-dog-training.s3.amazonaws.com/index.html","German Shepherd")</f>
        <v>German Shepherd</v>
      </c>
    </row>
    <row r="3008">
      <c r="A3008" s="2" t="str">
        <f t="shared" si="603"/>
        <v>Dog House Training</v>
      </c>
      <c r="B3008" s="2" t="str">
        <f t="shared" si="602"/>
        <v>https://get-complete-dog-training.s3.amazonaws.com/index.html</v>
      </c>
      <c r="C3008" s="2" t="str">
        <f>HYPERLINK("https://get-complete-dog-training.s3.amazonaws.com/index.html","Border Clollie")</f>
        <v>Border Clollie</v>
      </c>
    </row>
    <row r="3009">
      <c r="A3009" s="2" t="str">
        <f t="shared" si="603"/>
        <v>Dog House Training</v>
      </c>
      <c r="B3009" s="2" t="str">
        <f t="shared" si="602"/>
        <v>https://get-complete-dog-training.s3.amazonaws.com/index.html</v>
      </c>
      <c r="C3009" s="2" t="str">
        <f>HYPERLINK("https://get-complete-dog-training.s3.amazonaws.com/index.html","Doberman")</f>
        <v>Doberman</v>
      </c>
    </row>
    <row r="3010">
      <c r="A3010" s="2" t="str">
        <f t="shared" si="603"/>
        <v>Dog House Training</v>
      </c>
      <c r="B3010" s="2" t="str">
        <f t="shared" si="602"/>
        <v>https://get-complete-dog-training.s3.amazonaws.com/index.html</v>
      </c>
      <c r="C3010" s="2" t="str">
        <f>HYPERLINK("https://get-complete-dog-training.s3.amazonaws.com/index.html","Rotweiller")</f>
        <v>Rotweiller</v>
      </c>
    </row>
    <row r="3011">
      <c r="A3011" s="2" t="str">
        <f t="shared" si="603"/>
        <v>Dog House Training</v>
      </c>
      <c r="B3011" s="2" t="str">
        <f t="shared" si="602"/>
        <v>https://get-complete-dog-training.s3.amazonaws.com/index.html</v>
      </c>
      <c r="C3011" s="2" t="str">
        <f>HYPERLINK("https://get-complete-dog-training.s3.amazonaws.com/index.html","Rotwieller")</f>
        <v>Rotwieller</v>
      </c>
    </row>
    <row r="3012">
      <c r="A3012" s="2" t="str">
        <f t="shared" si="603"/>
        <v>Dog House Training</v>
      </c>
      <c r="B3012" s="2" t="str">
        <f t="shared" si="602"/>
        <v>https://get-complete-dog-training.s3.amazonaws.com/index.html</v>
      </c>
      <c r="C3012" s="2" t="str">
        <f>HYPERLINK("https://get-complete-dog-training.s3.amazonaws.com/index.html","Cross Bred")</f>
        <v>Cross Bred</v>
      </c>
    </row>
    <row r="3013">
      <c r="A3013" s="2" t="str">
        <f t="shared" ref="A3013:A3018" si="604">HYPERLINK("https://get-complete-dog-training.s3.amazonaws.com/index.html","Dog Aggression Training")</f>
        <v>Dog Aggression Training</v>
      </c>
      <c r="B3013" s="2" t="str">
        <f t="shared" si="602"/>
        <v>https://get-complete-dog-training.s3.amazonaws.com/index.html</v>
      </c>
      <c r="C3013" s="3" t="str">
        <f>HYPERLINK("https://get-complete-dog-training.s3.amazonaws.com/index.html","German Shepherd")</f>
        <v>German Shepherd</v>
      </c>
    </row>
    <row r="3014">
      <c r="A3014" s="2" t="str">
        <f t="shared" si="604"/>
        <v>Dog Aggression Training</v>
      </c>
      <c r="B3014" s="2" t="str">
        <f t="shared" si="602"/>
        <v>https://get-complete-dog-training.s3.amazonaws.com/index.html</v>
      </c>
      <c r="C3014" s="2" t="str">
        <f>HYPERLINK("https://get-complete-dog-training.s3.amazonaws.com/index.html","Border Clollie")</f>
        <v>Border Clollie</v>
      </c>
    </row>
    <row r="3015">
      <c r="A3015" s="2" t="str">
        <f t="shared" si="604"/>
        <v>Dog Aggression Training</v>
      </c>
      <c r="B3015" s="2" t="str">
        <f t="shared" si="602"/>
        <v>https://get-complete-dog-training.s3.amazonaws.com/index.html</v>
      </c>
      <c r="C3015" s="2" t="str">
        <f>HYPERLINK("https://get-complete-dog-training.s3.amazonaws.com/index.html","Doberman")</f>
        <v>Doberman</v>
      </c>
    </row>
    <row r="3016">
      <c r="A3016" s="2" t="str">
        <f t="shared" si="604"/>
        <v>Dog Aggression Training</v>
      </c>
      <c r="B3016" s="2" t="str">
        <f t="shared" si="602"/>
        <v>https://get-complete-dog-training.s3.amazonaws.com/index.html</v>
      </c>
      <c r="C3016" s="2" t="str">
        <f>HYPERLINK("https://get-complete-dog-training.s3.amazonaws.com/index.html","Rotweiller")</f>
        <v>Rotweiller</v>
      </c>
    </row>
    <row r="3017">
      <c r="A3017" s="2" t="str">
        <f t="shared" si="604"/>
        <v>Dog Aggression Training</v>
      </c>
      <c r="B3017" s="2" t="str">
        <f t="shared" si="602"/>
        <v>https://get-complete-dog-training.s3.amazonaws.com/index.html</v>
      </c>
      <c r="C3017" s="2" t="str">
        <f>HYPERLINK("https://get-complete-dog-training.s3.amazonaws.com/index.html","Rotwieller")</f>
        <v>Rotwieller</v>
      </c>
    </row>
    <row r="3018">
      <c r="A3018" s="2" t="str">
        <f t="shared" si="604"/>
        <v>Dog Aggression Training</v>
      </c>
      <c r="B3018" s="2" t="str">
        <f t="shared" si="602"/>
        <v>https://get-complete-dog-training.s3.amazonaws.com/index.html</v>
      </c>
      <c r="C3018" s="2" t="str">
        <f>HYPERLINK("https://get-complete-dog-training.s3.amazonaws.com/index.html","Cross Bred")</f>
        <v>Cross Bred</v>
      </c>
    </row>
    <row r="3019">
      <c r="A3019" s="2" t="str">
        <f t="shared" ref="A3019:A3024" si="605">HYPERLINK("https://get-complete-dog-training.s3.amazonaws.com/index.html","Dog Behaviour Training")</f>
        <v>Dog Behaviour Training</v>
      </c>
      <c r="B3019" s="2" t="str">
        <f t="shared" si="602"/>
        <v>https://get-complete-dog-training.s3.amazonaws.com/index.html</v>
      </c>
      <c r="C3019" s="3" t="str">
        <f>HYPERLINK("https://get-complete-dog-training.s3.amazonaws.com/index.html","German Shepherd")</f>
        <v>German Shepherd</v>
      </c>
    </row>
    <row r="3020">
      <c r="A3020" s="2" t="str">
        <f t="shared" si="605"/>
        <v>Dog Behaviour Training</v>
      </c>
      <c r="B3020" s="2" t="str">
        <f t="shared" si="602"/>
        <v>https://get-complete-dog-training.s3.amazonaws.com/index.html</v>
      </c>
      <c r="C3020" s="2" t="str">
        <f>HYPERLINK("https://get-complete-dog-training.s3.amazonaws.com/index.html","Border Clollie")</f>
        <v>Border Clollie</v>
      </c>
    </row>
    <row r="3021">
      <c r="A3021" s="2" t="str">
        <f t="shared" si="605"/>
        <v>Dog Behaviour Training</v>
      </c>
      <c r="B3021" s="2" t="str">
        <f t="shared" si="602"/>
        <v>https://get-complete-dog-training.s3.amazonaws.com/index.html</v>
      </c>
      <c r="C3021" s="2" t="str">
        <f>HYPERLINK("https://get-complete-dog-training.s3.amazonaws.com/index.html","Doberman")</f>
        <v>Doberman</v>
      </c>
    </row>
    <row r="3022">
      <c r="A3022" s="2" t="str">
        <f t="shared" si="605"/>
        <v>Dog Behaviour Training</v>
      </c>
      <c r="B3022" s="2" t="str">
        <f t="shared" si="602"/>
        <v>https://get-complete-dog-training.s3.amazonaws.com/index.html</v>
      </c>
      <c r="C3022" s="2" t="str">
        <f>HYPERLINK("https://get-complete-dog-training.s3.amazonaws.com/index.html","Rotweiller")</f>
        <v>Rotweiller</v>
      </c>
    </row>
    <row r="3023">
      <c r="A3023" s="2" t="str">
        <f t="shared" si="605"/>
        <v>Dog Behaviour Training</v>
      </c>
      <c r="B3023" s="2" t="str">
        <f t="shared" si="602"/>
        <v>https://get-complete-dog-training.s3.amazonaws.com/index.html</v>
      </c>
      <c r="C3023" s="2" t="str">
        <f>HYPERLINK("https://get-complete-dog-training.s3.amazonaws.com/index.html","Rotwieller")</f>
        <v>Rotwieller</v>
      </c>
    </row>
    <row r="3024">
      <c r="A3024" s="2" t="str">
        <f t="shared" si="605"/>
        <v>Dog Behaviour Training</v>
      </c>
      <c r="B3024" s="2" t="str">
        <f t="shared" si="602"/>
        <v>https://get-complete-dog-training.s3.amazonaws.com/index.html</v>
      </c>
      <c r="C3024" s="2" t="str">
        <f>HYPERLINK("https://get-complete-dog-training.s3.amazonaws.com/index.html","Cross Bred")</f>
        <v>Cross Bred</v>
      </c>
    </row>
    <row r="3025">
      <c r="A3025" s="2" t="str">
        <f t="shared" ref="A3025:A3030" si="606">HYPERLINK("https://get-complete-dog-training.s3.amazonaws.com/index.html","Dog : Elite Training")</f>
        <v>Dog : Elite Training</v>
      </c>
      <c r="B3025" s="2" t="str">
        <f t="shared" si="602"/>
        <v>https://get-complete-dog-training.s3.amazonaws.com/index.html</v>
      </c>
      <c r="C3025" s="3" t="str">
        <f>HYPERLINK("https://get-complete-dog-training.s3.amazonaws.com/index.html","German Shepherd")</f>
        <v>German Shepherd</v>
      </c>
    </row>
    <row r="3026">
      <c r="A3026" s="2" t="str">
        <f t="shared" si="606"/>
        <v>Dog : Elite Training</v>
      </c>
      <c r="B3026" s="2" t="str">
        <f t="shared" si="602"/>
        <v>https://get-complete-dog-training.s3.amazonaws.com/index.html</v>
      </c>
      <c r="C3026" s="2" t="str">
        <f>HYPERLINK("https://get-complete-dog-training.s3.amazonaws.com/index.html","Border Clollie")</f>
        <v>Border Clollie</v>
      </c>
    </row>
    <row r="3027">
      <c r="A3027" s="2" t="str">
        <f t="shared" si="606"/>
        <v>Dog : Elite Training</v>
      </c>
      <c r="B3027" s="2" t="str">
        <f t="shared" si="602"/>
        <v>https://get-complete-dog-training.s3.amazonaws.com/index.html</v>
      </c>
      <c r="C3027" s="2" t="str">
        <f>HYPERLINK("https://get-complete-dog-training.s3.amazonaws.com/index.html","Doberman")</f>
        <v>Doberman</v>
      </c>
    </row>
    <row r="3028">
      <c r="A3028" s="2" t="str">
        <f t="shared" si="606"/>
        <v>Dog : Elite Training</v>
      </c>
      <c r="B3028" s="2" t="str">
        <f t="shared" si="602"/>
        <v>https://get-complete-dog-training.s3.amazonaws.com/index.html</v>
      </c>
      <c r="C3028" s="2" t="str">
        <f>HYPERLINK("https://get-complete-dog-training.s3.amazonaws.com/index.html","Rotweiller")</f>
        <v>Rotweiller</v>
      </c>
    </row>
    <row r="3029">
      <c r="A3029" s="2" t="str">
        <f t="shared" si="606"/>
        <v>Dog : Elite Training</v>
      </c>
      <c r="B3029" s="2" t="str">
        <f t="shared" si="602"/>
        <v>https://get-complete-dog-training.s3.amazonaws.com/index.html</v>
      </c>
      <c r="C3029" s="2" t="str">
        <f>HYPERLINK("https://get-complete-dog-training.s3.amazonaws.com/index.html","Rotwieller")</f>
        <v>Rotwieller</v>
      </c>
    </row>
    <row r="3030">
      <c r="A3030" s="2" t="str">
        <f t="shared" si="606"/>
        <v>Dog : Elite Training</v>
      </c>
      <c r="B3030" s="2" t="str">
        <f t="shared" si="602"/>
        <v>https://get-complete-dog-training.s3.amazonaws.com/index.html</v>
      </c>
      <c r="C3030" s="2" t="str">
        <f>HYPERLINK("https://get-complete-dog-training.s3.amazonaws.com/index.html","Cross Bred")</f>
        <v>Cross Bred</v>
      </c>
    </row>
    <row r="3031">
      <c r="A3031" s="2" t="str">
        <f t="shared" ref="A3031:A3036" si="607">HYPERLINK("https://get-complete-dog-training.s3.amazonaws.com/sitemap1.xml","Dog Obedience Training")</f>
        <v>Dog Obedience Training</v>
      </c>
      <c r="B3031" s="2" t="str">
        <f t="shared" ref="B3031:B3060" si="608">HYPERLINK("https://get-complete-dog-training.s3.amazonaws.com/sitemap1.xml","https://get-complete-dog-training.s3.amazonaws.com/sitemap1.xml")</f>
        <v>https://get-complete-dog-training.s3.amazonaws.com/sitemap1.xml</v>
      </c>
      <c r="C3031" s="3" t="str">
        <f>HYPERLINK("https://get-complete-dog-training.s3.amazonaws.com/sitemap1.xml","German Shepherd")</f>
        <v>German Shepherd</v>
      </c>
    </row>
    <row r="3032">
      <c r="A3032" s="2" t="str">
        <f t="shared" si="607"/>
        <v>Dog Obedience Training</v>
      </c>
      <c r="B3032" s="2" t="str">
        <f t="shared" si="608"/>
        <v>https://get-complete-dog-training.s3.amazonaws.com/sitemap1.xml</v>
      </c>
      <c r="C3032" s="2" t="str">
        <f>HYPERLINK("https://get-complete-dog-training.s3.amazonaws.com/sitemap1.xml","Border Clollie")</f>
        <v>Border Clollie</v>
      </c>
    </row>
    <row r="3033">
      <c r="A3033" s="2" t="str">
        <f t="shared" si="607"/>
        <v>Dog Obedience Training</v>
      </c>
      <c r="B3033" s="2" t="str">
        <f t="shared" si="608"/>
        <v>https://get-complete-dog-training.s3.amazonaws.com/sitemap1.xml</v>
      </c>
      <c r="C3033" s="2" t="str">
        <f>HYPERLINK("https://get-complete-dog-training.s3.amazonaws.com/sitemap1.xml","Doberman")</f>
        <v>Doberman</v>
      </c>
    </row>
    <row r="3034">
      <c r="A3034" s="2" t="str">
        <f t="shared" si="607"/>
        <v>Dog Obedience Training</v>
      </c>
      <c r="B3034" s="2" t="str">
        <f t="shared" si="608"/>
        <v>https://get-complete-dog-training.s3.amazonaws.com/sitemap1.xml</v>
      </c>
      <c r="C3034" s="2" t="str">
        <f>HYPERLINK("https://get-complete-dog-training.s3.amazonaws.com/sitemap1.xml","Rotweiller")</f>
        <v>Rotweiller</v>
      </c>
    </row>
    <row r="3035">
      <c r="A3035" s="2" t="str">
        <f t="shared" si="607"/>
        <v>Dog Obedience Training</v>
      </c>
      <c r="B3035" s="2" t="str">
        <f t="shared" si="608"/>
        <v>https://get-complete-dog-training.s3.amazonaws.com/sitemap1.xml</v>
      </c>
      <c r="C3035" s="2" t="str">
        <f>HYPERLINK("https://get-complete-dog-training.s3.amazonaws.com/sitemap1.xml","Rotwieller")</f>
        <v>Rotwieller</v>
      </c>
    </row>
    <row r="3036">
      <c r="A3036" s="2" t="str">
        <f t="shared" si="607"/>
        <v>Dog Obedience Training</v>
      </c>
      <c r="B3036" s="2" t="str">
        <f t="shared" si="608"/>
        <v>https://get-complete-dog-training.s3.amazonaws.com/sitemap1.xml</v>
      </c>
      <c r="C3036" s="2" t="str">
        <f>HYPERLINK("https://get-complete-dog-training.s3.amazonaws.com/sitemap1.xml","Cross Bred")</f>
        <v>Cross Bred</v>
      </c>
    </row>
    <row r="3037">
      <c r="A3037" s="2" t="str">
        <f t="shared" ref="A3037:A3042" si="609">HYPERLINK("https://get-complete-dog-training.s3.amazonaws.com/sitemap1.xml","Dog House Training")</f>
        <v>Dog House Training</v>
      </c>
      <c r="B3037" s="2" t="str">
        <f t="shared" si="608"/>
        <v>https://get-complete-dog-training.s3.amazonaws.com/sitemap1.xml</v>
      </c>
      <c r="C3037" s="3" t="str">
        <f>HYPERLINK("https://get-complete-dog-training.s3.amazonaws.com/sitemap1.xml","German Shepherd")</f>
        <v>German Shepherd</v>
      </c>
    </row>
    <row r="3038">
      <c r="A3038" s="2" t="str">
        <f t="shared" si="609"/>
        <v>Dog House Training</v>
      </c>
      <c r="B3038" s="2" t="str">
        <f t="shared" si="608"/>
        <v>https://get-complete-dog-training.s3.amazonaws.com/sitemap1.xml</v>
      </c>
      <c r="C3038" s="2" t="str">
        <f>HYPERLINK("https://get-complete-dog-training.s3.amazonaws.com/sitemap1.xml","Border Clollie")</f>
        <v>Border Clollie</v>
      </c>
    </row>
    <row r="3039">
      <c r="A3039" s="2" t="str">
        <f t="shared" si="609"/>
        <v>Dog House Training</v>
      </c>
      <c r="B3039" s="2" t="str">
        <f t="shared" si="608"/>
        <v>https://get-complete-dog-training.s3.amazonaws.com/sitemap1.xml</v>
      </c>
      <c r="C3039" s="2" t="str">
        <f>HYPERLINK("https://get-complete-dog-training.s3.amazonaws.com/sitemap1.xml","Doberman")</f>
        <v>Doberman</v>
      </c>
    </row>
    <row r="3040">
      <c r="A3040" s="2" t="str">
        <f t="shared" si="609"/>
        <v>Dog House Training</v>
      </c>
      <c r="B3040" s="2" t="str">
        <f t="shared" si="608"/>
        <v>https://get-complete-dog-training.s3.amazonaws.com/sitemap1.xml</v>
      </c>
      <c r="C3040" s="2" t="str">
        <f>HYPERLINK("https://get-complete-dog-training.s3.amazonaws.com/sitemap1.xml","Rotweiller")</f>
        <v>Rotweiller</v>
      </c>
    </row>
    <row r="3041">
      <c r="A3041" s="2" t="str">
        <f t="shared" si="609"/>
        <v>Dog House Training</v>
      </c>
      <c r="B3041" s="2" t="str">
        <f t="shared" si="608"/>
        <v>https://get-complete-dog-training.s3.amazonaws.com/sitemap1.xml</v>
      </c>
      <c r="C3041" s="2" t="str">
        <f>HYPERLINK("https://get-complete-dog-training.s3.amazonaws.com/sitemap1.xml","Rotwieller")</f>
        <v>Rotwieller</v>
      </c>
    </row>
    <row r="3042">
      <c r="A3042" s="2" t="str">
        <f t="shared" si="609"/>
        <v>Dog House Training</v>
      </c>
      <c r="B3042" s="2" t="str">
        <f t="shared" si="608"/>
        <v>https://get-complete-dog-training.s3.amazonaws.com/sitemap1.xml</v>
      </c>
      <c r="C3042" s="2" t="str">
        <f>HYPERLINK("https://get-complete-dog-training.s3.amazonaws.com/sitemap1.xml","Cross Bred")</f>
        <v>Cross Bred</v>
      </c>
    </row>
    <row r="3043">
      <c r="A3043" s="2" t="str">
        <f t="shared" ref="A3043:A3048" si="610">HYPERLINK("https://get-complete-dog-training.s3.amazonaws.com/sitemap1.xml","Dog Aggression Training")</f>
        <v>Dog Aggression Training</v>
      </c>
      <c r="B3043" s="2" t="str">
        <f t="shared" si="608"/>
        <v>https://get-complete-dog-training.s3.amazonaws.com/sitemap1.xml</v>
      </c>
      <c r="C3043" s="3" t="str">
        <f>HYPERLINK("https://get-complete-dog-training.s3.amazonaws.com/sitemap1.xml","German Shepherd")</f>
        <v>German Shepherd</v>
      </c>
    </row>
    <row r="3044">
      <c r="A3044" s="2" t="str">
        <f t="shared" si="610"/>
        <v>Dog Aggression Training</v>
      </c>
      <c r="B3044" s="2" t="str">
        <f t="shared" si="608"/>
        <v>https://get-complete-dog-training.s3.amazonaws.com/sitemap1.xml</v>
      </c>
      <c r="C3044" s="2" t="str">
        <f>HYPERLINK("https://get-complete-dog-training.s3.amazonaws.com/sitemap1.xml","Border Clollie")</f>
        <v>Border Clollie</v>
      </c>
    </row>
    <row r="3045">
      <c r="A3045" s="2" t="str">
        <f t="shared" si="610"/>
        <v>Dog Aggression Training</v>
      </c>
      <c r="B3045" s="2" t="str">
        <f t="shared" si="608"/>
        <v>https://get-complete-dog-training.s3.amazonaws.com/sitemap1.xml</v>
      </c>
      <c r="C3045" s="2" t="str">
        <f>HYPERLINK("https://get-complete-dog-training.s3.amazonaws.com/sitemap1.xml","Doberman")</f>
        <v>Doberman</v>
      </c>
    </row>
    <row r="3046">
      <c r="A3046" s="2" t="str">
        <f t="shared" si="610"/>
        <v>Dog Aggression Training</v>
      </c>
      <c r="B3046" s="2" t="str">
        <f t="shared" si="608"/>
        <v>https://get-complete-dog-training.s3.amazonaws.com/sitemap1.xml</v>
      </c>
      <c r="C3046" s="2" t="str">
        <f>HYPERLINK("https://get-complete-dog-training.s3.amazonaws.com/sitemap1.xml","Rotweiller")</f>
        <v>Rotweiller</v>
      </c>
    </row>
    <row r="3047">
      <c r="A3047" s="2" t="str">
        <f t="shared" si="610"/>
        <v>Dog Aggression Training</v>
      </c>
      <c r="B3047" s="2" t="str">
        <f t="shared" si="608"/>
        <v>https://get-complete-dog-training.s3.amazonaws.com/sitemap1.xml</v>
      </c>
      <c r="C3047" s="2" t="str">
        <f>HYPERLINK("https://get-complete-dog-training.s3.amazonaws.com/sitemap1.xml","Rotwieller")</f>
        <v>Rotwieller</v>
      </c>
    </row>
    <row r="3048">
      <c r="A3048" s="2" t="str">
        <f t="shared" si="610"/>
        <v>Dog Aggression Training</v>
      </c>
      <c r="B3048" s="2" t="str">
        <f t="shared" si="608"/>
        <v>https://get-complete-dog-training.s3.amazonaws.com/sitemap1.xml</v>
      </c>
      <c r="C3048" s="2" t="str">
        <f>HYPERLINK("https://get-complete-dog-training.s3.amazonaws.com/sitemap1.xml","Cross Bred")</f>
        <v>Cross Bred</v>
      </c>
    </row>
    <row r="3049">
      <c r="A3049" s="2" t="str">
        <f t="shared" ref="A3049:A3054" si="611">HYPERLINK("https://get-complete-dog-training.s3.amazonaws.com/sitemap1.xml","Dog Behaviour Training")</f>
        <v>Dog Behaviour Training</v>
      </c>
      <c r="B3049" s="2" t="str">
        <f t="shared" si="608"/>
        <v>https://get-complete-dog-training.s3.amazonaws.com/sitemap1.xml</v>
      </c>
      <c r="C3049" s="3" t="str">
        <f>HYPERLINK("https://get-complete-dog-training.s3.amazonaws.com/sitemap1.xml","German Shepherd")</f>
        <v>German Shepherd</v>
      </c>
    </row>
    <row r="3050">
      <c r="A3050" s="2" t="str">
        <f t="shared" si="611"/>
        <v>Dog Behaviour Training</v>
      </c>
      <c r="B3050" s="2" t="str">
        <f t="shared" si="608"/>
        <v>https://get-complete-dog-training.s3.amazonaws.com/sitemap1.xml</v>
      </c>
      <c r="C3050" s="2" t="str">
        <f>HYPERLINK("https://get-complete-dog-training.s3.amazonaws.com/sitemap1.xml","Border Clollie")</f>
        <v>Border Clollie</v>
      </c>
    </row>
    <row r="3051">
      <c r="A3051" s="2" t="str">
        <f t="shared" si="611"/>
        <v>Dog Behaviour Training</v>
      </c>
      <c r="B3051" s="2" t="str">
        <f t="shared" si="608"/>
        <v>https://get-complete-dog-training.s3.amazonaws.com/sitemap1.xml</v>
      </c>
      <c r="C3051" s="2" t="str">
        <f>HYPERLINK("https://get-complete-dog-training.s3.amazonaws.com/sitemap1.xml","Doberman")</f>
        <v>Doberman</v>
      </c>
    </row>
    <row r="3052">
      <c r="A3052" s="2" t="str">
        <f t="shared" si="611"/>
        <v>Dog Behaviour Training</v>
      </c>
      <c r="B3052" s="2" t="str">
        <f t="shared" si="608"/>
        <v>https://get-complete-dog-training.s3.amazonaws.com/sitemap1.xml</v>
      </c>
      <c r="C3052" s="2" t="str">
        <f>HYPERLINK("https://get-complete-dog-training.s3.amazonaws.com/sitemap1.xml","Rotweiller")</f>
        <v>Rotweiller</v>
      </c>
    </row>
    <row r="3053">
      <c r="A3053" s="2" t="str">
        <f t="shared" si="611"/>
        <v>Dog Behaviour Training</v>
      </c>
      <c r="B3053" s="2" t="str">
        <f t="shared" si="608"/>
        <v>https://get-complete-dog-training.s3.amazonaws.com/sitemap1.xml</v>
      </c>
      <c r="C3053" s="2" t="str">
        <f>HYPERLINK("https://get-complete-dog-training.s3.amazonaws.com/sitemap1.xml","Rotwieller")</f>
        <v>Rotwieller</v>
      </c>
    </row>
    <row r="3054">
      <c r="A3054" s="2" t="str">
        <f t="shared" si="611"/>
        <v>Dog Behaviour Training</v>
      </c>
      <c r="B3054" s="2" t="str">
        <f t="shared" si="608"/>
        <v>https://get-complete-dog-training.s3.amazonaws.com/sitemap1.xml</v>
      </c>
      <c r="C3054" s="2" t="str">
        <f>HYPERLINK("https://get-complete-dog-training.s3.amazonaws.com/sitemap1.xml","Cross Bred")</f>
        <v>Cross Bred</v>
      </c>
    </row>
    <row r="3055">
      <c r="A3055" s="2" t="str">
        <f t="shared" ref="A3055:A3060" si="612">HYPERLINK("https://get-complete-dog-training.s3.amazonaws.com/sitemap1.xml","Dog : Elite Training")</f>
        <v>Dog : Elite Training</v>
      </c>
      <c r="B3055" s="2" t="str">
        <f t="shared" si="608"/>
        <v>https://get-complete-dog-training.s3.amazonaws.com/sitemap1.xml</v>
      </c>
      <c r="C3055" s="3" t="str">
        <f>HYPERLINK("https://get-complete-dog-training.s3.amazonaws.com/sitemap1.xml","German Shepherd")</f>
        <v>German Shepherd</v>
      </c>
    </row>
    <row r="3056">
      <c r="A3056" s="2" t="str">
        <f t="shared" si="612"/>
        <v>Dog : Elite Training</v>
      </c>
      <c r="B3056" s="2" t="str">
        <f t="shared" si="608"/>
        <v>https://get-complete-dog-training.s3.amazonaws.com/sitemap1.xml</v>
      </c>
      <c r="C3056" s="2" t="str">
        <f>HYPERLINK("https://get-complete-dog-training.s3.amazonaws.com/sitemap1.xml","Border Clollie")</f>
        <v>Border Clollie</v>
      </c>
    </row>
    <row r="3057">
      <c r="A3057" s="2" t="str">
        <f t="shared" si="612"/>
        <v>Dog : Elite Training</v>
      </c>
      <c r="B3057" s="2" t="str">
        <f t="shared" si="608"/>
        <v>https://get-complete-dog-training.s3.amazonaws.com/sitemap1.xml</v>
      </c>
      <c r="C3057" s="2" t="str">
        <f>HYPERLINK("https://get-complete-dog-training.s3.amazonaws.com/sitemap1.xml","Doberman")</f>
        <v>Doberman</v>
      </c>
    </row>
    <row r="3058">
      <c r="A3058" s="2" t="str">
        <f t="shared" si="612"/>
        <v>Dog : Elite Training</v>
      </c>
      <c r="B3058" s="2" t="str">
        <f t="shared" si="608"/>
        <v>https://get-complete-dog-training.s3.amazonaws.com/sitemap1.xml</v>
      </c>
      <c r="C3058" s="2" t="str">
        <f>HYPERLINK("https://get-complete-dog-training.s3.amazonaws.com/sitemap1.xml","Rotweiller")</f>
        <v>Rotweiller</v>
      </c>
    </row>
    <row r="3059">
      <c r="A3059" s="2" t="str">
        <f t="shared" si="612"/>
        <v>Dog : Elite Training</v>
      </c>
      <c r="B3059" s="2" t="str">
        <f t="shared" si="608"/>
        <v>https://get-complete-dog-training.s3.amazonaws.com/sitemap1.xml</v>
      </c>
      <c r="C3059" s="2" t="str">
        <f>HYPERLINK("https://get-complete-dog-training.s3.amazonaws.com/sitemap1.xml","Rotwieller")</f>
        <v>Rotwieller</v>
      </c>
    </row>
    <row r="3060">
      <c r="A3060" s="2" t="str">
        <f t="shared" si="612"/>
        <v>Dog : Elite Training</v>
      </c>
      <c r="B3060" s="2" t="str">
        <f t="shared" si="608"/>
        <v>https://get-complete-dog-training.s3.amazonaws.com/sitemap1.xml</v>
      </c>
      <c r="C3060" s="2" t="str">
        <f>HYPERLINK("https://get-complete-dog-training.s3.amazonaws.com/sitemap1.xml","Cross Bred")</f>
        <v>Cross Bred</v>
      </c>
    </row>
    <row r="3061">
      <c r="A3061" s="2" t="str">
        <f t="shared" ref="A3061:A3066" si="613">HYPERLINK("https://get-complete-dog-training.s3.amazonaws.com/sitemap2.xml","Dog Obedience Training")</f>
        <v>Dog Obedience Training</v>
      </c>
      <c r="B3061" s="2" t="str">
        <f t="shared" ref="B3061:B3090" si="614">HYPERLINK("https://get-complete-dog-training.s3.amazonaws.com/sitemap2.xml","https://get-complete-dog-training.s3.amazonaws.com/sitemap2.xml")</f>
        <v>https://get-complete-dog-training.s3.amazonaws.com/sitemap2.xml</v>
      </c>
      <c r="C3061" s="3" t="str">
        <f>HYPERLINK("https://get-complete-dog-training.s3.amazonaws.com/sitemap2.xml","German Shepherd")</f>
        <v>German Shepherd</v>
      </c>
    </row>
    <row r="3062">
      <c r="A3062" s="2" t="str">
        <f t="shared" si="613"/>
        <v>Dog Obedience Training</v>
      </c>
      <c r="B3062" s="2" t="str">
        <f t="shared" si="614"/>
        <v>https://get-complete-dog-training.s3.amazonaws.com/sitemap2.xml</v>
      </c>
      <c r="C3062" s="2" t="str">
        <f>HYPERLINK("https://get-complete-dog-training.s3.amazonaws.com/sitemap2.xml","Border Clollie")</f>
        <v>Border Clollie</v>
      </c>
    </row>
    <row r="3063">
      <c r="A3063" s="2" t="str">
        <f t="shared" si="613"/>
        <v>Dog Obedience Training</v>
      </c>
      <c r="B3063" s="2" t="str">
        <f t="shared" si="614"/>
        <v>https://get-complete-dog-training.s3.amazonaws.com/sitemap2.xml</v>
      </c>
      <c r="C3063" s="2" t="str">
        <f>HYPERLINK("https://get-complete-dog-training.s3.amazonaws.com/sitemap2.xml","Doberman")</f>
        <v>Doberman</v>
      </c>
    </row>
    <row r="3064">
      <c r="A3064" s="2" t="str">
        <f t="shared" si="613"/>
        <v>Dog Obedience Training</v>
      </c>
      <c r="B3064" s="2" t="str">
        <f t="shared" si="614"/>
        <v>https://get-complete-dog-training.s3.amazonaws.com/sitemap2.xml</v>
      </c>
      <c r="C3064" s="2" t="str">
        <f>HYPERLINK("https://get-complete-dog-training.s3.amazonaws.com/sitemap2.xml","Rotweiller")</f>
        <v>Rotweiller</v>
      </c>
    </row>
    <row r="3065">
      <c r="A3065" s="2" t="str">
        <f t="shared" si="613"/>
        <v>Dog Obedience Training</v>
      </c>
      <c r="B3065" s="2" t="str">
        <f t="shared" si="614"/>
        <v>https://get-complete-dog-training.s3.amazonaws.com/sitemap2.xml</v>
      </c>
      <c r="C3065" s="2" t="str">
        <f>HYPERLINK("https://get-complete-dog-training.s3.amazonaws.com/sitemap2.xml","Rotwieller")</f>
        <v>Rotwieller</v>
      </c>
    </row>
    <row r="3066">
      <c r="A3066" s="2" t="str">
        <f t="shared" si="613"/>
        <v>Dog Obedience Training</v>
      </c>
      <c r="B3066" s="2" t="str">
        <f t="shared" si="614"/>
        <v>https://get-complete-dog-training.s3.amazonaws.com/sitemap2.xml</v>
      </c>
      <c r="C3066" s="2" t="str">
        <f>HYPERLINK("https://get-complete-dog-training.s3.amazonaws.com/sitemap2.xml","Cross Bred")</f>
        <v>Cross Bred</v>
      </c>
    </row>
    <row r="3067">
      <c r="A3067" s="2" t="str">
        <f t="shared" ref="A3067:A3072" si="615">HYPERLINK("https://get-complete-dog-training.s3.amazonaws.com/sitemap2.xml","Dog House Training")</f>
        <v>Dog House Training</v>
      </c>
      <c r="B3067" s="2" t="str">
        <f t="shared" si="614"/>
        <v>https://get-complete-dog-training.s3.amazonaws.com/sitemap2.xml</v>
      </c>
      <c r="C3067" s="3" t="str">
        <f>HYPERLINK("https://get-complete-dog-training.s3.amazonaws.com/sitemap2.xml","German Shepherd")</f>
        <v>German Shepherd</v>
      </c>
    </row>
    <row r="3068">
      <c r="A3068" s="2" t="str">
        <f t="shared" si="615"/>
        <v>Dog House Training</v>
      </c>
      <c r="B3068" s="2" t="str">
        <f t="shared" si="614"/>
        <v>https://get-complete-dog-training.s3.amazonaws.com/sitemap2.xml</v>
      </c>
      <c r="C3068" s="2" t="str">
        <f>HYPERLINK("https://get-complete-dog-training.s3.amazonaws.com/sitemap2.xml","Border Clollie")</f>
        <v>Border Clollie</v>
      </c>
    </row>
    <row r="3069">
      <c r="A3069" s="2" t="str">
        <f t="shared" si="615"/>
        <v>Dog House Training</v>
      </c>
      <c r="B3069" s="2" t="str">
        <f t="shared" si="614"/>
        <v>https://get-complete-dog-training.s3.amazonaws.com/sitemap2.xml</v>
      </c>
      <c r="C3069" s="2" t="str">
        <f>HYPERLINK("https://get-complete-dog-training.s3.amazonaws.com/sitemap2.xml","Doberman")</f>
        <v>Doberman</v>
      </c>
    </row>
    <row r="3070">
      <c r="A3070" s="2" t="str">
        <f t="shared" si="615"/>
        <v>Dog House Training</v>
      </c>
      <c r="B3070" s="2" t="str">
        <f t="shared" si="614"/>
        <v>https://get-complete-dog-training.s3.amazonaws.com/sitemap2.xml</v>
      </c>
      <c r="C3070" s="2" t="str">
        <f>HYPERLINK("https://get-complete-dog-training.s3.amazonaws.com/sitemap2.xml","Rotweiller")</f>
        <v>Rotweiller</v>
      </c>
    </row>
    <row r="3071">
      <c r="A3071" s="2" t="str">
        <f t="shared" si="615"/>
        <v>Dog House Training</v>
      </c>
      <c r="B3071" s="2" t="str">
        <f t="shared" si="614"/>
        <v>https://get-complete-dog-training.s3.amazonaws.com/sitemap2.xml</v>
      </c>
      <c r="C3071" s="2" t="str">
        <f>HYPERLINK("https://get-complete-dog-training.s3.amazonaws.com/sitemap2.xml","Rotwieller")</f>
        <v>Rotwieller</v>
      </c>
    </row>
    <row r="3072">
      <c r="A3072" s="2" t="str">
        <f t="shared" si="615"/>
        <v>Dog House Training</v>
      </c>
      <c r="B3072" s="2" t="str">
        <f t="shared" si="614"/>
        <v>https://get-complete-dog-training.s3.amazonaws.com/sitemap2.xml</v>
      </c>
      <c r="C3072" s="2" t="str">
        <f>HYPERLINK("https://get-complete-dog-training.s3.amazonaws.com/sitemap2.xml","Cross Bred")</f>
        <v>Cross Bred</v>
      </c>
    </row>
    <row r="3073">
      <c r="A3073" s="2" t="str">
        <f t="shared" ref="A3073:A3078" si="616">HYPERLINK("https://get-complete-dog-training.s3.amazonaws.com/sitemap2.xml","Dog Aggression Training")</f>
        <v>Dog Aggression Training</v>
      </c>
      <c r="B3073" s="2" t="str">
        <f t="shared" si="614"/>
        <v>https://get-complete-dog-training.s3.amazonaws.com/sitemap2.xml</v>
      </c>
      <c r="C3073" s="3" t="str">
        <f>HYPERLINK("https://get-complete-dog-training.s3.amazonaws.com/sitemap2.xml","German Shepherd")</f>
        <v>German Shepherd</v>
      </c>
    </row>
    <row r="3074">
      <c r="A3074" s="2" t="str">
        <f t="shared" si="616"/>
        <v>Dog Aggression Training</v>
      </c>
      <c r="B3074" s="2" t="str">
        <f t="shared" si="614"/>
        <v>https://get-complete-dog-training.s3.amazonaws.com/sitemap2.xml</v>
      </c>
      <c r="C3074" s="2" t="str">
        <f>HYPERLINK("https://get-complete-dog-training.s3.amazonaws.com/sitemap2.xml","Border Clollie")</f>
        <v>Border Clollie</v>
      </c>
    </row>
    <row r="3075">
      <c r="A3075" s="2" t="str">
        <f t="shared" si="616"/>
        <v>Dog Aggression Training</v>
      </c>
      <c r="B3075" s="2" t="str">
        <f t="shared" si="614"/>
        <v>https://get-complete-dog-training.s3.amazonaws.com/sitemap2.xml</v>
      </c>
      <c r="C3075" s="2" t="str">
        <f>HYPERLINK("https://get-complete-dog-training.s3.amazonaws.com/sitemap2.xml","Doberman")</f>
        <v>Doberman</v>
      </c>
    </row>
    <row r="3076">
      <c r="A3076" s="2" t="str">
        <f t="shared" si="616"/>
        <v>Dog Aggression Training</v>
      </c>
      <c r="B3076" s="2" t="str">
        <f t="shared" si="614"/>
        <v>https://get-complete-dog-training.s3.amazonaws.com/sitemap2.xml</v>
      </c>
      <c r="C3076" s="2" t="str">
        <f>HYPERLINK("https://get-complete-dog-training.s3.amazonaws.com/sitemap2.xml","Rotweiller")</f>
        <v>Rotweiller</v>
      </c>
    </row>
    <row r="3077">
      <c r="A3077" s="2" t="str">
        <f t="shared" si="616"/>
        <v>Dog Aggression Training</v>
      </c>
      <c r="B3077" s="2" t="str">
        <f t="shared" si="614"/>
        <v>https://get-complete-dog-training.s3.amazonaws.com/sitemap2.xml</v>
      </c>
      <c r="C3077" s="2" t="str">
        <f>HYPERLINK("https://get-complete-dog-training.s3.amazonaws.com/sitemap2.xml","Rotwieller")</f>
        <v>Rotwieller</v>
      </c>
    </row>
    <row r="3078">
      <c r="A3078" s="2" t="str">
        <f t="shared" si="616"/>
        <v>Dog Aggression Training</v>
      </c>
      <c r="B3078" s="2" t="str">
        <f t="shared" si="614"/>
        <v>https://get-complete-dog-training.s3.amazonaws.com/sitemap2.xml</v>
      </c>
      <c r="C3078" s="2" t="str">
        <f>HYPERLINK("https://get-complete-dog-training.s3.amazonaws.com/sitemap2.xml","Cross Bred")</f>
        <v>Cross Bred</v>
      </c>
    </row>
    <row r="3079">
      <c r="A3079" s="2" t="str">
        <f t="shared" ref="A3079:A3084" si="617">HYPERLINK("https://get-complete-dog-training.s3.amazonaws.com/sitemap2.xml","Dog Behaviour Training")</f>
        <v>Dog Behaviour Training</v>
      </c>
      <c r="B3079" s="2" t="str">
        <f t="shared" si="614"/>
        <v>https://get-complete-dog-training.s3.amazonaws.com/sitemap2.xml</v>
      </c>
      <c r="C3079" s="3" t="str">
        <f>HYPERLINK("https://get-complete-dog-training.s3.amazonaws.com/sitemap2.xml","German Shepherd")</f>
        <v>German Shepherd</v>
      </c>
    </row>
    <row r="3080">
      <c r="A3080" s="2" t="str">
        <f t="shared" si="617"/>
        <v>Dog Behaviour Training</v>
      </c>
      <c r="B3080" s="2" t="str">
        <f t="shared" si="614"/>
        <v>https://get-complete-dog-training.s3.amazonaws.com/sitemap2.xml</v>
      </c>
      <c r="C3080" s="2" t="str">
        <f>HYPERLINK("https://get-complete-dog-training.s3.amazonaws.com/sitemap2.xml","Border Clollie")</f>
        <v>Border Clollie</v>
      </c>
    </row>
    <row r="3081">
      <c r="A3081" s="2" t="str">
        <f t="shared" si="617"/>
        <v>Dog Behaviour Training</v>
      </c>
      <c r="B3081" s="2" t="str">
        <f t="shared" si="614"/>
        <v>https://get-complete-dog-training.s3.amazonaws.com/sitemap2.xml</v>
      </c>
      <c r="C3081" s="2" t="str">
        <f>HYPERLINK("https://get-complete-dog-training.s3.amazonaws.com/sitemap2.xml","Doberman")</f>
        <v>Doberman</v>
      </c>
    </row>
    <row r="3082">
      <c r="A3082" s="2" t="str">
        <f t="shared" si="617"/>
        <v>Dog Behaviour Training</v>
      </c>
      <c r="B3082" s="2" t="str">
        <f t="shared" si="614"/>
        <v>https://get-complete-dog-training.s3.amazonaws.com/sitemap2.xml</v>
      </c>
      <c r="C3082" s="2" t="str">
        <f>HYPERLINK("https://get-complete-dog-training.s3.amazonaws.com/sitemap2.xml","Rotweiller")</f>
        <v>Rotweiller</v>
      </c>
    </row>
    <row r="3083">
      <c r="A3083" s="2" t="str">
        <f t="shared" si="617"/>
        <v>Dog Behaviour Training</v>
      </c>
      <c r="B3083" s="2" t="str">
        <f t="shared" si="614"/>
        <v>https://get-complete-dog-training.s3.amazonaws.com/sitemap2.xml</v>
      </c>
      <c r="C3083" s="2" t="str">
        <f>HYPERLINK("https://get-complete-dog-training.s3.amazonaws.com/sitemap2.xml","Rotwieller")</f>
        <v>Rotwieller</v>
      </c>
    </row>
    <row r="3084">
      <c r="A3084" s="2" t="str">
        <f t="shared" si="617"/>
        <v>Dog Behaviour Training</v>
      </c>
      <c r="B3084" s="2" t="str">
        <f t="shared" si="614"/>
        <v>https://get-complete-dog-training.s3.amazonaws.com/sitemap2.xml</v>
      </c>
      <c r="C3084" s="2" t="str">
        <f>HYPERLINK("https://get-complete-dog-training.s3.amazonaws.com/sitemap2.xml","Cross Bred")</f>
        <v>Cross Bred</v>
      </c>
    </row>
    <row r="3085">
      <c r="A3085" s="2" t="str">
        <f t="shared" ref="A3085:A3090" si="618">HYPERLINK("https://get-complete-dog-training.s3.amazonaws.com/sitemap2.xml","Dog : Elite Training")</f>
        <v>Dog : Elite Training</v>
      </c>
      <c r="B3085" s="2" t="str">
        <f t="shared" si="614"/>
        <v>https://get-complete-dog-training.s3.amazonaws.com/sitemap2.xml</v>
      </c>
      <c r="C3085" s="3" t="str">
        <f>HYPERLINK("https://get-complete-dog-training.s3.amazonaws.com/sitemap2.xml","German Shepherd")</f>
        <v>German Shepherd</v>
      </c>
    </row>
    <row r="3086">
      <c r="A3086" s="2" t="str">
        <f t="shared" si="618"/>
        <v>Dog : Elite Training</v>
      </c>
      <c r="B3086" s="2" t="str">
        <f t="shared" si="614"/>
        <v>https://get-complete-dog-training.s3.amazonaws.com/sitemap2.xml</v>
      </c>
      <c r="C3086" s="2" t="str">
        <f>HYPERLINK("https://get-complete-dog-training.s3.amazonaws.com/sitemap2.xml","Border Clollie")</f>
        <v>Border Clollie</v>
      </c>
    </row>
    <row r="3087">
      <c r="A3087" s="2" t="str">
        <f t="shared" si="618"/>
        <v>Dog : Elite Training</v>
      </c>
      <c r="B3087" s="2" t="str">
        <f t="shared" si="614"/>
        <v>https://get-complete-dog-training.s3.amazonaws.com/sitemap2.xml</v>
      </c>
      <c r="C3087" s="2" t="str">
        <f>HYPERLINK("https://get-complete-dog-training.s3.amazonaws.com/sitemap2.xml","Doberman")</f>
        <v>Doberman</v>
      </c>
    </row>
    <row r="3088">
      <c r="A3088" s="2" t="str">
        <f t="shared" si="618"/>
        <v>Dog : Elite Training</v>
      </c>
      <c r="B3088" s="2" t="str">
        <f t="shared" si="614"/>
        <v>https://get-complete-dog-training.s3.amazonaws.com/sitemap2.xml</v>
      </c>
      <c r="C3088" s="2" t="str">
        <f>HYPERLINK("https://get-complete-dog-training.s3.amazonaws.com/sitemap2.xml","Rotweiller")</f>
        <v>Rotweiller</v>
      </c>
    </row>
    <row r="3089">
      <c r="A3089" s="2" t="str">
        <f t="shared" si="618"/>
        <v>Dog : Elite Training</v>
      </c>
      <c r="B3089" s="2" t="str">
        <f t="shared" si="614"/>
        <v>https://get-complete-dog-training.s3.amazonaws.com/sitemap2.xml</v>
      </c>
      <c r="C3089" s="2" t="str">
        <f>HYPERLINK("https://get-complete-dog-training.s3.amazonaws.com/sitemap2.xml","Rotwieller")</f>
        <v>Rotwieller</v>
      </c>
    </row>
    <row r="3090">
      <c r="A3090" s="2" t="str">
        <f t="shared" si="618"/>
        <v>Dog : Elite Training</v>
      </c>
      <c r="B3090" s="2" t="str">
        <f t="shared" si="614"/>
        <v>https://get-complete-dog-training.s3.amazonaws.com/sitemap2.xml</v>
      </c>
      <c r="C3090" s="2" t="str">
        <f>HYPERLINK("https://get-complete-dog-training.s3.amazonaws.com/sitemap2.xml","Cross Bred")</f>
        <v>Cross Bred</v>
      </c>
    </row>
    <row r="3091">
      <c r="A3091" s="2" t="str">
        <f t="shared" ref="A3091:A3096" si="619">HYPERLINK("https://get-complete-dog-training.s3.amazonaws.com/sitemap3.xml","Dog Obedience Training")</f>
        <v>Dog Obedience Training</v>
      </c>
      <c r="B3091" s="2" t="str">
        <f t="shared" ref="B3091:B3120" si="620">HYPERLINK("https://get-complete-dog-training.s3.amazonaws.com/sitemap3.xml","https://get-complete-dog-training.s3.amazonaws.com/sitemap3.xml")</f>
        <v>https://get-complete-dog-training.s3.amazonaws.com/sitemap3.xml</v>
      </c>
      <c r="C3091" s="3" t="str">
        <f>HYPERLINK("https://get-complete-dog-training.s3.amazonaws.com/sitemap3.xml","German Shepherd")</f>
        <v>German Shepherd</v>
      </c>
    </row>
    <row r="3092">
      <c r="A3092" s="2" t="str">
        <f t="shared" si="619"/>
        <v>Dog Obedience Training</v>
      </c>
      <c r="B3092" s="2" t="str">
        <f t="shared" si="620"/>
        <v>https://get-complete-dog-training.s3.amazonaws.com/sitemap3.xml</v>
      </c>
      <c r="C3092" s="2" t="str">
        <f>HYPERLINK("https://get-complete-dog-training.s3.amazonaws.com/sitemap3.xml","Border Clollie")</f>
        <v>Border Clollie</v>
      </c>
    </row>
    <row r="3093">
      <c r="A3093" s="2" t="str">
        <f t="shared" si="619"/>
        <v>Dog Obedience Training</v>
      </c>
      <c r="B3093" s="2" t="str">
        <f t="shared" si="620"/>
        <v>https://get-complete-dog-training.s3.amazonaws.com/sitemap3.xml</v>
      </c>
      <c r="C3093" s="2" t="str">
        <f>HYPERLINK("https://get-complete-dog-training.s3.amazonaws.com/sitemap3.xml","Doberman")</f>
        <v>Doberman</v>
      </c>
    </row>
    <row r="3094">
      <c r="A3094" s="2" t="str">
        <f t="shared" si="619"/>
        <v>Dog Obedience Training</v>
      </c>
      <c r="B3094" s="2" t="str">
        <f t="shared" si="620"/>
        <v>https://get-complete-dog-training.s3.amazonaws.com/sitemap3.xml</v>
      </c>
      <c r="C3094" s="2" t="str">
        <f>HYPERLINK("https://get-complete-dog-training.s3.amazonaws.com/sitemap3.xml","Rotweiller")</f>
        <v>Rotweiller</v>
      </c>
    </row>
    <row r="3095">
      <c r="A3095" s="2" t="str">
        <f t="shared" si="619"/>
        <v>Dog Obedience Training</v>
      </c>
      <c r="B3095" s="2" t="str">
        <f t="shared" si="620"/>
        <v>https://get-complete-dog-training.s3.amazonaws.com/sitemap3.xml</v>
      </c>
      <c r="C3095" s="2" t="str">
        <f>HYPERLINK("https://get-complete-dog-training.s3.amazonaws.com/sitemap3.xml","Rotwieller")</f>
        <v>Rotwieller</v>
      </c>
    </row>
    <row r="3096">
      <c r="A3096" s="2" t="str">
        <f t="shared" si="619"/>
        <v>Dog Obedience Training</v>
      </c>
      <c r="B3096" s="2" t="str">
        <f t="shared" si="620"/>
        <v>https://get-complete-dog-training.s3.amazonaws.com/sitemap3.xml</v>
      </c>
      <c r="C3096" s="2" t="str">
        <f>HYPERLINK("https://get-complete-dog-training.s3.amazonaws.com/sitemap3.xml","Cross Bred")</f>
        <v>Cross Bred</v>
      </c>
    </row>
    <row r="3097">
      <c r="A3097" s="2" t="str">
        <f t="shared" ref="A3097:A3102" si="621">HYPERLINK("https://get-complete-dog-training.s3.amazonaws.com/sitemap3.xml","Dog House Training")</f>
        <v>Dog House Training</v>
      </c>
      <c r="B3097" s="2" t="str">
        <f t="shared" si="620"/>
        <v>https://get-complete-dog-training.s3.amazonaws.com/sitemap3.xml</v>
      </c>
      <c r="C3097" s="3" t="str">
        <f>HYPERLINK("https://get-complete-dog-training.s3.amazonaws.com/sitemap3.xml","German Shepherd")</f>
        <v>German Shepherd</v>
      </c>
    </row>
    <row r="3098">
      <c r="A3098" s="2" t="str">
        <f t="shared" si="621"/>
        <v>Dog House Training</v>
      </c>
      <c r="B3098" s="2" t="str">
        <f t="shared" si="620"/>
        <v>https://get-complete-dog-training.s3.amazonaws.com/sitemap3.xml</v>
      </c>
      <c r="C3098" s="2" t="str">
        <f>HYPERLINK("https://get-complete-dog-training.s3.amazonaws.com/sitemap3.xml","Border Clollie")</f>
        <v>Border Clollie</v>
      </c>
    </row>
    <row r="3099">
      <c r="A3099" s="2" t="str">
        <f t="shared" si="621"/>
        <v>Dog House Training</v>
      </c>
      <c r="B3099" s="2" t="str">
        <f t="shared" si="620"/>
        <v>https://get-complete-dog-training.s3.amazonaws.com/sitemap3.xml</v>
      </c>
      <c r="C3099" s="2" t="str">
        <f>HYPERLINK("https://get-complete-dog-training.s3.amazonaws.com/sitemap3.xml","Doberman")</f>
        <v>Doberman</v>
      </c>
    </row>
    <row r="3100">
      <c r="A3100" s="2" t="str">
        <f t="shared" si="621"/>
        <v>Dog House Training</v>
      </c>
      <c r="B3100" s="2" t="str">
        <f t="shared" si="620"/>
        <v>https://get-complete-dog-training.s3.amazonaws.com/sitemap3.xml</v>
      </c>
      <c r="C3100" s="2" t="str">
        <f>HYPERLINK("https://get-complete-dog-training.s3.amazonaws.com/sitemap3.xml","Rotweiller")</f>
        <v>Rotweiller</v>
      </c>
    </row>
    <row r="3101">
      <c r="A3101" s="2" t="str">
        <f t="shared" si="621"/>
        <v>Dog House Training</v>
      </c>
      <c r="B3101" s="2" t="str">
        <f t="shared" si="620"/>
        <v>https://get-complete-dog-training.s3.amazonaws.com/sitemap3.xml</v>
      </c>
      <c r="C3101" s="2" t="str">
        <f>HYPERLINK("https://get-complete-dog-training.s3.amazonaws.com/sitemap3.xml","Rotwieller")</f>
        <v>Rotwieller</v>
      </c>
    </row>
    <row r="3102">
      <c r="A3102" s="2" t="str">
        <f t="shared" si="621"/>
        <v>Dog House Training</v>
      </c>
      <c r="B3102" s="2" t="str">
        <f t="shared" si="620"/>
        <v>https://get-complete-dog-training.s3.amazonaws.com/sitemap3.xml</v>
      </c>
      <c r="C3102" s="2" t="str">
        <f>HYPERLINK("https://get-complete-dog-training.s3.amazonaws.com/sitemap3.xml","Cross Bred")</f>
        <v>Cross Bred</v>
      </c>
    </row>
    <row r="3103">
      <c r="A3103" s="2" t="str">
        <f t="shared" ref="A3103:A3108" si="622">HYPERLINK("https://get-complete-dog-training.s3.amazonaws.com/sitemap3.xml","Dog Aggression Training")</f>
        <v>Dog Aggression Training</v>
      </c>
      <c r="B3103" s="2" t="str">
        <f t="shared" si="620"/>
        <v>https://get-complete-dog-training.s3.amazonaws.com/sitemap3.xml</v>
      </c>
      <c r="C3103" s="3" t="str">
        <f>HYPERLINK("https://get-complete-dog-training.s3.amazonaws.com/sitemap3.xml","German Shepherd")</f>
        <v>German Shepherd</v>
      </c>
    </row>
    <row r="3104">
      <c r="A3104" s="2" t="str">
        <f t="shared" si="622"/>
        <v>Dog Aggression Training</v>
      </c>
      <c r="B3104" s="2" t="str">
        <f t="shared" si="620"/>
        <v>https://get-complete-dog-training.s3.amazonaws.com/sitemap3.xml</v>
      </c>
      <c r="C3104" s="2" t="str">
        <f>HYPERLINK("https://get-complete-dog-training.s3.amazonaws.com/sitemap3.xml","Border Clollie")</f>
        <v>Border Clollie</v>
      </c>
    </row>
    <row r="3105">
      <c r="A3105" s="2" t="str">
        <f t="shared" si="622"/>
        <v>Dog Aggression Training</v>
      </c>
      <c r="B3105" s="2" t="str">
        <f t="shared" si="620"/>
        <v>https://get-complete-dog-training.s3.amazonaws.com/sitemap3.xml</v>
      </c>
      <c r="C3105" s="2" t="str">
        <f>HYPERLINK("https://get-complete-dog-training.s3.amazonaws.com/sitemap3.xml","Doberman")</f>
        <v>Doberman</v>
      </c>
    </row>
    <row r="3106">
      <c r="A3106" s="2" t="str">
        <f t="shared" si="622"/>
        <v>Dog Aggression Training</v>
      </c>
      <c r="B3106" s="2" t="str">
        <f t="shared" si="620"/>
        <v>https://get-complete-dog-training.s3.amazonaws.com/sitemap3.xml</v>
      </c>
      <c r="C3106" s="2" t="str">
        <f>HYPERLINK("https://get-complete-dog-training.s3.amazonaws.com/sitemap3.xml","Rotweiller")</f>
        <v>Rotweiller</v>
      </c>
    </row>
    <row r="3107">
      <c r="A3107" s="2" t="str">
        <f t="shared" si="622"/>
        <v>Dog Aggression Training</v>
      </c>
      <c r="B3107" s="2" t="str">
        <f t="shared" si="620"/>
        <v>https://get-complete-dog-training.s3.amazonaws.com/sitemap3.xml</v>
      </c>
      <c r="C3107" s="2" t="str">
        <f>HYPERLINK("https://get-complete-dog-training.s3.amazonaws.com/sitemap3.xml","Rotwieller")</f>
        <v>Rotwieller</v>
      </c>
    </row>
    <row r="3108">
      <c r="A3108" s="2" t="str">
        <f t="shared" si="622"/>
        <v>Dog Aggression Training</v>
      </c>
      <c r="B3108" s="2" t="str">
        <f t="shared" si="620"/>
        <v>https://get-complete-dog-training.s3.amazonaws.com/sitemap3.xml</v>
      </c>
      <c r="C3108" s="2" t="str">
        <f>HYPERLINK("https://get-complete-dog-training.s3.amazonaws.com/sitemap3.xml","Cross Bred")</f>
        <v>Cross Bred</v>
      </c>
    </row>
    <row r="3109">
      <c r="A3109" s="2" t="str">
        <f t="shared" ref="A3109:A3114" si="623">HYPERLINK("https://get-complete-dog-training.s3.amazonaws.com/sitemap3.xml","Dog Behaviour Training")</f>
        <v>Dog Behaviour Training</v>
      </c>
      <c r="B3109" s="2" t="str">
        <f t="shared" si="620"/>
        <v>https://get-complete-dog-training.s3.amazonaws.com/sitemap3.xml</v>
      </c>
      <c r="C3109" s="3" t="str">
        <f>HYPERLINK("https://get-complete-dog-training.s3.amazonaws.com/sitemap3.xml","German Shepherd")</f>
        <v>German Shepherd</v>
      </c>
    </row>
    <row r="3110">
      <c r="A3110" s="2" t="str">
        <f t="shared" si="623"/>
        <v>Dog Behaviour Training</v>
      </c>
      <c r="B3110" s="2" t="str">
        <f t="shared" si="620"/>
        <v>https://get-complete-dog-training.s3.amazonaws.com/sitemap3.xml</v>
      </c>
      <c r="C3110" s="2" t="str">
        <f>HYPERLINK("https://get-complete-dog-training.s3.amazonaws.com/sitemap3.xml","Border Clollie")</f>
        <v>Border Clollie</v>
      </c>
    </row>
    <row r="3111">
      <c r="A3111" s="2" t="str">
        <f t="shared" si="623"/>
        <v>Dog Behaviour Training</v>
      </c>
      <c r="B3111" s="2" t="str">
        <f t="shared" si="620"/>
        <v>https://get-complete-dog-training.s3.amazonaws.com/sitemap3.xml</v>
      </c>
      <c r="C3111" s="2" t="str">
        <f>HYPERLINK("https://get-complete-dog-training.s3.amazonaws.com/sitemap3.xml","Doberman")</f>
        <v>Doberman</v>
      </c>
    </row>
    <row r="3112">
      <c r="A3112" s="2" t="str">
        <f t="shared" si="623"/>
        <v>Dog Behaviour Training</v>
      </c>
      <c r="B3112" s="2" t="str">
        <f t="shared" si="620"/>
        <v>https://get-complete-dog-training.s3.amazonaws.com/sitemap3.xml</v>
      </c>
      <c r="C3112" s="2" t="str">
        <f>HYPERLINK("https://get-complete-dog-training.s3.amazonaws.com/sitemap3.xml","Rotweiller")</f>
        <v>Rotweiller</v>
      </c>
    </row>
    <row r="3113">
      <c r="A3113" s="2" t="str">
        <f t="shared" si="623"/>
        <v>Dog Behaviour Training</v>
      </c>
      <c r="B3113" s="2" t="str">
        <f t="shared" si="620"/>
        <v>https://get-complete-dog-training.s3.amazonaws.com/sitemap3.xml</v>
      </c>
      <c r="C3113" s="2" t="str">
        <f>HYPERLINK("https://get-complete-dog-training.s3.amazonaws.com/sitemap3.xml","Rotwieller")</f>
        <v>Rotwieller</v>
      </c>
    </row>
    <row r="3114">
      <c r="A3114" s="2" t="str">
        <f t="shared" si="623"/>
        <v>Dog Behaviour Training</v>
      </c>
      <c r="B3114" s="2" t="str">
        <f t="shared" si="620"/>
        <v>https://get-complete-dog-training.s3.amazonaws.com/sitemap3.xml</v>
      </c>
      <c r="C3114" s="2" t="str">
        <f>HYPERLINK("https://get-complete-dog-training.s3.amazonaws.com/sitemap3.xml","Cross Bred")</f>
        <v>Cross Bred</v>
      </c>
    </row>
    <row r="3115">
      <c r="A3115" s="2" t="str">
        <f t="shared" ref="A3115:A3120" si="624">HYPERLINK("https://get-complete-dog-training.s3.amazonaws.com/sitemap3.xml","Dog : Elite Training")</f>
        <v>Dog : Elite Training</v>
      </c>
      <c r="B3115" s="2" t="str">
        <f t="shared" si="620"/>
        <v>https://get-complete-dog-training.s3.amazonaws.com/sitemap3.xml</v>
      </c>
      <c r="C3115" s="3" t="str">
        <f>HYPERLINK("https://get-complete-dog-training.s3.amazonaws.com/sitemap3.xml","German Shepherd")</f>
        <v>German Shepherd</v>
      </c>
    </row>
    <row r="3116">
      <c r="A3116" s="2" t="str">
        <f t="shared" si="624"/>
        <v>Dog : Elite Training</v>
      </c>
      <c r="B3116" s="2" t="str">
        <f t="shared" si="620"/>
        <v>https://get-complete-dog-training.s3.amazonaws.com/sitemap3.xml</v>
      </c>
      <c r="C3116" s="2" t="str">
        <f>HYPERLINK("https://get-complete-dog-training.s3.amazonaws.com/sitemap3.xml","Border Clollie")</f>
        <v>Border Clollie</v>
      </c>
    </row>
    <row r="3117">
      <c r="A3117" s="2" t="str">
        <f t="shared" si="624"/>
        <v>Dog : Elite Training</v>
      </c>
      <c r="B3117" s="2" t="str">
        <f t="shared" si="620"/>
        <v>https://get-complete-dog-training.s3.amazonaws.com/sitemap3.xml</v>
      </c>
      <c r="C3117" s="2" t="str">
        <f>HYPERLINK("https://get-complete-dog-training.s3.amazonaws.com/sitemap3.xml","Doberman")</f>
        <v>Doberman</v>
      </c>
    </row>
    <row r="3118">
      <c r="A3118" s="2" t="str">
        <f t="shared" si="624"/>
        <v>Dog : Elite Training</v>
      </c>
      <c r="B3118" s="2" t="str">
        <f t="shared" si="620"/>
        <v>https://get-complete-dog-training.s3.amazonaws.com/sitemap3.xml</v>
      </c>
      <c r="C3118" s="2" t="str">
        <f>HYPERLINK("https://get-complete-dog-training.s3.amazonaws.com/sitemap3.xml","Rotweiller")</f>
        <v>Rotweiller</v>
      </c>
    </row>
    <row r="3119">
      <c r="A3119" s="2" t="str">
        <f t="shared" si="624"/>
        <v>Dog : Elite Training</v>
      </c>
      <c r="B3119" s="2" t="str">
        <f t="shared" si="620"/>
        <v>https://get-complete-dog-training.s3.amazonaws.com/sitemap3.xml</v>
      </c>
      <c r="C3119" s="2" t="str">
        <f>HYPERLINK("https://get-complete-dog-training.s3.amazonaws.com/sitemap3.xml","Rotwieller")</f>
        <v>Rotwieller</v>
      </c>
    </row>
    <row r="3120">
      <c r="A3120" s="2" t="str">
        <f t="shared" si="624"/>
        <v>Dog : Elite Training</v>
      </c>
      <c r="B3120" s="2" t="str">
        <f t="shared" si="620"/>
        <v>https://get-complete-dog-training.s3.amazonaws.com/sitemap3.xml</v>
      </c>
      <c r="C3120" s="2" t="str">
        <f>HYPERLINK("https://get-complete-dog-training.s3.amazonaws.com/sitemap3.xml","Cross Bred")</f>
        <v>Cross Bred</v>
      </c>
    </row>
    <row r="3121">
      <c r="A3121" s="2" t="str">
        <f t="shared" ref="A3121:A3126" si="625">HYPERLINK("https://get-complete-dog-training.s3.amazonaws.com/sitemap_index.xml","Dog Obedience Training")</f>
        <v>Dog Obedience Training</v>
      </c>
      <c r="B3121" s="2" t="str">
        <f t="shared" ref="B3121:B3150" si="626">HYPERLINK("https://get-complete-dog-training.s3.amazonaws.com/sitemap_index.xml","https://get-complete-dog-training.s3.amazonaws.com/sitemap_index.xml")</f>
        <v>https://get-complete-dog-training.s3.amazonaws.com/sitemap_index.xml</v>
      </c>
      <c r="C3121" s="3" t="str">
        <f>HYPERLINK("https://get-complete-dog-training.s3.amazonaws.com/sitemap_index.xml","German Shepherd")</f>
        <v>German Shepherd</v>
      </c>
    </row>
    <row r="3122">
      <c r="A3122" s="2" t="str">
        <f t="shared" si="625"/>
        <v>Dog Obedience Training</v>
      </c>
      <c r="B3122" s="2" t="str">
        <f t="shared" si="626"/>
        <v>https://get-complete-dog-training.s3.amazonaws.com/sitemap_index.xml</v>
      </c>
      <c r="C3122" s="2" t="str">
        <f>HYPERLINK("https://get-complete-dog-training.s3.amazonaws.com/sitemap_index.xml","Border Clollie")</f>
        <v>Border Clollie</v>
      </c>
    </row>
    <row r="3123">
      <c r="A3123" s="2" t="str">
        <f t="shared" si="625"/>
        <v>Dog Obedience Training</v>
      </c>
      <c r="B3123" s="2" t="str">
        <f t="shared" si="626"/>
        <v>https://get-complete-dog-training.s3.amazonaws.com/sitemap_index.xml</v>
      </c>
      <c r="C3123" s="2" t="str">
        <f>HYPERLINK("https://get-complete-dog-training.s3.amazonaws.com/sitemap_index.xml","Doberman")</f>
        <v>Doberman</v>
      </c>
    </row>
    <row r="3124">
      <c r="A3124" s="2" t="str">
        <f t="shared" si="625"/>
        <v>Dog Obedience Training</v>
      </c>
      <c r="B3124" s="2" t="str">
        <f t="shared" si="626"/>
        <v>https://get-complete-dog-training.s3.amazonaws.com/sitemap_index.xml</v>
      </c>
      <c r="C3124" s="2" t="str">
        <f>HYPERLINK("https://get-complete-dog-training.s3.amazonaws.com/sitemap_index.xml","Rotweiller")</f>
        <v>Rotweiller</v>
      </c>
    </row>
    <row r="3125">
      <c r="A3125" s="2" t="str">
        <f t="shared" si="625"/>
        <v>Dog Obedience Training</v>
      </c>
      <c r="B3125" s="2" t="str">
        <f t="shared" si="626"/>
        <v>https://get-complete-dog-training.s3.amazonaws.com/sitemap_index.xml</v>
      </c>
      <c r="C3125" s="2" t="str">
        <f>HYPERLINK("https://get-complete-dog-training.s3.amazonaws.com/sitemap_index.xml","Rotwieller")</f>
        <v>Rotwieller</v>
      </c>
    </row>
    <row r="3126">
      <c r="A3126" s="2" t="str">
        <f t="shared" si="625"/>
        <v>Dog Obedience Training</v>
      </c>
      <c r="B3126" s="2" t="str">
        <f t="shared" si="626"/>
        <v>https://get-complete-dog-training.s3.amazonaws.com/sitemap_index.xml</v>
      </c>
      <c r="C3126" s="2" t="str">
        <f>HYPERLINK("https://get-complete-dog-training.s3.amazonaws.com/sitemap_index.xml","Cross Bred")</f>
        <v>Cross Bred</v>
      </c>
    </row>
    <row r="3127">
      <c r="A3127" s="2" t="str">
        <f t="shared" ref="A3127:A3132" si="627">HYPERLINK("https://get-complete-dog-training.s3.amazonaws.com/sitemap_index.xml","Dog House Training")</f>
        <v>Dog House Training</v>
      </c>
      <c r="B3127" s="2" t="str">
        <f t="shared" si="626"/>
        <v>https://get-complete-dog-training.s3.amazonaws.com/sitemap_index.xml</v>
      </c>
      <c r="C3127" s="3" t="str">
        <f>HYPERLINK("https://get-complete-dog-training.s3.amazonaws.com/sitemap_index.xml","German Shepherd")</f>
        <v>German Shepherd</v>
      </c>
    </row>
    <row r="3128">
      <c r="A3128" s="2" t="str">
        <f t="shared" si="627"/>
        <v>Dog House Training</v>
      </c>
      <c r="B3128" s="2" t="str">
        <f t="shared" si="626"/>
        <v>https://get-complete-dog-training.s3.amazonaws.com/sitemap_index.xml</v>
      </c>
      <c r="C3128" s="2" t="str">
        <f>HYPERLINK("https://get-complete-dog-training.s3.amazonaws.com/sitemap_index.xml","Border Clollie")</f>
        <v>Border Clollie</v>
      </c>
    </row>
    <row r="3129">
      <c r="A3129" s="2" t="str">
        <f t="shared" si="627"/>
        <v>Dog House Training</v>
      </c>
      <c r="B3129" s="2" t="str">
        <f t="shared" si="626"/>
        <v>https://get-complete-dog-training.s3.amazonaws.com/sitemap_index.xml</v>
      </c>
      <c r="C3129" s="2" t="str">
        <f>HYPERLINK("https://get-complete-dog-training.s3.amazonaws.com/sitemap_index.xml","Doberman")</f>
        <v>Doberman</v>
      </c>
    </row>
    <row r="3130">
      <c r="A3130" s="2" t="str">
        <f t="shared" si="627"/>
        <v>Dog House Training</v>
      </c>
      <c r="B3130" s="2" t="str">
        <f t="shared" si="626"/>
        <v>https://get-complete-dog-training.s3.amazonaws.com/sitemap_index.xml</v>
      </c>
      <c r="C3130" s="2" t="str">
        <f>HYPERLINK("https://get-complete-dog-training.s3.amazonaws.com/sitemap_index.xml","Rotweiller")</f>
        <v>Rotweiller</v>
      </c>
    </row>
    <row r="3131">
      <c r="A3131" s="2" t="str">
        <f t="shared" si="627"/>
        <v>Dog House Training</v>
      </c>
      <c r="B3131" s="2" t="str">
        <f t="shared" si="626"/>
        <v>https://get-complete-dog-training.s3.amazonaws.com/sitemap_index.xml</v>
      </c>
      <c r="C3131" s="2" t="str">
        <f>HYPERLINK("https://get-complete-dog-training.s3.amazonaws.com/sitemap_index.xml","Rotwieller")</f>
        <v>Rotwieller</v>
      </c>
    </row>
    <row r="3132">
      <c r="A3132" s="2" t="str">
        <f t="shared" si="627"/>
        <v>Dog House Training</v>
      </c>
      <c r="B3132" s="2" t="str">
        <f t="shared" si="626"/>
        <v>https://get-complete-dog-training.s3.amazonaws.com/sitemap_index.xml</v>
      </c>
      <c r="C3132" s="2" t="str">
        <f>HYPERLINK("https://get-complete-dog-training.s3.amazonaws.com/sitemap_index.xml","Cross Bred")</f>
        <v>Cross Bred</v>
      </c>
    </row>
    <row r="3133">
      <c r="A3133" s="2" t="str">
        <f t="shared" ref="A3133:A3138" si="628">HYPERLINK("https://get-complete-dog-training.s3.amazonaws.com/sitemap_index.xml","Dog Aggression Training")</f>
        <v>Dog Aggression Training</v>
      </c>
      <c r="B3133" s="2" t="str">
        <f t="shared" si="626"/>
        <v>https://get-complete-dog-training.s3.amazonaws.com/sitemap_index.xml</v>
      </c>
      <c r="C3133" s="3" t="str">
        <f>HYPERLINK("https://get-complete-dog-training.s3.amazonaws.com/sitemap_index.xml","German Shepherd")</f>
        <v>German Shepherd</v>
      </c>
    </row>
    <row r="3134">
      <c r="A3134" s="2" t="str">
        <f t="shared" si="628"/>
        <v>Dog Aggression Training</v>
      </c>
      <c r="B3134" s="2" t="str">
        <f t="shared" si="626"/>
        <v>https://get-complete-dog-training.s3.amazonaws.com/sitemap_index.xml</v>
      </c>
      <c r="C3134" s="2" t="str">
        <f>HYPERLINK("https://get-complete-dog-training.s3.amazonaws.com/sitemap_index.xml","Border Clollie")</f>
        <v>Border Clollie</v>
      </c>
    </row>
    <row r="3135">
      <c r="A3135" s="2" t="str">
        <f t="shared" si="628"/>
        <v>Dog Aggression Training</v>
      </c>
      <c r="B3135" s="2" t="str">
        <f t="shared" si="626"/>
        <v>https://get-complete-dog-training.s3.amazonaws.com/sitemap_index.xml</v>
      </c>
      <c r="C3135" s="2" t="str">
        <f>HYPERLINK("https://get-complete-dog-training.s3.amazonaws.com/sitemap_index.xml","Doberman")</f>
        <v>Doberman</v>
      </c>
    </row>
    <row r="3136">
      <c r="A3136" s="2" t="str">
        <f t="shared" si="628"/>
        <v>Dog Aggression Training</v>
      </c>
      <c r="B3136" s="2" t="str">
        <f t="shared" si="626"/>
        <v>https://get-complete-dog-training.s3.amazonaws.com/sitemap_index.xml</v>
      </c>
      <c r="C3136" s="2" t="str">
        <f>HYPERLINK("https://get-complete-dog-training.s3.amazonaws.com/sitemap_index.xml","Rotweiller")</f>
        <v>Rotweiller</v>
      </c>
    </row>
    <row r="3137">
      <c r="A3137" s="2" t="str">
        <f t="shared" si="628"/>
        <v>Dog Aggression Training</v>
      </c>
      <c r="B3137" s="2" t="str">
        <f t="shared" si="626"/>
        <v>https://get-complete-dog-training.s3.amazonaws.com/sitemap_index.xml</v>
      </c>
      <c r="C3137" s="2" t="str">
        <f>HYPERLINK("https://get-complete-dog-training.s3.amazonaws.com/sitemap_index.xml","Rotwieller")</f>
        <v>Rotwieller</v>
      </c>
    </row>
    <row r="3138">
      <c r="A3138" s="2" t="str">
        <f t="shared" si="628"/>
        <v>Dog Aggression Training</v>
      </c>
      <c r="B3138" s="2" t="str">
        <f t="shared" si="626"/>
        <v>https://get-complete-dog-training.s3.amazonaws.com/sitemap_index.xml</v>
      </c>
      <c r="C3138" s="2" t="str">
        <f>HYPERLINK("https://get-complete-dog-training.s3.amazonaws.com/sitemap_index.xml","Cross Bred")</f>
        <v>Cross Bred</v>
      </c>
    </row>
    <row r="3139">
      <c r="A3139" s="2" t="str">
        <f t="shared" ref="A3139:A3144" si="629">HYPERLINK("https://get-complete-dog-training.s3.amazonaws.com/sitemap_index.xml","Dog Behaviour Training")</f>
        <v>Dog Behaviour Training</v>
      </c>
      <c r="B3139" s="2" t="str">
        <f t="shared" si="626"/>
        <v>https://get-complete-dog-training.s3.amazonaws.com/sitemap_index.xml</v>
      </c>
      <c r="C3139" s="3" t="str">
        <f>HYPERLINK("https://get-complete-dog-training.s3.amazonaws.com/sitemap_index.xml","German Shepherd")</f>
        <v>German Shepherd</v>
      </c>
    </row>
    <row r="3140">
      <c r="A3140" s="2" t="str">
        <f t="shared" si="629"/>
        <v>Dog Behaviour Training</v>
      </c>
      <c r="B3140" s="2" t="str">
        <f t="shared" si="626"/>
        <v>https://get-complete-dog-training.s3.amazonaws.com/sitemap_index.xml</v>
      </c>
      <c r="C3140" s="2" t="str">
        <f>HYPERLINK("https://get-complete-dog-training.s3.amazonaws.com/sitemap_index.xml","Border Clollie")</f>
        <v>Border Clollie</v>
      </c>
    </row>
    <row r="3141">
      <c r="A3141" s="2" t="str">
        <f t="shared" si="629"/>
        <v>Dog Behaviour Training</v>
      </c>
      <c r="B3141" s="2" t="str">
        <f t="shared" si="626"/>
        <v>https://get-complete-dog-training.s3.amazonaws.com/sitemap_index.xml</v>
      </c>
      <c r="C3141" s="2" t="str">
        <f>HYPERLINK("https://get-complete-dog-training.s3.amazonaws.com/sitemap_index.xml","Doberman")</f>
        <v>Doberman</v>
      </c>
    </row>
    <row r="3142">
      <c r="A3142" s="2" t="str">
        <f t="shared" si="629"/>
        <v>Dog Behaviour Training</v>
      </c>
      <c r="B3142" s="2" t="str">
        <f t="shared" si="626"/>
        <v>https://get-complete-dog-training.s3.amazonaws.com/sitemap_index.xml</v>
      </c>
      <c r="C3142" s="2" t="str">
        <f>HYPERLINK("https://get-complete-dog-training.s3.amazonaws.com/sitemap_index.xml","Rotweiller")</f>
        <v>Rotweiller</v>
      </c>
    </row>
    <row r="3143">
      <c r="A3143" s="2" t="str">
        <f t="shared" si="629"/>
        <v>Dog Behaviour Training</v>
      </c>
      <c r="B3143" s="2" t="str">
        <f t="shared" si="626"/>
        <v>https://get-complete-dog-training.s3.amazonaws.com/sitemap_index.xml</v>
      </c>
      <c r="C3143" s="2" t="str">
        <f>HYPERLINK("https://get-complete-dog-training.s3.amazonaws.com/sitemap_index.xml","Rotwieller")</f>
        <v>Rotwieller</v>
      </c>
    </row>
    <row r="3144">
      <c r="A3144" s="2" t="str">
        <f t="shared" si="629"/>
        <v>Dog Behaviour Training</v>
      </c>
      <c r="B3144" s="2" t="str">
        <f t="shared" si="626"/>
        <v>https://get-complete-dog-training.s3.amazonaws.com/sitemap_index.xml</v>
      </c>
      <c r="C3144" s="2" t="str">
        <f>HYPERLINK("https://get-complete-dog-training.s3.amazonaws.com/sitemap_index.xml","Cross Bred")</f>
        <v>Cross Bred</v>
      </c>
    </row>
    <row r="3145">
      <c r="A3145" s="2" t="str">
        <f t="shared" ref="A3145:A3150" si="630">HYPERLINK("https://get-complete-dog-training.s3.amazonaws.com/sitemap_index.xml","Dog : Elite Training")</f>
        <v>Dog : Elite Training</v>
      </c>
      <c r="B3145" s="2" t="str">
        <f t="shared" si="626"/>
        <v>https://get-complete-dog-training.s3.amazonaws.com/sitemap_index.xml</v>
      </c>
      <c r="C3145" s="3" t="str">
        <f>HYPERLINK("https://get-complete-dog-training.s3.amazonaws.com/sitemap_index.xml","German Shepherd")</f>
        <v>German Shepherd</v>
      </c>
    </row>
    <row r="3146">
      <c r="A3146" s="2" t="str">
        <f t="shared" si="630"/>
        <v>Dog : Elite Training</v>
      </c>
      <c r="B3146" s="2" t="str">
        <f t="shared" si="626"/>
        <v>https://get-complete-dog-training.s3.amazonaws.com/sitemap_index.xml</v>
      </c>
      <c r="C3146" s="2" t="str">
        <f>HYPERLINK("https://get-complete-dog-training.s3.amazonaws.com/sitemap_index.xml","Border Clollie")</f>
        <v>Border Clollie</v>
      </c>
    </row>
    <row r="3147">
      <c r="A3147" s="2" t="str">
        <f t="shared" si="630"/>
        <v>Dog : Elite Training</v>
      </c>
      <c r="B3147" s="2" t="str">
        <f t="shared" si="626"/>
        <v>https://get-complete-dog-training.s3.amazonaws.com/sitemap_index.xml</v>
      </c>
      <c r="C3147" s="2" t="str">
        <f>HYPERLINK("https://get-complete-dog-training.s3.amazonaws.com/sitemap_index.xml","Doberman")</f>
        <v>Doberman</v>
      </c>
    </row>
    <row r="3148">
      <c r="A3148" s="2" t="str">
        <f t="shared" si="630"/>
        <v>Dog : Elite Training</v>
      </c>
      <c r="B3148" s="2" t="str">
        <f t="shared" si="626"/>
        <v>https://get-complete-dog-training.s3.amazonaws.com/sitemap_index.xml</v>
      </c>
      <c r="C3148" s="2" t="str">
        <f>HYPERLINK("https://get-complete-dog-training.s3.amazonaws.com/sitemap_index.xml","Rotweiller")</f>
        <v>Rotweiller</v>
      </c>
    </row>
    <row r="3149">
      <c r="A3149" s="2" t="str">
        <f t="shared" si="630"/>
        <v>Dog : Elite Training</v>
      </c>
      <c r="B3149" s="2" t="str">
        <f t="shared" si="626"/>
        <v>https://get-complete-dog-training.s3.amazonaws.com/sitemap_index.xml</v>
      </c>
      <c r="C3149" s="2" t="str">
        <f>HYPERLINK("https://get-complete-dog-training.s3.amazonaws.com/sitemap_index.xml","Rotwieller")</f>
        <v>Rotwieller</v>
      </c>
    </row>
    <row r="3150">
      <c r="A3150" s="2" t="str">
        <f t="shared" si="630"/>
        <v>Dog : Elite Training</v>
      </c>
      <c r="B3150" s="2" t="str">
        <f t="shared" si="626"/>
        <v>https://get-complete-dog-training.s3.amazonaws.com/sitemap_index.xml</v>
      </c>
      <c r="C3150" s="2" t="str">
        <f>HYPERLINK("https://get-complete-dog-training.s3.amazonaws.com/sitemap_index.xml","Cross Bred")</f>
        <v>Cross Bred</v>
      </c>
    </row>
  </sheetData>
  <drawing r:id="rId1"/>
</worksheet>
</file>