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lf course mapping software" sheetId="1" r:id="rId4"/>
    <sheet state="visible" name="Keywords" sheetId="2" r:id="rId5"/>
    <sheet state="visible" name="Content" sheetId="3" r:id="rId6"/>
    <sheet state="visible" name="Calendar Events" sheetId="4" r:id="rId7"/>
  </sheets>
  <definedNames/>
  <calcPr/>
</workbook>
</file>

<file path=xl/sharedStrings.xml><?xml version="1.0" encoding="utf-8"?>
<sst xmlns="http://schemas.openxmlformats.org/spreadsheetml/2006/main" count="203" uniqueCount="106">
  <si>
    <t>target url</t>
  </si>
  <si>
    <t>golf course mapping software</t>
  </si>
  <si>
    <t>https://www.compassdatainc.com/industry-solutions/golf-country-clubs/</t>
  </si>
  <si>
    <t>folder top</t>
  </si>
  <si>
    <t>https://drive.google.com/drive/folders/1eTWsauJ1C7QDFpfghgBlG4XUhmj6PJ9w?usp=sharing</t>
  </si>
  <si>
    <t>folder articles</t>
  </si>
  <si>
    <t>golf course mapping software Articles</t>
  </si>
  <si>
    <t>https://drive.google.com/drive/folders/1Z0MfjqVRGhLle21PNhw2PmOrbXPLguwz?usp=sharing</t>
  </si>
  <si>
    <t>folder photos</t>
  </si>
  <si>
    <t>golf course mapping software Photos</t>
  </si>
  <si>
    <t>https://drive.google.com/drive/folders/1E9EfeRvqSvNw7NFUchmq7JWtUNLMDJVb?usp=sharing</t>
  </si>
  <si>
    <t>folder pdfs</t>
  </si>
  <si>
    <t>golf course mapping software PDFs</t>
  </si>
  <si>
    <t>https://drive.google.com/drive/folders/1aHpkHg2LI_5lDy48YmadbTkZnFL4xzsa?usp=sharing</t>
  </si>
  <si>
    <t>folder slides</t>
  </si>
  <si>
    <t>golf course mapping software Slides</t>
  </si>
  <si>
    <t>https://drive.google.com/drive/folders/1qQUcr6XqVA2aUuSXEuTdJuAUf40b7_S9?usp=sharing</t>
  </si>
  <si>
    <t>spreadsheet</t>
  </si>
  <si>
    <t>https://docs.google.com/spreadsheets/d/145D-LYKuafQcP-VCi03JZpafjj0gvOta_Sdv5rBxgPQ/edit?usp=sharing</t>
  </si>
  <si>
    <t>spreadsheet key</t>
  </si>
  <si>
    <t>golf course mapping software key</t>
  </si>
  <si>
    <t>https://docs.google.com/spreadsheet/pub?key=145D-LYKuafQcP-VCi03JZpafjj0gvOta_Sdv5rBxgPQ</t>
  </si>
  <si>
    <t>spreadsheet pubhtml</t>
  </si>
  <si>
    <t>golf course mapping software pubhtml</t>
  </si>
  <si>
    <t>https://docs.google.com/spreadsheets/d/145D-LYKuafQcP-VCi03JZpafjj0gvOta_Sdv5rBxgPQ/pubhtml</t>
  </si>
  <si>
    <t>spreadsheet pub</t>
  </si>
  <si>
    <t>golf course mapping software pub</t>
  </si>
  <si>
    <t>https://docs.google.com/spreadsheets/d/145D-LYKuafQcP-VCi03JZpafjj0gvOta_Sdv5rBxgPQ/pub</t>
  </si>
  <si>
    <t>spreadsheet view</t>
  </si>
  <si>
    <t>golf course mapping software view</t>
  </si>
  <si>
    <t>https://docs.google.com/spreadsheets/d/145D-LYKuafQcP-VCi03JZpafjj0gvOta_Sdv5rBxgPQ/view</t>
  </si>
  <si>
    <t>form</t>
  </si>
  <si>
    <t>https://docs.google.com/forms/d/1rcgeSSfXfehsKJymahA38TPYTAm9WTNPsjY9za7myB8/edit?usp=sharing</t>
  </si>
  <si>
    <t>drawing</t>
  </si>
  <si>
    <t>https://docs.google.com/drawings/d/1w36etvBsjPUavFgGLTEPUmo3cRs1WYmFlSuA7ORXmi0/edit?usp=sharing</t>
  </si>
  <si>
    <t>image link</t>
  </si>
  <si>
    <t>CTA or Logo - image link</t>
  </si>
  <si>
    <t>document</t>
  </si>
  <si>
    <t>golf green mapping software</t>
  </si>
  <si>
    <t>https://docs.google.com/document/d/15w3hQ0JubqXQrKBhGucuPhd18U5RksvJ1wTE38oRsd0/edit?usp=sharing</t>
  </si>
  <si>
    <t>document pub</t>
  </si>
  <si>
    <t>golf green mapping software pub</t>
  </si>
  <si>
    <t>https://docs.google.com/document/d/15w3hQ0JubqXQrKBhGucuPhd18U5RksvJ1wTE38oRsd0/pub</t>
  </si>
  <si>
    <t>document view</t>
  </si>
  <si>
    <t>golf green mapping software view</t>
  </si>
  <si>
    <t>https://docs.google.com/document/d/15w3hQ0JubqXQrKBhGucuPhd18U5RksvJ1wTE38oRsd0/view</t>
  </si>
  <si>
    <t>presentation</t>
  </si>
  <si>
    <t>https://docs.google.com/presentation/d/1JgUvurbsAYy_dlDNkpTW5S1EF9Z1k2V0mgz0ZcnLsgY/edit?usp=sharing</t>
  </si>
  <si>
    <t>presentation pub</t>
  </si>
  <si>
    <t>https://docs.google.com/presentation/d/1JgUvurbsAYy_dlDNkpTW5S1EF9Z1k2V0mgz0ZcnLsgY/pub</t>
  </si>
  <si>
    <t>presentation view</t>
  </si>
  <si>
    <t>https://docs.google.com/presentation/d/1JgUvurbsAYy_dlDNkpTW5S1EF9Z1k2V0mgz0ZcnLsgY/view</t>
  </si>
  <si>
    <t>golf course designer software</t>
  </si>
  <si>
    <t>https://docs.google.com/document/d/1Y-lexj6rwLmq8eytcTb6RTrIh6SR5U7efc8G0K0Z9iM/edit?usp=sharing</t>
  </si>
  <si>
    <t>golf course designer software pub</t>
  </si>
  <si>
    <t>https://docs.google.com/document/d/1Y-lexj6rwLmq8eytcTb6RTrIh6SR5U7efc8G0K0Z9iM/pub</t>
  </si>
  <si>
    <t>golf course designer software view</t>
  </si>
  <si>
    <t>https://docs.google.com/document/d/1Y-lexj6rwLmq8eytcTb6RTrIh6SR5U7efc8G0K0Z9iM/view</t>
  </si>
  <si>
    <t>https://docs.google.com/presentation/d/1Sy3vVe5uPaGfG_iNAVH3KyGz0-AeA8DhAnc6_EprcwM/edit?usp=sharing</t>
  </si>
  <si>
    <t>https://docs.google.com/presentation/d/1Sy3vVe5uPaGfG_iNAVH3KyGz0-AeA8DhAnc6_EprcwM/pub</t>
  </si>
  <si>
    <t>https://docs.google.com/presentation/d/1Sy3vVe5uPaGfG_iNAVH3KyGz0-AeA8DhAnc6_EprcwM/view</t>
  </si>
  <si>
    <t>golf course map software</t>
  </si>
  <si>
    <t>https://docs.google.com/document/d/19ZxxIZKyLmkKNTUVXobTJI_IV4YW1xbvGI2sMpJm-q4/edit?usp=sharing</t>
  </si>
  <si>
    <t>golf course map software pub</t>
  </si>
  <si>
    <t>https://docs.google.com/document/d/19ZxxIZKyLmkKNTUVXobTJI_IV4YW1xbvGI2sMpJm-q4/pub</t>
  </si>
  <si>
    <t>golf course map software view</t>
  </si>
  <si>
    <t>https://docs.google.com/document/d/19ZxxIZKyLmkKNTUVXobTJI_IV4YW1xbvGI2sMpJm-q4/view</t>
  </si>
  <si>
    <t>https://docs.google.com/presentation/d/1IlWsrClQpCP38Es3XSBj5huqJq54EfBc8Ncp-l16XiI/edit?usp=sharing</t>
  </si>
  <si>
    <t>https://docs.google.com/presentation/d/1IlWsrClQpCP38Es3XSBj5huqJq54EfBc8Ncp-l16XiI/pub</t>
  </si>
  <si>
    <t>https://docs.google.com/presentation/d/1IlWsrClQpCP38Es3XSBj5huqJq54EfBc8Ncp-l16XiI/view</t>
  </si>
  <si>
    <t>golf green design software</t>
  </si>
  <si>
    <t>https://docs.google.com/document/d/1Pt4eomUxkNH2CrXuejOTDM62PTBQ5ClnsbMyGIWp2X0/edit?usp=sharing</t>
  </si>
  <si>
    <t>golf green design software pub</t>
  </si>
  <si>
    <t>https://docs.google.com/document/d/1Pt4eomUxkNH2CrXuejOTDM62PTBQ5ClnsbMyGIWp2X0/pub</t>
  </si>
  <si>
    <t>golf green design software view</t>
  </si>
  <si>
    <t>https://docs.google.com/document/d/1Pt4eomUxkNH2CrXuejOTDM62PTBQ5ClnsbMyGIWp2X0/view</t>
  </si>
  <si>
    <t>https://docs.google.com/presentation/d/1UKnZZn6DzO0WC_nCbUrj0EHsnfBBq99c49scyFb25M8/edit?usp=sharing</t>
  </si>
  <si>
    <t>https://docs.google.com/presentation/d/1UKnZZn6DzO0WC_nCbUrj0EHsnfBBq99c49scyFb25M8/pub</t>
  </si>
  <si>
    <t>https://docs.google.com/presentation/d/1UKnZZn6DzO0WC_nCbUrj0EHsnfBBq99c49scyFb25M8/view</t>
  </si>
  <si>
    <t>https://docs.google.com/document/d/1YBuPoXcNpE4vikBKdVjUNEf4OspMux73cA8WllIIZvc/edit?usp=sharing</t>
  </si>
  <si>
    <t>https://docs.google.com/document/d/1YBuPoXcNpE4vikBKdVjUNEf4OspMux73cA8WllIIZvc/pub</t>
  </si>
  <si>
    <t>https://docs.google.com/document/d/1YBuPoXcNpE4vikBKdVjUNEf4OspMux73cA8WllIIZvc/view</t>
  </si>
  <si>
    <t>https://docs.google.com/presentation/d/1Jdg6Biy-Q7yU0yhh1STABeFdd0izAjvRzRP6BlW_kg8/edit?usp=sharing</t>
  </si>
  <si>
    <t>https://docs.google.com/presentation/d/1Jdg6Biy-Q7yU0yhh1STABeFdd0izAjvRzRP6BlW_kg8/pub</t>
  </si>
  <si>
    <t>https://docs.google.com/presentation/d/1Jdg6Biy-Q7yU0yhh1STABeFdd0izAjvRzRP6BlW_kg8/view</t>
  </si>
  <si>
    <t>calendar</t>
  </si>
  <si>
    <t>https://calendar.google.com/calendar/embed?src=o5ncfsvmp4b6l4r78elpg3vmao@group.calendar.google.com</t>
  </si>
  <si>
    <t>calendar - All Day Event Series</t>
  </si>
  <si>
    <t>https://www.google.com/calendar/event?eid=NG1oajNza250dWY1MXY3YWlwNnBxbHJzZ2MgbzVuY2Zzdm1wNGI2bDRyNzhlbHBnM3ZtYW9AZ3JvdXAuY2FsZW5kYXIuZ29vZ2xlLmNvbQ</t>
  </si>
  <si>
    <t>calendar - Event Series</t>
  </si>
  <si>
    <t>https://www.google.com/calendar/event?eid=NzJ0bHA2ajNobDZvamRmb2ZtMW5xZHNzbmMgbzVuY2Zzdm1wNGI2bDRyNzhlbHBnM3ZtYW9AZ3JvdXAuY2FsZW5kYXIuZ29vZ2xlLmNvbQ</t>
  </si>
  <si>
    <t>https://www.google.com/calendar/event?eid=ZXRpb2hrbGY5MGFkcXE3MGVvNjk3YWQ4dGMgbzVuY2Zzdm1wNGI2bDRyNzhlbHBnM3ZtYW9AZ3JvdXAuY2FsZW5kYXIuZ29vZ2xlLmNvbQ</t>
  </si>
  <si>
    <t>https://www.google.com/calendar/event?eid=bWxkbHExMzJia2RicXY1MjA1MGpldDlwNmsgbzVuY2Zzdm1wNGI2bDRyNzhlbHBnM3ZtYW9AZ3JvdXAuY2FsZW5kYXIuZ29vZ2xlLmNvbQ</t>
  </si>
  <si>
    <t>https://www.google.com/calendar/event?eid=bm80bjRta3BxbTJraHZnOXM5M2dxY3ZxMWcgbzVuY2Zzdm1wNGI2bDRyNzhlbHBnM3ZtYW9AZ3JvdXAuY2FsZW5kYXIuZ29vZ2xlLmNvbQ</t>
  </si>
  <si>
    <t>https://www.google.com/calendar/event?eid=dHBzdDNpdDZkcmRlM3Rva2F1aHBja3BxYTQgbzVuY2Zzdm1wNGI2bDRyNzhlbHBnM3ZtYW9AZ3JvdXAuY2FsZW5kYXIuZ29vZ2xlLmNvbQ</t>
  </si>
  <si>
    <t>keyword</t>
  </si>
  <si>
    <t>article</t>
  </si>
  <si>
    <t>Golf Course Mapping Software: Tips for Getting the Right Results
Finding the best golf course mapping software is essential for any golfer. Whether you're a beginner or an experienced player, finding great software can make your experience on the green much easier and more enjoyable. Here are some tips to help you get started.
Discuss how important it is for a golfer to find the best golf course mapping software and why.
Finding the best golf course mapping software can make or break a golfer’s enjoyment of their game. This software determines the best way to play a particular golf course and helps you customize your swing according to its unique contours. It can also help with navigation, counting shots, and handicapping rounds. So, if you want to get better at your favorite sport, finding the right golf course mapping software is essential!
Outline some tips on how to find great golf course mapping software.
Tips for finding the best golf course mapping software: 1. Start by researching the different types of golf course mapping software available. There are a variety of options, from free to paid, so it's important to find one that suits your needs and budget. 2. Once you've identified the type of software that you want, do some research on user reviews before making a purchase decision. This will help ensure that you're getting what you expect from the program and won't be disappointed once it arrives. 3.
Give an example of a good golf course mapping software program and why it is beneficial.
The popularity of golf has made it one of the most popular sports in America, with millions playing each year. While some people may be born lucky and have an innate ability to play great golf, for the majority of us, optimizing our game is essential if we want to compete at a high level. To do this effectively, we need guidance from proven training methods and tools that can improve our accuracy and trajectory on Course #1 or Course #17.</t>
  </si>
  <si>
    <t>Business Name</t>
  </si>
  <si>
    <t>CompassData</t>
  </si>
  <si>
    <t>Business Address</t>
  </si>
  <si>
    <t>7900 E Union Ave, Suite 550 Denver, Colorado 80237</t>
  </si>
  <si>
    <t>Business Phone</t>
  </si>
  <si>
    <t>1 (303) 680-3311</t>
  </si>
  <si>
    <t>All Day Event Series</t>
  </si>
  <si>
    <t>Event Series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</si>
</sst>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YBuPoXcNpE4vikBKdVjUNEf4OspMux73cA8WllIIZvc/pub" TargetMode="External"/><Relationship Id="rId42" Type="http://schemas.openxmlformats.org/officeDocument/2006/relationships/hyperlink" Target="https://docs.google.com/presentation/d/1Jdg6Biy-Q7yU0yhh1STABeFdd0izAjvRzRP6BlW_kg8/edit?usp=sharing" TargetMode="External"/><Relationship Id="rId41" Type="http://schemas.openxmlformats.org/officeDocument/2006/relationships/hyperlink" Target="https://docs.google.com/document/d/1YBuPoXcNpE4vikBKdVjUNEf4OspMux73cA8WllIIZvc/view" TargetMode="External"/><Relationship Id="rId44" Type="http://schemas.openxmlformats.org/officeDocument/2006/relationships/hyperlink" Target="https://docs.google.com/presentation/d/1Jdg6Biy-Q7yU0yhh1STABeFdd0izAjvRzRP6BlW_kg8/view" TargetMode="External"/><Relationship Id="rId43" Type="http://schemas.openxmlformats.org/officeDocument/2006/relationships/hyperlink" Target="https://docs.google.com/presentation/d/1Jdg6Biy-Q7yU0yhh1STABeFdd0izAjvRzRP6BlW_kg8/pub" TargetMode="External"/><Relationship Id="rId46" Type="http://schemas.openxmlformats.org/officeDocument/2006/relationships/hyperlink" Target="https://www.google.com/calendar/event?eid=NG1oajNza250dWY1MXY3YWlwNnBxbHJzZ2MgbzVuY2Zzdm1wNGI2bDRyNzhlbHBnM3ZtYW9AZ3JvdXAuY2FsZW5kYXIuZ29vZ2xlLmNvbQ" TargetMode="External"/><Relationship Id="rId45" Type="http://schemas.openxmlformats.org/officeDocument/2006/relationships/hyperlink" Target="https://calendar.google.com/calendar/embed?src=o5ncfsvmp4b6l4r78elpg3vmao@group.calendar.google.com" TargetMode="External"/><Relationship Id="rId1" Type="http://schemas.openxmlformats.org/officeDocument/2006/relationships/hyperlink" Target="https://www.compassdatainc.com/industry-solutions/golf-country-clubs/" TargetMode="External"/><Relationship Id="rId2" Type="http://schemas.openxmlformats.org/officeDocument/2006/relationships/hyperlink" Target="https://drive.google.com/drive/folders/1eTWsauJ1C7QDFpfghgBlG4XUhmj6PJ9w?usp=sharing" TargetMode="External"/><Relationship Id="rId3" Type="http://schemas.openxmlformats.org/officeDocument/2006/relationships/hyperlink" Target="https://drive.google.com/drive/folders/1Z0MfjqVRGhLle21PNhw2PmOrbXPLguwz?usp=sharing" TargetMode="External"/><Relationship Id="rId4" Type="http://schemas.openxmlformats.org/officeDocument/2006/relationships/hyperlink" Target="https://drive.google.com/drive/folders/1E9EfeRvqSvNw7NFUchmq7JWtUNLMDJVb?usp=sharing" TargetMode="External"/><Relationship Id="rId9" Type="http://schemas.openxmlformats.org/officeDocument/2006/relationships/hyperlink" Target="https://docs.google.com/spreadsheets/d/145D-LYKuafQcP-VCi03JZpafjj0gvOta_Sdv5rBxgPQ/pubhtml" TargetMode="External"/><Relationship Id="rId48" Type="http://schemas.openxmlformats.org/officeDocument/2006/relationships/hyperlink" Target="https://www.google.com/calendar/event?eid=ZXRpb2hrbGY5MGFkcXE3MGVvNjk3YWQ4dGMgbzVuY2Zzdm1wNGI2bDRyNzhlbHBnM3ZtYW9AZ3JvdXAuY2FsZW5kYXIuZ29vZ2xlLmNvbQ" TargetMode="External"/><Relationship Id="rId47" Type="http://schemas.openxmlformats.org/officeDocument/2006/relationships/hyperlink" Target="https://www.google.com/calendar/event?eid=NzJ0bHA2ajNobDZvamRmb2ZtMW5xZHNzbmMgbzVuY2Zzdm1wNGI2bDRyNzhlbHBnM3ZtYW9AZ3JvdXAuY2FsZW5kYXIuZ29vZ2xlLmNvbQ" TargetMode="External"/><Relationship Id="rId49" Type="http://schemas.openxmlformats.org/officeDocument/2006/relationships/hyperlink" Target="https://www.google.com/calendar/event?eid=bWxkbHExMzJia2RicXY1MjA1MGpldDlwNmsgbzVuY2Zzdm1wNGI2bDRyNzhlbHBnM3ZtYW9AZ3JvdXAuY2FsZW5kYXIuZ29vZ2xlLmNvbQ" TargetMode="External"/><Relationship Id="rId5" Type="http://schemas.openxmlformats.org/officeDocument/2006/relationships/hyperlink" Target="https://drive.google.com/drive/folders/1aHpkHg2LI_5lDy48YmadbTkZnFL4xzsa?usp=sharing" TargetMode="External"/><Relationship Id="rId6" Type="http://schemas.openxmlformats.org/officeDocument/2006/relationships/hyperlink" Target="https://drive.google.com/drive/folders/1qQUcr6XqVA2aUuSXEuTdJuAUf40b7_S9?usp=sharing" TargetMode="External"/><Relationship Id="rId7" Type="http://schemas.openxmlformats.org/officeDocument/2006/relationships/hyperlink" Target="https://docs.google.com/spreadsheets/d/145D-LYKuafQcP-VCi03JZpafjj0gvOta_Sdv5rBxgPQ/edit?usp=sharing" TargetMode="External"/><Relationship Id="rId8" Type="http://schemas.openxmlformats.org/officeDocument/2006/relationships/hyperlink" Target="https://docs.google.com/spreadsheet/pub?key=145D-LYKuafQcP-VCi03JZpafjj0gvOta_Sdv5rBxgPQ" TargetMode="External"/><Relationship Id="rId31" Type="http://schemas.openxmlformats.org/officeDocument/2006/relationships/hyperlink" Target="https://docs.google.com/presentation/d/1IlWsrClQpCP38Es3XSBj5huqJq54EfBc8Ncp-l16XiI/pub" TargetMode="External"/><Relationship Id="rId30" Type="http://schemas.openxmlformats.org/officeDocument/2006/relationships/hyperlink" Target="https://docs.google.com/presentation/d/1IlWsrClQpCP38Es3XSBj5huqJq54EfBc8Ncp-l16XiI/edit?usp=sharing" TargetMode="External"/><Relationship Id="rId33" Type="http://schemas.openxmlformats.org/officeDocument/2006/relationships/hyperlink" Target="https://docs.google.com/document/d/1Pt4eomUxkNH2CrXuejOTDM62PTBQ5ClnsbMyGIWp2X0/edit?usp=sharing" TargetMode="External"/><Relationship Id="rId32" Type="http://schemas.openxmlformats.org/officeDocument/2006/relationships/hyperlink" Target="https://docs.google.com/presentation/d/1IlWsrClQpCP38Es3XSBj5huqJq54EfBc8Ncp-l16XiI/view" TargetMode="External"/><Relationship Id="rId35" Type="http://schemas.openxmlformats.org/officeDocument/2006/relationships/hyperlink" Target="https://docs.google.com/document/d/1Pt4eomUxkNH2CrXuejOTDM62PTBQ5ClnsbMyGIWp2X0/view" TargetMode="External"/><Relationship Id="rId34" Type="http://schemas.openxmlformats.org/officeDocument/2006/relationships/hyperlink" Target="https://docs.google.com/document/d/1Pt4eomUxkNH2CrXuejOTDM62PTBQ5ClnsbMyGIWp2X0/pub" TargetMode="External"/><Relationship Id="rId37" Type="http://schemas.openxmlformats.org/officeDocument/2006/relationships/hyperlink" Target="https://docs.google.com/presentation/d/1UKnZZn6DzO0WC_nCbUrj0EHsnfBBq99c49scyFb25M8/pub" TargetMode="External"/><Relationship Id="rId36" Type="http://schemas.openxmlformats.org/officeDocument/2006/relationships/hyperlink" Target="https://docs.google.com/presentation/d/1UKnZZn6DzO0WC_nCbUrj0EHsnfBBq99c49scyFb25M8/edit?usp=sharing" TargetMode="External"/><Relationship Id="rId39" Type="http://schemas.openxmlformats.org/officeDocument/2006/relationships/hyperlink" Target="https://docs.google.com/document/d/1YBuPoXcNpE4vikBKdVjUNEf4OspMux73cA8WllIIZvc/edit?usp=sharing" TargetMode="External"/><Relationship Id="rId38" Type="http://schemas.openxmlformats.org/officeDocument/2006/relationships/hyperlink" Target="https://docs.google.com/presentation/d/1UKnZZn6DzO0WC_nCbUrj0EHsnfBBq99c49scyFb25M8/view" TargetMode="External"/><Relationship Id="rId20" Type="http://schemas.openxmlformats.org/officeDocument/2006/relationships/hyperlink" Target="https://docs.google.com/presentation/d/1JgUvurbsAYy_dlDNkpTW5S1EF9Z1k2V0mgz0ZcnLsgY/view" TargetMode="External"/><Relationship Id="rId22" Type="http://schemas.openxmlformats.org/officeDocument/2006/relationships/hyperlink" Target="https://docs.google.com/document/d/1Y-lexj6rwLmq8eytcTb6RTrIh6SR5U7efc8G0K0Z9iM/pub" TargetMode="External"/><Relationship Id="rId21" Type="http://schemas.openxmlformats.org/officeDocument/2006/relationships/hyperlink" Target="https://docs.google.com/document/d/1Y-lexj6rwLmq8eytcTb6RTrIh6SR5U7efc8G0K0Z9iM/edit?usp=sharing" TargetMode="External"/><Relationship Id="rId24" Type="http://schemas.openxmlformats.org/officeDocument/2006/relationships/hyperlink" Target="https://docs.google.com/presentation/d/1Sy3vVe5uPaGfG_iNAVH3KyGz0-AeA8DhAnc6_EprcwM/edit?usp=sharing" TargetMode="External"/><Relationship Id="rId23" Type="http://schemas.openxmlformats.org/officeDocument/2006/relationships/hyperlink" Target="https://docs.google.com/document/d/1Y-lexj6rwLmq8eytcTb6RTrIh6SR5U7efc8G0K0Z9iM/view" TargetMode="External"/><Relationship Id="rId26" Type="http://schemas.openxmlformats.org/officeDocument/2006/relationships/hyperlink" Target="https://docs.google.com/presentation/d/1Sy3vVe5uPaGfG_iNAVH3KyGz0-AeA8DhAnc6_EprcwM/view" TargetMode="External"/><Relationship Id="rId25" Type="http://schemas.openxmlformats.org/officeDocument/2006/relationships/hyperlink" Target="https://docs.google.com/presentation/d/1Sy3vVe5uPaGfG_iNAVH3KyGz0-AeA8DhAnc6_EprcwM/pub" TargetMode="External"/><Relationship Id="rId28" Type="http://schemas.openxmlformats.org/officeDocument/2006/relationships/hyperlink" Target="https://docs.google.com/document/d/19ZxxIZKyLmkKNTUVXobTJI_IV4YW1xbvGI2sMpJm-q4/pub" TargetMode="External"/><Relationship Id="rId27" Type="http://schemas.openxmlformats.org/officeDocument/2006/relationships/hyperlink" Target="https://docs.google.com/document/d/19ZxxIZKyLmkKNTUVXobTJI_IV4YW1xbvGI2sMpJm-q4/edit?usp=sharing" TargetMode="External"/><Relationship Id="rId29" Type="http://schemas.openxmlformats.org/officeDocument/2006/relationships/hyperlink" Target="https://docs.google.com/document/d/19ZxxIZKyLmkKNTUVXobTJI_IV4YW1xbvGI2sMpJm-q4/view" TargetMode="External"/><Relationship Id="rId51" Type="http://schemas.openxmlformats.org/officeDocument/2006/relationships/hyperlink" Target="https://www.google.com/calendar/event?eid=dHBzdDNpdDZkcmRlM3Rva2F1aHBja3BxYTQgbzVuY2Zzdm1wNGI2bDRyNzhlbHBnM3ZtYW9AZ3JvdXAuY2FsZW5kYXIuZ29vZ2xlLmNvbQ" TargetMode="External"/><Relationship Id="rId50" Type="http://schemas.openxmlformats.org/officeDocument/2006/relationships/hyperlink" Target="https://www.google.com/calendar/event?eid=bm80bjRta3BxbTJraHZnOXM5M2dxY3ZxMWcgbzVuY2Zzdm1wNGI2bDRyNzhlbHBnM3ZtYW9AZ3JvdXAuY2FsZW5kYXIuZ29vZ2xlLmNvbQ" TargetMode="External"/><Relationship Id="rId52" Type="http://schemas.openxmlformats.org/officeDocument/2006/relationships/drawing" Target="../drawings/drawing1.xml"/><Relationship Id="rId11" Type="http://schemas.openxmlformats.org/officeDocument/2006/relationships/hyperlink" Target="https://docs.google.com/spreadsheets/d/145D-LYKuafQcP-VCi03JZpafjj0gvOta_Sdv5rBxgPQ/view" TargetMode="External"/><Relationship Id="rId10" Type="http://schemas.openxmlformats.org/officeDocument/2006/relationships/hyperlink" Target="https://docs.google.com/spreadsheets/d/145D-LYKuafQcP-VCi03JZpafjj0gvOta_Sdv5rBxgPQ/pub" TargetMode="External"/><Relationship Id="rId13" Type="http://schemas.openxmlformats.org/officeDocument/2006/relationships/hyperlink" Target="https://docs.google.com/drawings/d/1w36etvBsjPUavFgGLTEPUmo3cRs1WYmFlSuA7ORXmi0/edit?usp=sharing" TargetMode="External"/><Relationship Id="rId12" Type="http://schemas.openxmlformats.org/officeDocument/2006/relationships/hyperlink" Target="https://docs.google.com/forms/d/1rcgeSSfXfehsKJymahA38TPYTAm9WTNPsjY9za7myB8/edit?usp=sharing" TargetMode="External"/><Relationship Id="rId15" Type="http://schemas.openxmlformats.org/officeDocument/2006/relationships/hyperlink" Target="https://docs.google.com/document/d/15w3hQ0JubqXQrKBhGucuPhd18U5RksvJ1wTE38oRsd0/edit?usp=sharing" TargetMode="External"/><Relationship Id="rId14" Type="http://schemas.openxmlformats.org/officeDocument/2006/relationships/hyperlink" Target="https://www.compassdatainc.com/industry-solutions/golf-country-clubs/" TargetMode="External"/><Relationship Id="rId17" Type="http://schemas.openxmlformats.org/officeDocument/2006/relationships/hyperlink" Target="https://docs.google.com/document/d/15w3hQ0JubqXQrKBhGucuPhd18U5RksvJ1wTE38oRsd0/view" TargetMode="External"/><Relationship Id="rId16" Type="http://schemas.openxmlformats.org/officeDocument/2006/relationships/hyperlink" Target="https://docs.google.com/document/d/15w3hQ0JubqXQrKBhGucuPhd18U5RksvJ1wTE38oRsd0/pub" TargetMode="External"/><Relationship Id="rId19" Type="http://schemas.openxmlformats.org/officeDocument/2006/relationships/hyperlink" Target="https://docs.google.com/presentation/d/1JgUvurbsAYy_dlDNkpTW5S1EF9Z1k2V0mgz0ZcnLsgY/pub" TargetMode="External"/><Relationship Id="rId18" Type="http://schemas.openxmlformats.org/officeDocument/2006/relationships/hyperlink" Target="https://docs.google.com/presentation/d/1JgUvurbsAYy_dlDNkpTW5S1EF9Z1k2V0mgz0ZcnLsgY/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compassdatainc.com/industry-solutions/golf-country-clubs/" TargetMode="External"/><Relationship Id="rId2" Type="http://schemas.openxmlformats.org/officeDocument/2006/relationships/hyperlink" Target="https://drive.google.com/drive/folders/1eTWsauJ1C7QDFpfghgBlG4XUhmj6PJ9w?usp=sharing" TargetMode="External"/><Relationship Id="rId3" Type="http://schemas.openxmlformats.org/officeDocument/2006/relationships/hyperlink" Target="https://drive.google.com/drive/folders/1Z0MfjqVRGhLle21PNhw2PmOrbXPLguwz?usp=sharing" TargetMode="External"/><Relationship Id="rId4" Type="http://schemas.openxmlformats.org/officeDocument/2006/relationships/hyperlink" Target="https://drive.google.com/drive/folders/1E9EfeRvqSvNw7NFUchmq7JWtUNLMDJVb?usp=sharing" TargetMode="External"/><Relationship Id="rId5" Type="http://schemas.openxmlformats.org/officeDocument/2006/relationships/hyperlink" Target="https://drive.google.com/drive/folders/1aHpkHg2LI_5lDy48YmadbTkZnFL4xzsa?usp=sharing"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google.com/calendar/event?eid=NG1oajNza250dWY1MXY3YWlwNnBxbHJzZ2MgbzVuY2Zzdm1wNGI2bDRyNzhlbHBnM3ZtYW9AZ3JvdXAuY2FsZW5kYXIuZ29vZ2xlLmNvbQ" TargetMode="External"/><Relationship Id="rId2" Type="http://schemas.openxmlformats.org/officeDocument/2006/relationships/hyperlink" Target="https://www.google.com/calendar/event?eid=NzJ0bHA2ajNobDZvamRmb2ZtMW5xZHNzbmMgbzVuY2Zzdm1wNGI2bDRyNzhlbHBnM3ZtYW9AZ3JvdXAuY2FsZW5kYXIuZ29vZ2xlLmNvbQ" TargetMode="External"/><Relationship Id="rId3" Type="http://schemas.openxmlformats.org/officeDocument/2006/relationships/hyperlink" Target="https://www.google.com/calendar/event?eid=ZXRpb2hrbGY5MGFkcXE3MGVvNjk3YWQ4dGMgbzVuY2Zzdm1wNGI2bDRyNzhlbHBnM3ZtYW9AZ3JvdXAuY2FsZW5kYXIuZ29vZ2xlLmNvbQ" TargetMode="External"/><Relationship Id="rId4" Type="http://schemas.openxmlformats.org/officeDocument/2006/relationships/hyperlink" Target="https://www.google.com/calendar/event?eid=bWxkbHExMzJia2RicXY1MjA1MGpldDlwNmsgbzVuY2Zzdm1wNGI2bDRyNzhlbHBnM3ZtYW9AZ3JvdXAuY2FsZW5kYXIuZ29vZ2xlLmNvbQ" TargetMode="External"/><Relationship Id="rId5" Type="http://schemas.openxmlformats.org/officeDocument/2006/relationships/hyperlink" Target="https://www.google.com/calendar/event?eid=bm80bjRta3BxbTJraHZnOXM5M2dxY3ZxMWcgbzVuY2Zzdm1wNGI2bDRyNzhlbHBnM3ZtYW9AZ3JvdXAuY2FsZW5kYXIuZ29vZ2xlLmNvbQ" TargetMode="External"/><Relationship Id="rId6" Type="http://schemas.openxmlformats.org/officeDocument/2006/relationships/hyperlink" Target="https://www.google.com/calendar/event?eid=dHBzdDNpdDZkcmRlM3Rva2F1aHBja3BxYTQgbzVuY2Zzdm1wNGI2bDRyNzhlbHBnM3ZtYW9AZ3JvdXAuY2FsZW5kYXIuZ29vZ2xlLmNvbQ" TargetMode="External"/><Relationship Id="rId7"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75.0" customHeight="1">
      <c r="A1" s="1" t="s">
        <v>0</v>
      </c>
      <c r="B1" s="1" t="s">
        <v>1</v>
      </c>
      <c r="C1" s="2" t="str">
        <f>HYPERLINK("https://www.compassdatainc.com/industry-solutions/golf-country-clubs/", IMAGE("https://chart.googleapis.com/chart?chs=100x100&amp;cht=qr&amp;chl=https://www.compassdatainc.com/industry-solutions/golf-country-clubs/",4,100,100))</f>
        <v>#REF!</v>
      </c>
      <c r="D1" s="3" t="s">
        <v>2</v>
      </c>
      <c r="E1" s="4" t="str">
        <f>HYPERLINK("https://www.compassdatainc.com/industry-solutions/golf-country-clubs/","golf course mapping software")</f>
        <v>golf course mapping software</v>
      </c>
    </row>
    <row r="2" ht="75.0" customHeight="1">
      <c r="A2" s="1" t="s">
        <v>3</v>
      </c>
      <c r="B2" s="1" t="s">
        <v>1</v>
      </c>
      <c r="C2" s="2" t="str">
        <f>HYPERLINK("https://drive.google.com/drive/folders/1eTWsauJ1C7QDFpfghgBlG4XUhmj6PJ9w?usp=sharing", IMAGE("https://chart.googleapis.com/chart?chs=100x100&amp;cht=qr&amp;chl=https://drive.google.com/drive/folders/1eTWsauJ1C7QDFpfghgBlG4XUhmj6PJ9w?usp=sharing",4,100,100))</f>
        <v>#REF!</v>
      </c>
      <c r="D2" s="3" t="s">
        <v>4</v>
      </c>
      <c r="E2" s="4" t="str">
        <f>HYPERLINK("https://drive.google.com/drive/folders/1eTWsauJ1C7QDFpfghgBlG4XUhmj6PJ9w?usp=sharing","golf course mapping software")</f>
        <v>golf course mapping software</v>
      </c>
    </row>
    <row r="3" ht="75.0" customHeight="1">
      <c r="A3" s="1" t="s">
        <v>5</v>
      </c>
      <c r="B3" s="1" t="s">
        <v>6</v>
      </c>
      <c r="C3" s="2" t="str">
        <f>HYPERLINK("https://drive.google.com/drive/folders/1Z0MfjqVRGhLle21PNhw2PmOrbXPLguwz?usp=sharing", IMAGE("https://chart.googleapis.com/chart?chs=100x100&amp;cht=qr&amp;chl=https://drive.google.com/drive/folders/1Z0MfjqVRGhLle21PNhw2PmOrbXPLguwz?usp=sharing",4,100,100))</f>
        <v>#REF!</v>
      </c>
      <c r="D3" s="3" t="s">
        <v>7</v>
      </c>
      <c r="E3" s="4" t="str">
        <f>HYPERLINK("https://drive.google.com/drive/folders/1Z0MfjqVRGhLle21PNhw2PmOrbXPLguwz?usp=sharing","golf course mapping software Articles")</f>
        <v>golf course mapping software Articles</v>
      </c>
    </row>
    <row r="4" ht="75.0" customHeight="1">
      <c r="A4" s="1" t="s">
        <v>8</v>
      </c>
      <c r="B4" s="1" t="s">
        <v>9</v>
      </c>
      <c r="C4" s="2" t="str">
        <f>HYPERLINK("https://drive.google.com/drive/folders/1E9EfeRvqSvNw7NFUchmq7JWtUNLMDJVb?usp=sharing", IMAGE("https://chart.googleapis.com/chart?chs=100x100&amp;cht=qr&amp;chl=https://drive.google.com/drive/folders/1E9EfeRvqSvNw7NFUchmq7JWtUNLMDJVb?usp=sharing",4,100,100))</f>
        <v>#REF!</v>
      </c>
      <c r="D4" s="3" t="s">
        <v>10</v>
      </c>
      <c r="E4" s="4" t="str">
        <f>HYPERLINK("https://drive.google.com/drive/folders/1E9EfeRvqSvNw7NFUchmq7JWtUNLMDJVb?usp=sharing","golf course mapping software Photos")</f>
        <v>golf course mapping software Photos</v>
      </c>
    </row>
    <row r="5" ht="75.0" customHeight="1">
      <c r="A5" s="1" t="s">
        <v>11</v>
      </c>
      <c r="B5" s="1" t="s">
        <v>12</v>
      </c>
      <c r="C5" s="2" t="str">
        <f>HYPERLINK("https://drive.google.com/drive/folders/1aHpkHg2LI_5lDy48YmadbTkZnFL4xzsa?usp=sharing", IMAGE("https://chart.googleapis.com/chart?chs=100x100&amp;cht=qr&amp;chl=https://drive.google.com/drive/folders/1aHpkHg2LI_5lDy48YmadbTkZnFL4xzsa?usp=sharing",4,100,100))</f>
        <v>#REF!</v>
      </c>
      <c r="D5" s="3" t="s">
        <v>13</v>
      </c>
      <c r="E5" s="4" t="str">
        <f>HYPERLINK("https://drive.google.com/drive/folders/1aHpkHg2LI_5lDy48YmadbTkZnFL4xzsa?usp=sharing","golf course mapping software PDFs")</f>
        <v>golf course mapping software PDFs</v>
      </c>
    </row>
    <row r="6" ht="75.0" customHeight="1">
      <c r="A6" s="1" t="s">
        <v>14</v>
      </c>
      <c r="B6" s="1" t="s">
        <v>15</v>
      </c>
      <c r="C6" s="2" t="str">
        <f>HYPERLINK("https://drive.google.com/drive/folders/1qQUcr6XqVA2aUuSXEuTdJuAUf40b7_S9?usp=sharing", IMAGE("https://chart.googleapis.com/chart?chs=100x100&amp;cht=qr&amp;chl=https://drive.google.com/drive/folders/1qQUcr6XqVA2aUuSXEuTdJuAUf40b7_S9?usp=sharing",4,100,100))</f>
        <v>#REF!</v>
      </c>
      <c r="D6" s="3" t="s">
        <v>16</v>
      </c>
      <c r="E6" s="4" t="str">
        <f>HYPERLINK("https://drive.google.com/drive/folders/1qQUcr6XqVA2aUuSXEuTdJuAUf40b7_S9?usp=sharing","golf course mapping software Slides")</f>
        <v>golf course mapping software Slides</v>
      </c>
    </row>
    <row r="7" ht="75.0" customHeight="1">
      <c r="A7" s="1" t="s">
        <v>17</v>
      </c>
      <c r="B7" s="1" t="s">
        <v>1</v>
      </c>
      <c r="C7" s="2" t="str">
        <f>HYPERLINK("https://docs.google.com/spreadsheets/d/145D-LYKuafQcP-VCi03JZpafjj0gvOta_Sdv5rBxgPQ/edit?usp=sharing", IMAGE("https://chart.googleapis.com/chart?chs=100x100&amp;cht=qr&amp;chl=https://docs.google.com/spreadsheets/d/145D-LYKuafQcP-VCi03JZpafjj0gvOta_Sdv5rBxgPQ/edit?usp=sharing",4,100,100))</f>
        <v>#REF!</v>
      </c>
      <c r="D7" s="3" t="s">
        <v>18</v>
      </c>
      <c r="E7" s="4" t="str">
        <f t="shared" ref="E7:E11" si="1">HYPERLINK("https://docs.google.com/spreadsheets/d/145D-LYKuafQcP-VCi03JZpafjj0gvOta_Sdv5rBxgPQ/edit?usp=sharing","golf course mapping software")</f>
        <v>golf course mapping software</v>
      </c>
    </row>
    <row r="8" ht="75.0" customHeight="1">
      <c r="A8" s="1" t="s">
        <v>19</v>
      </c>
      <c r="B8" s="1" t="s">
        <v>20</v>
      </c>
      <c r="C8" s="2" t="str">
        <f>HYPERLINK("https://docs.google.com/spreadsheet/pub?key=145D-LYKuafQcP-VCi03JZpafjj0gvOta_Sdv5rBxgPQ", IMAGE("https://chart.googleapis.com/chart?chs=100x100&amp;cht=qr&amp;chl=https://docs.google.com/spreadsheet/pub?key=145D-LYKuafQcP-VCi03JZpafjj0gvOta_Sdv5rBxgPQ",4,100,100))</f>
        <v>#REF!</v>
      </c>
      <c r="D8" s="3" t="s">
        <v>21</v>
      </c>
      <c r="E8" s="4" t="str">
        <f t="shared" si="1"/>
        <v>golf course mapping software</v>
      </c>
    </row>
    <row r="9" ht="75.0" customHeight="1">
      <c r="A9" s="1" t="s">
        <v>22</v>
      </c>
      <c r="B9" s="1" t="s">
        <v>23</v>
      </c>
      <c r="C9" s="2" t="str">
        <f>HYPERLINK("https://docs.google.com/spreadsheets/d/145D-LYKuafQcP-VCi03JZpafjj0gvOta_Sdv5rBxgPQ/pubhtml", IMAGE("https://chart.googleapis.com/chart?chs=100x100&amp;cht=qr&amp;chl=https://docs.google.com/spreadsheets/d/145D-LYKuafQcP-VCi03JZpafjj0gvOta_Sdv5rBxgPQ/pubhtml",4,100,100))</f>
        <v>#REF!</v>
      </c>
      <c r="D9" s="3" t="s">
        <v>24</v>
      </c>
      <c r="E9" s="4" t="str">
        <f t="shared" si="1"/>
        <v>golf course mapping software</v>
      </c>
    </row>
    <row r="10" ht="75.0" customHeight="1">
      <c r="A10" s="1" t="s">
        <v>25</v>
      </c>
      <c r="B10" s="1" t="s">
        <v>26</v>
      </c>
      <c r="C10" s="2" t="str">
        <f>HYPERLINK("https://docs.google.com/spreadsheets/d/145D-LYKuafQcP-VCi03JZpafjj0gvOta_Sdv5rBxgPQ/pub", IMAGE("https://chart.googleapis.com/chart?chs=100x100&amp;cht=qr&amp;chl=https://docs.google.com/spreadsheets/d/145D-LYKuafQcP-VCi03JZpafjj0gvOta_Sdv5rBxgPQ/pub",4,100,100))</f>
        <v>#REF!</v>
      </c>
      <c r="D10" s="3" t="s">
        <v>27</v>
      </c>
      <c r="E10" s="4" t="str">
        <f t="shared" si="1"/>
        <v>golf course mapping software</v>
      </c>
    </row>
    <row r="11" ht="75.0" customHeight="1">
      <c r="A11" s="1" t="s">
        <v>28</v>
      </c>
      <c r="B11" s="1" t="s">
        <v>29</v>
      </c>
      <c r="C11" s="2" t="str">
        <f>HYPERLINK("https://docs.google.com/spreadsheets/d/145D-LYKuafQcP-VCi03JZpafjj0gvOta_Sdv5rBxgPQ/view", IMAGE("https://chart.googleapis.com/chart?chs=100x100&amp;cht=qr&amp;chl=https://docs.google.com/spreadsheets/d/145D-LYKuafQcP-VCi03JZpafjj0gvOta_Sdv5rBxgPQ/view",4,100,100))</f>
        <v>#REF!</v>
      </c>
      <c r="D11" s="3" t="s">
        <v>30</v>
      </c>
      <c r="E11" s="4" t="str">
        <f t="shared" si="1"/>
        <v>golf course mapping software</v>
      </c>
    </row>
    <row r="12" ht="75.0" customHeight="1">
      <c r="A12" s="1" t="s">
        <v>31</v>
      </c>
      <c r="B12" s="1" t="s">
        <v>1</v>
      </c>
      <c r="C12" s="2" t="str">
        <f>HYPERLINK("https://docs.google.com/forms/d/1rcgeSSfXfehsKJymahA38TPYTAm9WTNPsjY9za7myB8/edit?usp=sharing", IMAGE("https://chart.googleapis.com/chart?chs=100x100&amp;cht=qr&amp;chl=https://docs.google.com/forms/d/1rcgeSSfXfehsKJymahA38TPYTAm9WTNPsjY9za7myB8/edit?usp=sharing",4,100,100))</f>
        <v>#REF!</v>
      </c>
      <c r="D12" s="3" t="s">
        <v>32</v>
      </c>
      <c r="E12" s="4" t="str">
        <f>HYPERLINK("https://docs.google.com/forms/d/1rcgeSSfXfehsKJymahA38TPYTAm9WTNPsjY9za7myB8/edit?usp=sharing","golf course mapping software")</f>
        <v>golf course mapping software</v>
      </c>
    </row>
    <row r="13" ht="75.0" customHeight="1">
      <c r="A13" s="1" t="s">
        <v>33</v>
      </c>
      <c r="B13" s="1" t="s">
        <v>1</v>
      </c>
      <c r="C13" s="2" t="str">
        <f>HYPERLINK("https://docs.google.com/drawings/d/1w36etvBsjPUavFgGLTEPUmo3cRs1WYmFlSuA7ORXmi0/edit?usp=sharing", IMAGE("https://chart.googleapis.com/chart?chs=100x100&amp;cht=qr&amp;chl=https://docs.google.com/drawings/d/1w36etvBsjPUavFgGLTEPUmo3cRs1WYmFlSuA7ORXmi0/edit?usp=sharing",4,100,100))</f>
        <v>#REF!</v>
      </c>
      <c r="D13" s="3" t="s">
        <v>34</v>
      </c>
      <c r="E13" s="4" t="str">
        <f>HYPERLINK("https://docs.google.com/drawings/d/1w36etvBsjPUavFgGLTEPUmo3cRs1WYmFlSuA7ORXmi0/edit?usp=sharing","golf course mapping software")</f>
        <v>golf course mapping software</v>
      </c>
    </row>
    <row r="14" ht="75.0" customHeight="1">
      <c r="A14" s="1" t="s">
        <v>35</v>
      </c>
      <c r="B14" s="1" t="s">
        <v>36</v>
      </c>
      <c r="C14" s="2" t="str">
        <f>HYPERLINK("https://www.compassdatainc.com/industry-solutions/golf-country-clubs/", IMAGE("https://chart.googleapis.com/chart?chs=100x100&amp;cht=qr&amp;chl=https://www.compassdatainc.com/industry-solutions/golf-country-clubs/",4,100,100))</f>
        <v>#REF!</v>
      </c>
      <c r="D14" s="3" t="s">
        <v>2</v>
      </c>
    </row>
    <row r="15" ht="75.0" customHeight="1">
      <c r="A15" s="1" t="s">
        <v>37</v>
      </c>
      <c r="B15" s="1" t="s">
        <v>38</v>
      </c>
      <c r="C15" s="2" t="str">
        <f>HYPERLINK("https://docs.google.com/document/d/15w3hQ0JubqXQrKBhGucuPhd18U5RksvJ1wTE38oRsd0/edit?usp=sharing", IMAGE("https://chart.googleapis.com/chart?chs=100x100&amp;cht=qr&amp;chl=https://docs.google.com/document/d/15w3hQ0JubqXQrKBhGucuPhd18U5RksvJ1wTE38oRsd0/edit?usp=sharing",4,100,100))</f>
        <v>#REF!</v>
      </c>
      <c r="D15" s="3" t="s">
        <v>39</v>
      </c>
      <c r="E15" s="4" t="str">
        <f t="shared" ref="E15:E17" si="2">HYPERLINK("https://docs.google.com/document/d/15w3hQ0JubqXQrKBhGucuPhd18U5RksvJ1wTE38oRsd0/edit?usp=sharing","golf green mapping software")</f>
        <v>golf green mapping software</v>
      </c>
    </row>
    <row r="16" ht="75.0" customHeight="1">
      <c r="A16" s="1" t="s">
        <v>40</v>
      </c>
      <c r="B16" s="1" t="s">
        <v>41</v>
      </c>
      <c r="C16" s="2" t="str">
        <f>HYPERLINK("https://docs.google.com/document/d/15w3hQ0JubqXQrKBhGucuPhd18U5RksvJ1wTE38oRsd0/pub", IMAGE("https://chart.googleapis.com/chart?chs=100x100&amp;cht=qr&amp;chl=https://docs.google.com/document/d/15w3hQ0JubqXQrKBhGucuPhd18U5RksvJ1wTE38oRsd0/pub",4,100,100))</f>
        <v>#REF!</v>
      </c>
      <c r="D16" s="3" t="s">
        <v>42</v>
      </c>
      <c r="E16" s="4" t="str">
        <f t="shared" si="2"/>
        <v>golf green mapping software</v>
      </c>
    </row>
    <row r="17" ht="75.0" customHeight="1">
      <c r="A17" s="1" t="s">
        <v>43</v>
      </c>
      <c r="B17" s="1" t="s">
        <v>44</v>
      </c>
      <c r="C17" s="2" t="str">
        <f>HYPERLINK("https://docs.google.com/document/d/15w3hQ0JubqXQrKBhGucuPhd18U5RksvJ1wTE38oRsd0/view", IMAGE("https://chart.googleapis.com/chart?chs=100x100&amp;cht=qr&amp;chl=https://docs.google.com/document/d/15w3hQ0JubqXQrKBhGucuPhd18U5RksvJ1wTE38oRsd0/view",4,100,100))</f>
        <v>#REF!</v>
      </c>
      <c r="D17" s="3" t="s">
        <v>45</v>
      </c>
      <c r="E17" s="4" t="str">
        <f t="shared" si="2"/>
        <v>golf green mapping software</v>
      </c>
    </row>
    <row r="18" ht="75.0" customHeight="1">
      <c r="A18" s="1" t="s">
        <v>46</v>
      </c>
      <c r="B18" s="1" t="s">
        <v>38</v>
      </c>
      <c r="C18" s="2" t="str">
        <f>HYPERLINK("https://docs.google.com/presentation/d/1JgUvurbsAYy_dlDNkpTW5S1EF9Z1k2V0mgz0ZcnLsgY/edit?usp=sharing", IMAGE("https://chart.googleapis.com/chart?chs=100x100&amp;cht=qr&amp;chl=https://docs.google.com/presentation/d/1JgUvurbsAYy_dlDNkpTW5S1EF9Z1k2V0mgz0ZcnLsgY/edit?usp=sharing",4,100,100))</f>
        <v>#REF!</v>
      </c>
      <c r="D18" s="3" t="s">
        <v>47</v>
      </c>
      <c r="E18" s="4" t="str">
        <f t="shared" ref="E18:E20" si="3">HYPERLINK("https://docs.google.com/presentation/d/1JgUvurbsAYy_dlDNkpTW5S1EF9Z1k2V0mgz0ZcnLsgY/edit?usp=sharing","golf green mapping software")</f>
        <v>golf green mapping software</v>
      </c>
    </row>
    <row r="19" ht="75.0" customHeight="1">
      <c r="A19" s="1" t="s">
        <v>48</v>
      </c>
      <c r="B19" s="1" t="s">
        <v>41</v>
      </c>
      <c r="C19" s="2" t="str">
        <f>HYPERLINK("https://docs.google.com/presentation/d/1JgUvurbsAYy_dlDNkpTW5S1EF9Z1k2V0mgz0ZcnLsgY/pub", IMAGE("https://chart.googleapis.com/chart?chs=100x100&amp;cht=qr&amp;chl=https://docs.google.com/presentation/d/1JgUvurbsAYy_dlDNkpTW5S1EF9Z1k2V0mgz0ZcnLsgY/pub",4,100,100))</f>
        <v>#REF!</v>
      </c>
      <c r="D19" s="3" t="s">
        <v>49</v>
      </c>
      <c r="E19" s="4" t="str">
        <f t="shared" si="3"/>
        <v>golf green mapping software</v>
      </c>
    </row>
    <row r="20" ht="75.0" customHeight="1">
      <c r="A20" s="1" t="s">
        <v>50</v>
      </c>
      <c r="B20" s="1" t="s">
        <v>44</v>
      </c>
      <c r="C20" s="2" t="str">
        <f>HYPERLINK("https://docs.google.com/presentation/d/1JgUvurbsAYy_dlDNkpTW5S1EF9Z1k2V0mgz0ZcnLsgY/view", IMAGE("https://chart.googleapis.com/chart?chs=100x100&amp;cht=qr&amp;chl=https://docs.google.com/presentation/d/1JgUvurbsAYy_dlDNkpTW5S1EF9Z1k2V0mgz0ZcnLsgY/view",4,100,100))</f>
        <v>#REF!</v>
      </c>
      <c r="D20" s="3" t="s">
        <v>51</v>
      </c>
      <c r="E20" s="4" t="str">
        <f t="shared" si="3"/>
        <v>golf green mapping software</v>
      </c>
    </row>
    <row r="21" ht="75.0" customHeight="1">
      <c r="A21" s="1" t="s">
        <v>37</v>
      </c>
      <c r="B21" s="1" t="s">
        <v>52</v>
      </c>
      <c r="C21" s="2" t="str">
        <f>HYPERLINK("https://docs.google.com/document/d/1Y-lexj6rwLmq8eytcTb6RTrIh6SR5U7efc8G0K0Z9iM/edit?usp=sharing", IMAGE("https://chart.googleapis.com/chart?chs=100x100&amp;cht=qr&amp;chl=https://docs.google.com/document/d/1Y-lexj6rwLmq8eytcTb6RTrIh6SR5U7efc8G0K0Z9iM/edit?usp=sharing",4,100,100))</f>
        <v>#REF!</v>
      </c>
      <c r="D21" s="3" t="s">
        <v>53</v>
      </c>
      <c r="E21" s="4" t="str">
        <f t="shared" ref="E21:E23" si="4">HYPERLINK("https://docs.google.com/document/d/1Y-lexj6rwLmq8eytcTb6RTrIh6SR5U7efc8G0K0Z9iM/edit?usp=sharing","golf course designer software")</f>
        <v>golf course designer software</v>
      </c>
    </row>
    <row r="22" ht="75.0" customHeight="1">
      <c r="A22" s="1" t="s">
        <v>40</v>
      </c>
      <c r="B22" s="1" t="s">
        <v>54</v>
      </c>
      <c r="C22" s="2" t="str">
        <f>HYPERLINK("https://docs.google.com/document/d/1Y-lexj6rwLmq8eytcTb6RTrIh6SR5U7efc8G0K0Z9iM/pub", IMAGE("https://chart.googleapis.com/chart?chs=100x100&amp;cht=qr&amp;chl=https://docs.google.com/document/d/1Y-lexj6rwLmq8eytcTb6RTrIh6SR5U7efc8G0K0Z9iM/pub",4,100,100))</f>
        <v>#REF!</v>
      </c>
      <c r="D22" s="3" t="s">
        <v>55</v>
      </c>
      <c r="E22" s="4" t="str">
        <f t="shared" si="4"/>
        <v>golf course designer software</v>
      </c>
    </row>
    <row r="23" ht="75.0" customHeight="1">
      <c r="A23" s="1" t="s">
        <v>43</v>
      </c>
      <c r="B23" s="1" t="s">
        <v>56</v>
      </c>
      <c r="C23" s="2" t="str">
        <f>HYPERLINK("https://docs.google.com/document/d/1Y-lexj6rwLmq8eytcTb6RTrIh6SR5U7efc8G0K0Z9iM/view", IMAGE("https://chart.googleapis.com/chart?chs=100x100&amp;cht=qr&amp;chl=https://docs.google.com/document/d/1Y-lexj6rwLmq8eytcTb6RTrIh6SR5U7efc8G0K0Z9iM/view",4,100,100))</f>
        <v>#REF!</v>
      </c>
      <c r="D23" s="3" t="s">
        <v>57</v>
      </c>
      <c r="E23" s="4" t="str">
        <f t="shared" si="4"/>
        <v>golf course designer software</v>
      </c>
    </row>
    <row r="24" ht="75.0" customHeight="1">
      <c r="A24" s="1" t="s">
        <v>46</v>
      </c>
      <c r="B24" s="1" t="s">
        <v>52</v>
      </c>
      <c r="C24" s="2" t="str">
        <f>HYPERLINK("https://docs.google.com/presentation/d/1Sy3vVe5uPaGfG_iNAVH3KyGz0-AeA8DhAnc6_EprcwM/edit?usp=sharing", IMAGE("https://chart.googleapis.com/chart?chs=100x100&amp;cht=qr&amp;chl=https://docs.google.com/presentation/d/1Sy3vVe5uPaGfG_iNAVH3KyGz0-AeA8DhAnc6_EprcwM/edit?usp=sharing",4,100,100))</f>
        <v>#REF!</v>
      </c>
      <c r="D24" s="3" t="s">
        <v>58</v>
      </c>
      <c r="E24" s="4" t="str">
        <f t="shared" ref="E24:E26" si="5">HYPERLINK("https://docs.google.com/presentation/d/1Sy3vVe5uPaGfG_iNAVH3KyGz0-AeA8DhAnc6_EprcwM/edit?usp=sharing","golf course designer software")</f>
        <v>golf course designer software</v>
      </c>
    </row>
    <row r="25" ht="75.0" customHeight="1">
      <c r="A25" s="1" t="s">
        <v>48</v>
      </c>
      <c r="B25" s="1" t="s">
        <v>54</v>
      </c>
      <c r="C25" s="2" t="str">
        <f>HYPERLINK("https://docs.google.com/presentation/d/1Sy3vVe5uPaGfG_iNAVH3KyGz0-AeA8DhAnc6_EprcwM/pub", IMAGE("https://chart.googleapis.com/chart?chs=100x100&amp;cht=qr&amp;chl=https://docs.google.com/presentation/d/1Sy3vVe5uPaGfG_iNAVH3KyGz0-AeA8DhAnc6_EprcwM/pub",4,100,100))</f>
        <v>#REF!</v>
      </c>
      <c r="D25" s="3" t="s">
        <v>59</v>
      </c>
      <c r="E25" s="4" t="str">
        <f t="shared" si="5"/>
        <v>golf course designer software</v>
      </c>
    </row>
    <row r="26" ht="75.0" customHeight="1">
      <c r="A26" s="1" t="s">
        <v>50</v>
      </c>
      <c r="B26" s="1" t="s">
        <v>56</v>
      </c>
      <c r="C26" s="2" t="str">
        <f>HYPERLINK("https://docs.google.com/presentation/d/1Sy3vVe5uPaGfG_iNAVH3KyGz0-AeA8DhAnc6_EprcwM/view", IMAGE("https://chart.googleapis.com/chart?chs=100x100&amp;cht=qr&amp;chl=https://docs.google.com/presentation/d/1Sy3vVe5uPaGfG_iNAVH3KyGz0-AeA8DhAnc6_EprcwM/view",4,100,100))</f>
        <v>#REF!</v>
      </c>
      <c r="D26" s="3" t="s">
        <v>60</v>
      </c>
      <c r="E26" s="4" t="str">
        <f t="shared" si="5"/>
        <v>golf course designer software</v>
      </c>
    </row>
    <row r="27" ht="75.0" customHeight="1">
      <c r="A27" s="1" t="s">
        <v>37</v>
      </c>
      <c r="B27" s="1" t="s">
        <v>61</v>
      </c>
      <c r="C27" s="2" t="str">
        <f>HYPERLINK("https://docs.google.com/document/d/19ZxxIZKyLmkKNTUVXobTJI_IV4YW1xbvGI2sMpJm-q4/edit?usp=sharing", IMAGE("https://chart.googleapis.com/chart?chs=100x100&amp;cht=qr&amp;chl=https://docs.google.com/document/d/19ZxxIZKyLmkKNTUVXobTJI_IV4YW1xbvGI2sMpJm-q4/edit?usp=sharing",4,100,100))</f>
        <v>#REF!</v>
      </c>
      <c r="D27" s="3" t="s">
        <v>62</v>
      </c>
      <c r="E27" s="4" t="str">
        <f t="shared" ref="E27:E29" si="6">HYPERLINK("https://docs.google.com/document/d/19ZxxIZKyLmkKNTUVXobTJI_IV4YW1xbvGI2sMpJm-q4/edit?usp=sharing","golf course map software")</f>
        <v>golf course map software</v>
      </c>
    </row>
    <row r="28" ht="75.0" customHeight="1">
      <c r="A28" s="1" t="s">
        <v>40</v>
      </c>
      <c r="B28" s="1" t="s">
        <v>63</v>
      </c>
      <c r="C28" s="2" t="str">
        <f>HYPERLINK("https://docs.google.com/document/d/19ZxxIZKyLmkKNTUVXobTJI_IV4YW1xbvGI2sMpJm-q4/pub", IMAGE("https://chart.googleapis.com/chart?chs=100x100&amp;cht=qr&amp;chl=https://docs.google.com/document/d/19ZxxIZKyLmkKNTUVXobTJI_IV4YW1xbvGI2sMpJm-q4/pub",4,100,100))</f>
        <v>#REF!</v>
      </c>
      <c r="D28" s="3" t="s">
        <v>64</v>
      </c>
      <c r="E28" s="4" t="str">
        <f t="shared" si="6"/>
        <v>golf course map software</v>
      </c>
    </row>
    <row r="29" ht="75.0" customHeight="1">
      <c r="A29" s="1" t="s">
        <v>43</v>
      </c>
      <c r="B29" s="1" t="s">
        <v>65</v>
      </c>
      <c r="C29" s="2" t="str">
        <f>HYPERLINK("https://docs.google.com/document/d/19ZxxIZKyLmkKNTUVXobTJI_IV4YW1xbvGI2sMpJm-q4/view", IMAGE("https://chart.googleapis.com/chart?chs=100x100&amp;cht=qr&amp;chl=https://docs.google.com/document/d/19ZxxIZKyLmkKNTUVXobTJI_IV4YW1xbvGI2sMpJm-q4/view",4,100,100))</f>
        <v>#REF!</v>
      </c>
      <c r="D29" s="3" t="s">
        <v>66</v>
      </c>
      <c r="E29" s="4" t="str">
        <f t="shared" si="6"/>
        <v>golf course map software</v>
      </c>
    </row>
    <row r="30" ht="75.0" customHeight="1">
      <c r="A30" s="1" t="s">
        <v>46</v>
      </c>
      <c r="B30" s="1" t="s">
        <v>61</v>
      </c>
      <c r="C30" s="2" t="str">
        <f>HYPERLINK("https://docs.google.com/presentation/d/1IlWsrClQpCP38Es3XSBj5huqJq54EfBc8Ncp-l16XiI/edit?usp=sharing", IMAGE("https://chart.googleapis.com/chart?chs=100x100&amp;cht=qr&amp;chl=https://docs.google.com/presentation/d/1IlWsrClQpCP38Es3XSBj5huqJq54EfBc8Ncp-l16XiI/edit?usp=sharing",4,100,100))</f>
        <v>#REF!</v>
      </c>
      <c r="D30" s="3" t="s">
        <v>67</v>
      </c>
      <c r="E30" s="4" t="str">
        <f t="shared" ref="E30:E32" si="7">HYPERLINK("https://docs.google.com/presentation/d/1IlWsrClQpCP38Es3XSBj5huqJq54EfBc8Ncp-l16XiI/edit?usp=sharing","golf course map software")</f>
        <v>golf course map software</v>
      </c>
    </row>
    <row r="31" ht="75.0" customHeight="1">
      <c r="A31" s="1" t="s">
        <v>48</v>
      </c>
      <c r="B31" s="1" t="s">
        <v>63</v>
      </c>
      <c r="C31" s="2" t="str">
        <f>HYPERLINK("https://docs.google.com/presentation/d/1IlWsrClQpCP38Es3XSBj5huqJq54EfBc8Ncp-l16XiI/pub", IMAGE("https://chart.googleapis.com/chart?chs=100x100&amp;cht=qr&amp;chl=https://docs.google.com/presentation/d/1IlWsrClQpCP38Es3XSBj5huqJq54EfBc8Ncp-l16XiI/pub",4,100,100))</f>
        <v>#REF!</v>
      </c>
      <c r="D31" s="3" t="s">
        <v>68</v>
      </c>
      <c r="E31" s="4" t="str">
        <f t="shared" si="7"/>
        <v>golf course map software</v>
      </c>
    </row>
    <row r="32" ht="75.0" customHeight="1">
      <c r="A32" s="1" t="s">
        <v>50</v>
      </c>
      <c r="B32" s="1" t="s">
        <v>65</v>
      </c>
      <c r="C32" s="2" t="str">
        <f>HYPERLINK("https://docs.google.com/presentation/d/1IlWsrClQpCP38Es3XSBj5huqJq54EfBc8Ncp-l16XiI/view", IMAGE("https://chart.googleapis.com/chart?chs=100x100&amp;cht=qr&amp;chl=https://docs.google.com/presentation/d/1IlWsrClQpCP38Es3XSBj5huqJq54EfBc8Ncp-l16XiI/view",4,100,100))</f>
        <v>#REF!</v>
      </c>
      <c r="D32" s="3" t="s">
        <v>69</v>
      </c>
      <c r="E32" s="4" t="str">
        <f t="shared" si="7"/>
        <v>golf course map software</v>
      </c>
    </row>
    <row r="33" ht="75.0" customHeight="1">
      <c r="A33" s="1" t="s">
        <v>37</v>
      </c>
      <c r="B33" s="1" t="s">
        <v>70</v>
      </c>
      <c r="C33" s="2" t="str">
        <f>HYPERLINK("https://docs.google.com/document/d/1Pt4eomUxkNH2CrXuejOTDM62PTBQ5ClnsbMyGIWp2X0/edit?usp=sharing", IMAGE("https://chart.googleapis.com/chart?chs=100x100&amp;cht=qr&amp;chl=https://docs.google.com/document/d/1Pt4eomUxkNH2CrXuejOTDM62PTBQ5ClnsbMyGIWp2X0/edit?usp=sharing",4,100,100))</f>
        <v>#REF!</v>
      </c>
      <c r="D33" s="3" t="s">
        <v>71</v>
      </c>
      <c r="E33" s="4" t="str">
        <f t="shared" ref="E33:E35" si="8">HYPERLINK("https://docs.google.com/document/d/1Pt4eomUxkNH2CrXuejOTDM62PTBQ5ClnsbMyGIWp2X0/edit?usp=sharing","golf green design software")</f>
        <v>golf green design software</v>
      </c>
    </row>
    <row r="34" ht="75.0" customHeight="1">
      <c r="A34" s="1" t="s">
        <v>40</v>
      </c>
      <c r="B34" s="1" t="s">
        <v>72</v>
      </c>
      <c r="C34" s="2" t="str">
        <f>HYPERLINK("https://docs.google.com/document/d/1Pt4eomUxkNH2CrXuejOTDM62PTBQ5ClnsbMyGIWp2X0/pub", IMAGE("https://chart.googleapis.com/chart?chs=100x100&amp;cht=qr&amp;chl=https://docs.google.com/document/d/1Pt4eomUxkNH2CrXuejOTDM62PTBQ5ClnsbMyGIWp2X0/pub",4,100,100))</f>
        <v>#REF!</v>
      </c>
      <c r="D34" s="3" t="s">
        <v>73</v>
      </c>
      <c r="E34" s="4" t="str">
        <f t="shared" si="8"/>
        <v>golf green design software</v>
      </c>
    </row>
    <row r="35" ht="75.0" customHeight="1">
      <c r="A35" s="1" t="s">
        <v>43</v>
      </c>
      <c r="B35" s="1" t="s">
        <v>74</v>
      </c>
      <c r="C35" s="2" t="str">
        <f>HYPERLINK("https://docs.google.com/document/d/1Pt4eomUxkNH2CrXuejOTDM62PTBQ5ClnsbMyGIWp2X0/view", IMAGE("https://chart.googleapis.com/chart?chs=100x100&amp;cht=qr&amp;chl=https://docs.google.com/document/d/1Pt4eomUxkNH2CrXuejOTDM62PTBQ5ClnsbMyGIWp2X0/view",4,100,100))</f>
        <v>#REF!</v>
      </c>
      <c r="D35" s="3" t="s">
        <v>75</v>
      </c>
      <c r="E35" s="4" t="str">
        <f t="shared" si="8"/>
        <v>golf green design software</v>
      </c>
    </row>
    <row r="36" ht="75.0" customHeight="1">
      <c r="A36" s="1" t="s">
        <v>46</v>
      </c>
      <c r="B36" s="1" t="s">
        <v>70</v>
      </c>
      <c r="C36" s="2" t="str">
        <f>HYPERLINK("https://docs.google.com/presentation/d/1UKnZZn6DzO0WC_nCbUrj0EHsnfBBq99c49scyFb25M8/edit?usp=sharing", IMAGE("https://chart.googleapis.com/chart?chs=100x100&amp;cht=qr&amp;chl=https://docs.google.com/presentation/d/1UKnZZn6DzO0WC_nCbUrj0EHsnfBBq99c49scyFb25M8/edit?usp=sharing",4,100,100))</f>
        <v>#REF!</v>
      </c>
      <c r="D36" s="3" t="s">
        <v>76</v>
      </c>
      <c r="E36" s="4" t="str">
        <f t="shared" ref="E36:E38" si="9">HYPERLINK("https://docs.google.com/presentation/d/1UKnZZn6DzO0WC_nCbUrj0EHsnfBBq99c49scyFb25M8/edit?usp=sharing","golf green design software")</f>
        <v>golf green design software</v>
      </c>
    </row>
    <row r="37" ht="75.0" customHeight="1">
      <c r="A37" s="1" t="s">
        <v>48</v>
      </c>
      <c r="B37" s="1" t="s">
        <v>72</v>
      </c>
      <c r="C37" s="2" t="str">
        <f>HYPERLINK("https://docs.google.com/presentation/d/1UKnZZn6DzO0WC_nCbUrj0EHsnfBBq99c49scyFb25M8/pub", IMAGE("https://chart.googleapis.com/chart?chs=100x100&amp;cht=qr&amp;chl=https://docs.google.com/presentation/d/1UKnZZn6DzO0WC_nCbUrj0EHsnfBBq99c49scyFb25M8/pub",4,100,100))</f>
        <v>#REF!</v>
      </c>
      <c r="D37" s="3" t="s">
        <v>77</v>
      </c>
      <c r="E37" s="4" t="str">
        <f t="shared" si="9"/>
        <v>golf green design software</v>
      </c>
    </row>
    <row r="38" ht="75.0" customHeight="1">
      <c r="A38" s="1" t="s">
        <v>50</v>
      </c>
      <c r="B38" s="1" t="s">
        <v>74</v>
      </c>
      <c r="C38" s="2" t="str">
        <f>HYPERLINK("https://docs.google.com/presentation/d/1UKnZZn6DzO0WC_nCbUrj0EHsnfBBq99c49scyFb25M8/view", IMAGE("https://chart.googleapis.com/chart?chs=100x100&amp;cht=qr&amp;chl=https://docs.google.com/presentation/d/1UKnZZn6DzO0WC_nCbUrj0EHsnfBBq99c49scyFb25M8/view",4,100,100))</f>
        <v>#REF!</v>
      </c>
      <c r="D38" s="3" t="s">
        <v>78</v>
      </c>
      <c r="E38" s="4" t="str">
        <f t="shared" si="9"/>
        <v>golf green design software</v>
      </c>
    </row>
    <row r="39" ht="75.0" customHeight="1">
      <c r="A39" s="1" t="s">
        <v>37</v>
      </c>
      <c r="B39" s="1" t="s">
        <v>1</v>
      </c>
      <c r="C39" s="2" t="str">
        <f>HYPERLINK("https://docs.google.com/document/d/1YBuPoXcNpE4vikBKdVjUNEf4OspMux73cA8WllIIZvc/edit?usp=sharing", IMAGE("https://chart.googleapis.com/chart?chs=100x100&amp;cht=qr&amp;chl=https://docs.google.com/document/d/1YBuPoXcNpE4vikBKdVjUNEf4OspMux73cA8WllIIZvc/edit?usp=sharing",4,100,100))</f>
        <v>#REF!</v>
      </c>
      <c r="D39" s="3" t="s">
        <v>79</v>
      </c>
      <c r="E39" s="4" t="str">
        <f t="shared" ref="E39:E41" si="10">HYPERLINK("https://docs.google.com/document/d/1YBuPoXcNpE4vikBKdVjUNEf4OspMux73cA8WllIIZvc/edit?usp=sharing","golf course mapping software")</f>
        <v>golf course mapping software</v>
      </c>
    </row>
    <row r="40" ht="75.0" customHeight="1">
      <c r="A40" s="1" t="s">
        <v>40</v>
      </c>
      <c r="B40" s="1" t="s">
        <v>26</v>
      </c>
      <c r="C40" s="2" t="str">
        <f>HYPERLINK("https://docs.google.com/document/d/1YBuPoXcNpE4vikBKdVjUNEf4OspMux73cA8WllIIZvc/pub", IMAGE("https://chart.googleapis.com/chart?chs=100x100&amp;cht=qr&amp;chl=https://docs.google.com/document/d/1YBuPoXcNpE4vikBKdVjUNEf4OspMux73cA8WllIIZvc/pub",4,100,100))</f>
        <v>#REF!</v>
      </c>
      <c r="D40" s="3" t="s">
        <v>80</v>
      </c>
      <c r="E40" s="4" t="str">
        <f t="shared" si="10"/>
        <v>golf course mapping software</v>
      </c>
    </row>
    <row r="41" ht="75.0" customHeight="1">
      <c r="A41" s="1" t="s">
        <v>43</v>
      </c>
      <c r="B41" s="1" t="s">
        <v>29</v>
      </c>
      <c r="C41" s="2" t="str">
        <f>HYPERLINK("https://docs.google.com/document/d/1YBuPoXcNpE4vikBKdVjUNEf4OspMux73cA8WllIIZvc/view", IMAGE("https://chart.googleapis.com/chart?chs=100x100&amp;cht=qr&amp;chl=https://docs.google.com/document/d/1YBuPoXcNpE4vikBKdVjUNEf4OspMux73cA8WllIIZvc/view",4,100,100))</f>
        <v>#REF!</v>
      </c>
      <c r="D41" s="3" t="s">
        <v>81</v>
      </c>
      <c r="E41" s="4" t="str">
        <f t="shared" si="10"/>
        <v>golf course mapping software</v>
      </c>
    </row>
    <row r="42" ht="75.0" customHeight="1">
      <c r="A42" s="1" t="s">
        <v>46</v>
      </c>
      <c r="B42" s="1" t="s">
        <v>1</v>
      </c>
      <c r="C42" s="2" t="str">
        <f>HYPERLINK("https://docs.google.com/presentation/d/1Jdg6Biy-Q7yU0yhh1STABeFdd0izAjvRzRP6BlW_kg8/edit?usp=sharing", IMAGE("https://chart.googleapis.com/chart?chs=100x100&amp;cht=qr&amp;chl=https://docs.google.com/presentation/d/1Jdg6Biy-Q7yU0yhh1STABeFdd0izAjvRzRP6BlW_kg8/edit?usp=sharing",4,100,100))</f>
        <v>#REF!</v>
      </c>
      <c r="D42" s="3" t="s">
        <v>82</v>
      </c>
      <c r="E42" s="4" t="str">
        <f t="shared" ref="E42:E44" si="11">HYPERLINK("https://docs.google.com/presentation/d/1Jdg6Biy-Q7yU0yhh1STABeFdd0izAjvRzRP6BlW_kg8/edit?usp=sharing","golf course mapping software")</f>
        <v>golf course mapping software</v>
      </c>
    </row>
    <row r="43" ht="75.0" customHeight="1">
      <c r="A43" s="1" t="s">
        <v>48</v>
      </c>
      <c r="B43" s="1" t="s">
        <v>26</v>
      </c>
      <c r="C43" s="2" t="str">
        <f>HYPERLINK("https://docs.google.com/presentation/d/1Jdg6Biy-Q7yU0yhh1STABeFdd0izAjvRzRP6BlW_kg8/pub", IMAGE("https://chart.googleapis.com/chart?chs=100x100&amp;cht=qr&amp;chl=https://docs.google.com/presentation/d/1Jdg6Biy-Q7yU0yhh1STABeFdd0izAjvRzRP6BlW_kg8/pub",4,100,100))</f>
        <v>#REF!</v>
      </c>
      <c r="D43" s="3" t="s">
        <v>83</v>
      </c>
      <c r="E43" s="4" t="str">
        <f t="shared" si="11"/>
        <v>golf course mapping software</v>
      </c>
    </row>
    <row r="44" ht="75.0" customHeight="1">
      <c r="A44" s="1" t="s">
        <v>50</v>
      </c>
      <c r="B44" s="1" t="s">
        <v>29</v>
      </c>
      <c r="C44" s="2" t="str">
        <f>HYPERLINK("https://docs.google.com/presentation/d/1Jdg6Biy-Q7yU0yhh1STABeFdd0izAjvRzRP6BlW_kg8/view", IMAGE("https://chart.googleapis.com/chart?chs=100x100&amp;cht=qr&amp;chl=https://docs.google.com/presentation/d/1Jdg6Biy-Q7yU0yhh1STABeFdd0izAjvRzRP6BlW_kg8/view",4,100,100))</f>
        <v>#REF!</v>
      </c>
      <c r="D44" s="3" t="s">
        <v>84</v>
      </c>
      <c r="E44" s="4" t="str">
        <f t="shared" si="11"/>
        <v>golf course mapping software</v>
      </c>
    </row>
    <row r="45" ht="75.0" customHeight="1">
      <c r="A45" s="1" t="s">
        <v>85</v>
      </c>
      <c r="B45" s="1" t="s">
        <v>1</v>
      </c>
      <c r="C45" s="2" t="str">
        <f>HYPERLINK("https://calendar.google.com/calendar/embed?src=o5ncfsvmp4b6l4r78elpg3vmao@group.calendar.google.com", IMAGE("https://chart.googleapis.com/chart?chs=100x100&amp;cht=qr&amp;chl=https://calendar.google.com/calendar/embed?src=o5ncfsvmp4b6l4r78elpg3vmao@group.calendar.google.com",4,100,100))</f>
        <v>#REF!</v>
      </c>
      <c r="D45" s="3" t="s">
        <v>86</v>
      </c>
      <c r="E45" s="4" t="str">
        <f>HYPERLINK("https://calendar.google.com/calendar/embed?src=o5ncfsvmp4b6l4r78elpg3vmao@group.calendar.google.com","golf course mapping software")</f>
        <v>golf course mapping software</v>
      </c>
    </row>
    <row r="46" ht="75.0" customHeight="1">
      <c r="A46" s="1" t="s">
        <v>87</v>
      </c>
      <c r="B46" s="1" t="s">
        <v>1</v>
      </c>
      <c r="C46" s="2" t="str">
        <f>HYPERLINK("https://www.google.com/calendar/event?eid=NG1oajNza250dWY1MXY3YWlwNnBxbHJzZ2MgbzVuY2Zzdm1wNGI2bDRyNzhlbHBnM3ZtYW9AZ3JvdXAuY2FsZW5kYXIuZ29vZ2xlLmNvbQ", IMAGE("https://chart.googleapis.com/chart?chs=100x100&amp;cht=qr&amp;chl=https://www.google.com/calendar/event?eid=NG1oajNza250dWY1MXY3YWlwNnBxbHJzZ2MgbzVuY2Zzdm1wNGI2bDRyNzhlbHBnM3ZtYW9AZ3JvdXAuY2FsZW5kYXIuZ29vZ2xlLmNvbQ",4,100,100))</f>
        <v>#REF!</v>
      </c>
      <c r="D46" s="3" t="s">
        <v>88</v>
      </c>
      <c r="E46" s="4" t="str">
        <f>HYPERLINK("https://www.google.com/calendar/event?eid=NG1oajNza250dWY1MXY3YWlwNnBxbHJzZ2MgbzVuY2Zzdm1wNGI2bDRyNzhlbHBnM3ZtYW9AZ3JvdXAuY2FsZW5kYXIuZ29vZ2xlLmNvbQ","golf course mapping software")</f>
        <v>golf course mapping software</v>
      </c>
    </row>
    <row r="47" ht="75.0" customHeight="1">
      <c r="A47" s="1" t="s">
        <v>89</v>
      </c>
      <c r="B47" s="1" t="s">
        <v>1</v>
      </c>
      <c r="C47" s="2" t="str">
        <f>HYPERLINK("https://www.google.com/calendar/event?eid=NzJ0bHA2ajNobDZvamRmb2ZtMW5xZHNzbmMgbzVuY2Zzdm1wNGI2bDRyNzhlbHBnM3ZtYW9AZ3JvdXAuY2FsZW5kYXIuZ29vZ2xlLmNvbQ", IMAGE("https://chart.googleapis.com/chart?chs=100x100&amp;cht=qr&amp;chl=https://www.google.com/calendar/event?eid=NzJ0bHA2ajNobDZvamRmb2ZtMW5xZHNzbmMgbzVuY2Zzdm1wNGI2bDRyNzhlbHBnM3ZtYW9AZ3JvdXAuY2FsZW5kYXIuZ29vZ2xlLmNvbQ",4,100,100))</f>
        <v>#REF!</v>
      </c>
      <c r="D47" s="3" t="s">
        <v>90</v>
      </c>
      <c r="E47" s="4" t="str">
        <f>HYPERLINK("https://www.google.com/calendar/event?eid=NzJ0bHA2ajNobDZvamRmb2ZtMW5xZHNzbmMgbzVuY2Zzdm1wNGI2bDRyNzhlbHBnM3ZtYW9AZ3JvdXAuY2FsZW5kYXIuZ29vZ2xlLmNvbQ","golf course mapping software")</f>
        <v>golf course mapping software</v>
      </c>
    </row>
    <row r="48" ht="75.0" customHeight="1">
      <c r="A48" s="1" t="s">
        <v>89</v>
      </c>
      <c r="B48" s="1" t="s">
        <v>1</v>
      </c>
      <c r="C48" s="2" t="str">
        <f>HYPERLINK("https://www.google.com/calendar/event?eid=ZXRpb2hrbGY5MGFkcXE3MGVvNjk3YWQ4dGMgbzVuY2Zzdm1wNGI2bDRyNzhlbHBnM3ZtYW9AZ3JvdXAuY2FsZW5kYXIuZ29vZ2xlLmNvbQ", IMAGE("https://chart.googleapis.com/chart?chs=100x100&amp;cht=qr&amp;chl=https://www.google.com/calendar/event?eid=ZXRpb2hrbGY5MGFkcXE3MGVvNjk3YWQ4dGMgbzVuY2Zzdm1wNGI2bDRyNzhlbHBnM3ZtYW9AZ3JvdXAuY2FsZW5kYXIuZ29vZ2xlLmNvbQ",4,100,100))</f>
        <v>#REF!</v>
      </c>
      <c r="D48" s="3" t="s">
        <v>91</v>
      </c>
      <c r="E48" s="4" t="str">
        <f>HYPERLINK("https://www.google.com/calendar/event?eid=ZXRpb2hrbGY5MGFkcXE3MGVvNjk3YWQ4dGMgbzVuY2Zzdm1wNGI2bDRyNzhlbHBnM3ZtYW9AZ3JvdXAuY2FsZW5kYXIuZ29vZ2xlLmNvbQ","golf course mapping software")</f>
        <v>golf course mapping software</v>
      </c>
    </row>
    <row r="49" ht="75.0" customHeight="1">
      <c r="A49" s="1" t="s">
        <v>89</v>
      </c>
      <c r="B49" s="1" t="s">
        <v>1</v>
      </c>
      <c r="C49" s="2" t="str">
        <f>HYPERLINK("https://www.google.com/calendar/event?eid=bWxkbHExMzJia2RicXY1MjA1MGpldDlwNmsgbzVuY2Zzdm1wNGI2bDRyNzhlbHBnM3ZtYW9AZ3JvdXAuY2FsZW5kYXIuZ29vZ2xlLmNvbQ", IMAGE("https://chart.googleapis.com/chart?chs=100x100&amp;cht=qr&amp;chl=https://www.google.com/calendar/event?eid=bWxkbHExMzJia2RicXY1MjA1MGpldDlwNmsgbzVuY2Zzdm1wNGI2bDRyNzhlbHBnM3ZtYW9AZ3JvdXAuY2FsZW5kYXIuZ29vZ2xlLmNvbQ",4,100,100))</f>
        <v>#REF!</v>
      </c>
      <c r="D49" s="3" t="s">
        <v>92</v>
      </c>
      <c r="E49" s="4" t="str">
        <f>HYPERLINK("https://www.google.com/calendar/event?eid=bWxkbHExMzJia2RicXY1MjA1MGpldDlwNmsgbzVuY2Zzdm1wNGI2bDRyNzhlbHBnM3ZtYW9AZ3JvdXAuY2FsZW5kYXIuZ29vZ2xlLmNvbQ","golf course mapping software")</f>
        <v>golf course mapping software</v>
      </c>
    </row>
    <row r="50" ht="75.0" customHeight="1">
      <c r="A50" s="1" t="s">
        <v>89</v>
      </c>
      <c r="B50" s="1" t="s">
        <v>1</v>
      </c>
      <c r="C50" s="2" t="str">
        <f>HYPERLINK("https://www.google.com/calendar/event?eid=bm80bjRta3BxbTJraHZnOXM5M2dxY3ZxMWcgbzVuY2Zzdm1wNGI2bDRyNzhlbHBnM3ZtYW9AZ3JvdXAuY2FsZW5kYXIuZ29vZ2xlLmNvbQ", IMAGE("https://chart.googleapis.com/chart?chs=100x100&amp;cht=qr&amp;chl=https://www.google.com/calendar/event?eid=bm80bjRta3BxbTJraHZnOXM5M2dxY3ZxMWcgbzVuY2Zzdm1wNGI2bDRyNzhlbHBnM3ZtYW9AZ3JvdXAuY2FsZW5kYXIuZ29vZ2xlLmNvbQ",4,100,100))</f>
        <v>#REF!</v>
      </c>
      <c r="D50" s="3" t="s">
        <v>93</v>
      </c>
      <c r="E50" s="4" t="str">
        <f>HYPERLINK("https://www.google.com/calendar/event?eid=bm80bjRta3BxbTJraHZnOXM5M2dxY3ZxMWcgbzVuY2Zzdm1wNGI2bDRyNzhlbHBnM3ZtYW9AZ3JvdXAuY2FsZW5kYXIuZ29vZ2xlLmNvbQ","golf course mapping software")</f>
        <v>golf course mapping software</v>
      </c>
    </row>
    <row r="51" ht="75.0" customHeight="1">
      <c r="A51" s="1" t="s">
        <v>89</v>
      </c>
      <c r="B51" s="1" t="s">
        <v>1</v>
      </c>
      <c r="C51" s="2" t="str">
        <f>HYPERLINK("https://www.google.com/calendar/event?eid=dHBzdDNpdDZkcmRlM3Rva2F1aHBja3BxYTQgbzVuY2Zzdm1wNGI2bDRyNzhlbHBnM3ZtYW9AZ3JvdXAuY2FsZW5kYXIuZ29vZ2xlLmNvbQ", IMAGE("https://chart.googleapis.com/chart?chs=100x100&amp;cht=qr&amp;chl=https://www.google.com/calendar/event?eid=dHBzdDNpdDZkcmRlM3Rva2F1aHBja3BxYTQgbzVuY2Zzdm1wNGI2bDRyNzhlbHBnM3ZtYW9AZ3JvdXAuY2FsZW5kYXIuZ29vZ2xlLmNvbQ",4,100,100))</f>
        <v>#REF!</v>
      </c>
      <c r="D51" s="3" t="s">
        <v>94</v>
      </c>
      <c r="E51" s="4" t="str">
        <f>HYPERLINK("https://www.google.com/calendar/event?eid=dHBzdDNpdDZkcmRlM3Rva2F1aHBja3BxYTQgbzVuY2Zzdm1wNGI2bDRyNzhlbHBnM3ZtYW9AZ3JvdXAuY2FsZW5kYXIuZ29vZ2xlLmNvbQ","golf course mapping software")</f>
        <v>golf course mapping software</v>
      </c>
    </row>
  </sheetData>
  <hyperlinks>
    <hyperlink r:id="rId1" ref="D1"/>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 r:id="rId38" ref="D38"/>
    <hyperlink r:id="rId39" ref="D39"/>
    <hyperlink r:id="rId40" ref="D40"/>
    <hyperlink r:id="rId41" ref="D41"/>
    <hyperlink r:id="rId42" ref="D42"/>
    <hyperlink r:id="rId43" ref="D43"/>
    <hyperlink r:id="rId44" ref="D44"/>
    <hyperlink r:id="rId45" ref="D45"/>
    <hyperlink r:id="rId46" ref="D46"/>
    <hyperlink r:id="rId47" ref="D47"/>
    <hyperlink r:id="rId48" ref="D48"/>
    <hyperlink r:id="rId49" ref="D49"/>
    <hyperlink r:id="rId50" ref="D50"/>
    <hyperlink r:id="rId51" ref="D51"/>
  </hyperlinks>
  <drawing r:id="rId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95</v>
      </c>
      <c r="B1" s="1" t="s">
        <v>38</v>
      </c>
      <c r="C1" s="4" t="str">
        <f>HYPERLINK("https://www.compassdatainc.com/industry-solutions/golf-country-clubs/","golf green mapping software")</f>
        <v>golf green mapping software</v>
      </c>
      <c r="D1" s="3" t="s">
        <v>2</v>
      </c>
    </row>
    <row r="2">
      <c r="A2" s="1" t="s">
        <v>95</v>
      </c>
      <c r="B2" s="1" t="s">
        <v>52</v>
      </c>
      <c r="C2" s="4" t="str">
        <f>HYPERLINK("https://drive.google.com/drive/folders/1eTWsauJ1C7QDFpfghgBlG4XUhmj6PJ9w?usp=sharing","golf course designer software")</f>
        <v>golf course designer software</v>
      </c>
      <c r="D2" s="3" t="s">
        <v>4</v>
      </c>
    </row>
    <row r="3">
      <c r="A3" s="1" t="s">
        <v>95</v>
      </c>
      <c r="B3" s="1" t="s">
        <v>61</v>
      </c>
      <c r="C3" s="4" t="str">
        <f>HYPERLINK("https://drive.google.com/drive/folders/1Z0MfjqVRGhLle21PNhw2PmOrbXPLguwz?usp=sharing","golf course map software")</f>
        <v>golf course map software</v>
      </c>
      <c r="D3" s="3" t="s">
        <v>7</v>
      </c>
    </row>
    <row r="4">
      <c r="A4" s="1" t="s">
        <v>95</v>
      </c>
      <c r="B4" s="1" t="s">
        <v>70</v>
      </c>
      <c r="C4" s="4" t="str">
        <f>HYPERLINK("https://drive.google.com/drive/folders/1E9EfeRvqSvNw7NFUchmq7JWtUNLMDJVb?usp=sharing","golf green design software")</f>
        <v>golf green design software</v>
      </c>
      <c r="D4" s="3" t="s">
        <v>10</v>
      </c>
    </row>
    <row r="5">
      <c r="A5" s="1" t="s">
        <v>95</v>
      </c>
      <c r="B5" s="1" t="s">
        <v>1</v>
      </c>
      <c r="C5" s="4" t="str">
        <f>HYPERLINK("https://drive.google.com/drive/folders/1aHpkHg2LI_5lDy48YmadbTkZnFL4xzsa?usp=sharing","golf course mapping software")</f>
        <v>golf course mapping software</v>
      </c>
      <c r="D5" s="3" t="s">
        <v>13</v>
      </c>
    </row>
  </sheetData>
  <hyperlinks>
    <hyperlink r:id="rId1" ref="D1"/>
    <hyperlink r:id="rId2" ref="D2"/>
    <hyperlink r:id="rId3" ref="D3"/>
    <hyperlink r:id="rId4" ref="D4"/>
    <hyperlink r:id="rId5" ref="D5"/>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96</v>
      </c>
      <c r="B1" s="1" t="s">
        <v>97</v>
      </c>
    </row>
    <row r="2">
      <c r="A2" s="1" t="s">
        <v>98</v>
      </c>
      <c r="B2" s="1" t="s">
        <v>99</v>
      </c>
    </row>
    <row r="3">
      <c r="A3" s="1" t="s">
        <v>100</v>
      </c>
      <c r="B3" s="1" t="s">
        <v>101</v>
      </c>
    </row>
    <row r="4">
      <c r="A4" s="1" t="s">
        <v>102</v>
      </c>
      <c r="B4" s="5" t="s">
        <v>103</v>
      </c>
    </row>
    <row r="5">
      <c r="A5" s="1" t="s">
        <v>38</v>
      </c>
      <c r="B5" s="1" t="s">
        <v>38</v>
      </c>
      <c r="C5" s="1" t="s">
        <v>97</v>
      </c>
    </row>
    <row r="6">
      <c r="A6" s="1" t="s">
        <v>52</v>
      </c>
      <c r="B6" s="1" t="s">
        <v>52</v>
      </c>
      <c r="C6" s="1" t="s">
        <v>97</v>
      </c>
    </row>
    <row r="7">
      <c r="A7" s="1" t="s">
        <v>61</v>
      </c>
      <c r="B7" s="1" t="s">
        <v>61</v>
      </c>
      <c r="C7" s="1" t="s">
        <v>97</v>
      </c>
    </row>
    <row r="8">
      <c r="A8" s="1" t="s">
        <v>70</v>
      </c>
      <c r="B8" s="1" t="s">
        <v>70</v>
      </c>
      <c r="C8" s="1" t="s">
        <v>97</v>
      </c>
    </row>
    <row r="9">
      <c r="A9" s="1" t="s">
        <v>1</v>
      </c>
      <c r="B9" s="1" t="s">
        <v>1</v>
      </c>
      <c r="C9" s="1" t="s">
        <v>97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104</v>
      </c>
      <c r="B1" s="3" t="s">
        <v>88</v>
      </c>
    </row>
    <row r="2">
      <c r="A2" s="1" t="s">
        <v>105</v>
      </c>
      <c r="B2" s="3" t="s">
        <v>90</v>
      </c>
    </row>
    <row r="3">
      <c r="A3" s="1" t="s">
        <v>105</v>
      </c>
      <c r="B3" s="3" t="s">
        <v>91</v>
      </c>
    </row>
    <row r="4">
      <c r="A4" s="1" t="s">
        <v>105</v>
      </c>
      <c r="B4" s="3" t="s">
        <v>92</v>
      </c>
    </row>
    <row r="5">
      <c r="A5" s="1" t="s">
        <v>105</v>
      </c>
      <c r="B5" s="3" t="s">
        <v>93</v>
      </c>
    </row>
    <row r="6">
      <c r="A6" s="1" t="s">
        <v>105</v>
      </c>
      <c r="B6" s="3" t="s">
        <v>94</v>
      </c>
    </row>
  </sheetData>
  <hyperlinks>
    <hyperlink r:id="rId1" ref="B1"/>
    <hyperlink r:id="rId2" ref="B2"/>
    <hyperlink r:id="rId3" ref="B3"/>
    <hyperlink r:id="rId4" ref="B4"/>
    <hyperlink r:id="rId5" ref="B5"/>
    <hyperlink r:id="rId6" ref="B6"/>
  </hyperlinks>
  <drawing r:id="rId7"/>
</worksheet>
</file>