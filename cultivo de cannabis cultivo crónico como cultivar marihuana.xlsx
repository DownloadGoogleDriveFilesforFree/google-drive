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ltivo de cannabis cultivo cró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HYPERLINK("https://docs.google.com/spreadsheets/d/1g6JPrYb0uJVvk7cI63mi-wuPZQVqV1VrfWo-CIKvJig","Cómo cultivar cannabis en interiores")</f>
        <v>Cómo cultivar cannabis en interiores</v>
      </c>
      <c r="B1" s="1" t="str">
        <f t="shared" ref="B1:B4" si="1">HYPERLINK("https://docs.google.com/spreadsheets/d/1g6JPrYb0uJVvk7cI63mi-wuPZQVqV1VrfWo-CIKvJig","https://docs.google.com/spreadsheets/d/1g6JPrYb0uJVvk7cI63mi-wuPZQVqV1VrfWo-CIKvJig")</f>
        <v>https://docs.google.com/spreadsheets/d/1g6JPrYb0uJVvk7cI63mi-wuPZQVqV1VrfWo-CIKvJig</v>
      </c>
      <c r="C1" s="1" t="str">
        <f t="shared" ref="C1:C4" si="2">HYPERLINK("https://docs.google.com/spreadsheets/d/1g6JPrYb0uJVvk7cI63mi-wuPZQVqV1VrfWo-CIKvJig","Cómo cultivar cannabis a partir de semillas")</f>
        <v>Cómo cultivar cannabis a partir de semillas</v>
      </c>
    </row>
    <row r="2">
      <c r="A2" s="1" t="str">
        <f>HYPERLINK("https://docs.google.com/spreadsheets/d/1g6JPrYb0uJVvk7cI63mi-wuPZQVqV1VrfWo-CIKvJig","como cultivar cannabis")</f>
        <v>como cultivar cannabis</v>
      </c>
      <c r="B2" s="1" t="str">
        <f t="shared" si="1"/>
        <v>https://docs.google.com/spreadsheets/d/1g6JPrYb0uJVvk7cI63mi-wuPZQVqV1VrfWo-CIKvJig</v>
      </c>
      <c r="C2" s="1" t="str">
        <f t="shared" si="2"/>
        <v>Cómo cultivar cannabis a partir de semillas</v>
      </c>
    </row>
    <row r="3">
      <c r="A3" s="1" t="str">
        <f>HYPERLINK("https://docs.google.com/spreadsheets/d/1g6JPrYb0uJVvk7cI63mi-wuPZQVqV1VrfWo-CIKvJig","Cómo cultivar cannabis al aire libre")</f>
        <v>Cómo cultivar cannabis al aire libre</v>
      </c>
      <c r="B3" s="1" t="str">
        <f t="shared" si="1"/>
        <v>https://docs.google.com/spreadsheets/d/1g6JPrYb0uJVvk7cI63mi-wuPZQVqV1VrfWo-CIKvJig</v>
      </c>
      <c r="C3" s="1" t="str">
        <f t="shared" si="2"/>
        <v>Cómo cultivar cannabis a partir de semillas</v>
      </c>
    </row>
    <row r="4">
      <c r="A4" s="1" t="str">
        <f>HYPERLINK("https://docs.google.com/spreadsheets/d/1g6JPrYb0uJVvk7cI63mi-wuPZQVqV1VrfWo-CIKvJig","cuánto tiempo lleva cultivar cannabis")</f>
        <v>cuánto tiempo lleva cultivar cannabis</v>
      </c>
      <c r="B4" s="1" t="str">
        <f t="shared" si="1"/>
        <v>https://docs.google.com/spreadsheets/d/1g6JPrYb0uJVvk7cI63mi-wuPZQVqV1VrfWo-CIKvJig</v>
      </c>
      <c r="C4" s="1" t="str">
        <f t="shared" si="2"/>
        <v>Cómo cultivar cannabis a partir de semillas</v>
      </c>
    </row>
    <row r="5">
      <c r="A5" s="1" t="str">
        <f>HYPERLINK("https://docs.google.com/spreadsheets/d/1hDtNOzCWukxvUg5Nld60QQQViDmWFn_IrXRyy9Z-wJs","Cómo cultivar cannabis en interiores")</f>
        <v>Cómo cultivar cannabis en interiores</v>
      </c>
      <c r="B5" s="1" t="str">
        <f t="shared" ref="B5:B8" si="3">HYPERLINK("https://docs.google.com/spreadsheets/d/1hDtNOzCWukxvUg5Nld60QQQViDmWFn_IrXRyy9Z-wJs","https://docs.google.com/spreadsheets/d/1hDtNOzCWukxvUg5Nld60QQQViDmWFn_IrXRyy9Z-wJs")</f>
        <v>https://docs.google.com/spreadsheets/d/1hDtNOzCWukxvUg5Nld60QQQViDmWFn_IrXRyy9Z-wJs</v>
      </c>
      <c r="C5" s="1" t="str">
        <f t="shared" ref="C5:C8" si="4">HYPERLINK("https://docs.google.com/spreadsheets/d/1hDtNOzCWukxvUg5Nld60QQQViDmWFn_IrXRyy9Z-wJs","Cómo cultivar cannabis a partir de semillas")</f>
        <v>Cómo cultivar cannabis a partir de semillas</v>
      </c>
    </row>
    <row r="6">
      <c r="A6" s="1" t="str">
        <f>HYPERLINK("https://docs.google.com/spreadsheets/d/1hDtNOzCWukxvUg5Nld60QQQViDmWFn_IrXRyy9Z-wJs","como cultivar cannabis")</f>
        <v>como cultivar cannabis</v>
      </c>
      <c r="B6" s="1" t="str">
        <f t="shared" si="3"/>
        <v>https://docs.google.com/spreadsheets/d/1hDtNOzCWukxvUg5Nld60QQQViDmWFn_IrXRyy9Z-wJs</v>
      </c>
      <c r="C6" s="1" t="str">
        <f t="shared" si="4"/>
        <v>Cómo cultivar cannabis a partir de semillas</v>
      </c>
    </row>
    <row r="7">
      <c r="A7" s="1" t="str">
        <f>HYPERLINK("https://docs.google.com/spreadsheets/d/1hDtNOzCWukxvUg5Nld60QQQViDmWFn_IrXRyy9Z-wJs","Cómo cultivar cannabis al aire libre")</f>
        <v>Cómo cultivar cannabis al aire libre</v>
      </c>
      <c r="B7" s="1" t="str">
        <f t="shared" si="3"/>
        <v>https://docs.google.com/spreadsheets/d/1hDtNOzCWukxvUg5Nld60QQQViDmWFn_IrXRyy9Z-wJs</v>
      </c>
      <c r="C7" s="1" t="str">
        <f t="shared" si="4"/>
        <v>Cómo cultivar cannabis a partir de semillas</v>
      </c>
    </row>
    <row r="8">
      <c r="A8" s="1" t="str">
        <f>HYPERLINK("https://docs.google.com/spreadsheets/d/1hDtNOzCWukxvUg5Nld60QQQViDmWFn_IrXRyy9Z-wJs","cuánto tiempo lleva cultivar cannabis")</f>
        <v>cuánto tiempo lleva cultivar cannabis</v>
      </c>
      <c r="B8" s="1" t="str">
        <f t="shared" si="3"/>
        <v>https://docs.google.com/spreadsheets/d/1hDtNOzCWukxvUg5Nld60QQQViDmWFn_IrXRyy9Z-wJs</v>
      </c>
      <c r="C8" s="1" t="str">
        <f t="shared" si="4"/>
        <v>Cómo cultivar cannabis a partir de semillas</v>
      </c>
    </row>
    <row r="9">
      <c r="A9" s="1" t="str">
        <f>HYPERLINK("https://drive.google.com/drive/folders/1FOvUJ9nMFiWj1P4xKHzjoLbklFEiVVXr","Cómo cultivar cannabis en interiores")</f>
        <v>Cómo cultivar cannabis en interiores</v>
      </c>
      <c r="B9" s="1" t="str">
        <f t="shared" ref="B9:B12" si="5">HYPERLINK("https://drive.google.com/drive/folders/1FOvUJ9nMFiWj1P4xKHzjoLbklFEiVVXr","https://drive.google.com/drive/folders/1FOvUJ9nMFiWj1P4xKHzjoLbklFEiVVXr")</f>
        <v>https://drive.google.com/drive/folders/1FOvUJ9nMFiWj1P4xKHzjoLbklFEiVVXr</v>
      </c>
      <c r="C9" s="1" t="str">
        <f t="shared" ref="C9:C12" si="6">HYPERLINK("https://drive.google.com/drive/folders/1FOvUJ9nMFiWj1P4xKHzjoLbklFEiVVXr","Cómo cultivar cannabis a partir de semillas")</f>
        <v>Cómo cultivar cannabis a partir de semillas</v>
      </c>
    </row>
    <row r="10">
      <c r="A10" s="1" t="str">
        <f>HYPERLINK("https://drive.google.com/drive/folders/1FOvUJ9nMFiWj1P4xKHzjoLbklFEiVVXr","como cultivar cannabis")</f>
        <v>como cultivar cannabis</v>
      </c>
      <c r="B10" s="1" t="str">
        <f t="shared" si="5"/>
        <v>https://drive.google.com/drive/folders/1FOvUJ9nMFiWj1P4xKHzjoLbklFEiVVXr</v>
      </c>
      <c r="C10" s="1" t="str">
        <f t="shared" si="6"/>
        <v>Cómo cultivar cannabis a partir de semillas</v>
      </c>
    </row>
    <row r="11">
      <c r="A11" s="1" t="str">
        <f>HYPERLINK("https://drive.google.com/drive/folders/1FOvUJ9nMFiWj1P4xKHzjoLbklFEiVVXr","Cómo cultivar cannabis al aire libre")</f>
        <v>Cómo cultivar cannabis al aire libre</v>
      </c>
      <c r="B11" s="1" t="str">
        <f t="shared" si="5"/>
        <v>https://drive.google.com/drive/folders/1FOvUJ9nMFiWj1P4xKHzjoLbklFEiVVXr</v>
      </c>
      <c r="C11" s="1" t="str">
        <f t="shared" si="6"/>
        <v>Cómo cultivar cannabis a partir de semillas</v>
      </c>
    </row>
    <row r="12">
      <c r="A12" s="1" t="str">
        <f>HYPERLINK("https://drive.google.com/drive/folders/1FOvUJ9nMFiWj1P4xKHzjoLbklFEiVVXr","cuánto tiempo lleva cultivar cannabis")</f>
        <v>cuánto tiempo lleva cultivar cannabis</v>
      </c>
      <c r="B12" s="1" t="str">
        <f t="shared" si="5"/>
        <v>https://drive.google.com/drive/folders/1FOvUJ9nMFiWj1P4xKHzjoLbklFEiVVXr</v>
      </c>
      <c r="C12" s="1" t="str">
        <f t="shared" si="6"/>
        <v>Cómo cultivar cannabis a partir de semillas</v>
      </c>
    </row>
    <row r="13">
      <c r="A13" s="1" t="str">
        <f>HYPERLINK("https://drive.google.com/drive/folders/1iGyAPvQTCPssjpQloMdGJrw52dtIgMdc","Cómo cultivar cannabis en interiores")</f>
        <v>Cómo cultivar cannabis en interiores</v>
      </c>
      <c r="B13" s="1" t="str">
        <f t="shared" ref="B13:B16" si="7">HYPERLINK("https://drive.google.com/drive/folders/1iGyAPvQTCPssjpQloMdGJrw52dtIgMdc","https://drive.google.com/drive/folders/1iGyAPvQTCPssjpQloMdGJrw52dtIgMdc")</f>
        <v>https://drive.google.com/drive/folders/1iGyAPvQTCPssjpQloMdGJrw52dtIgMdc</v>
      </c>
      <c r="C13" s="1" t="str">
        <f t="shared" ref="C13:C16" si="8">HYPERLINK("https://drive.google.com/drive/folders/1iGyAPvQTCPssjpQloMdGJrw52dtIgMdc","Cómo cultivar cannabis a partir de semillas")</f>
        <v>Cómo cultivar cannabis a partir de semillas</v>
      </c>
    </row>
    <row r="14">
      <c r="A14" s="1" t="str">
        <f>HYPERLINK("https://drive.google.com/drive/folders/1iGyAPvQTCPssjpQloMdGJrw52dtIgMdc","como cultivar cannabis")</f>
        <v>como cultivar cannabis</v>
      </c>
      <c r="B14" s="1" t="str">
        <f t="shared" si="7"/>
        <v>https://drive.google.com/drive/folders/1iGyAPvQTCPssjpQloMdGJrw52dtIgMdc</v>
      </c>
      <c r="C14" s="1" t="str">
        <f t="shared" si="8"/>
        <v>Cómo cultivar cannabis a partir de semillas</v>
      </c>
    </row>
    <row r="15">
      <c r="A15" s="1" t="str">
        <f>HYPERLINK("https://drive.google.com/drive/folders/1iGyAPvQTCPssjpQloMdGJrw52dtIgMdc","Cómo cultivar cannabis al aire libre")</f>
        <v>Cómo cultivar cannabis al aire libre</v>
      </c>
      <c r="B15" s="1" t="str">
        <f t="shared" si="7"/>
        <v>https://drive.google.com/drive/folders/1iGyAPvQTCPssjpQloMdGJrw52dtIgMdc</v>
      </c>
      <c r="C15" s="1" t="str">
        <f t="shared" si="8"/>
        <v>Cómo cultivar cannabis a partir de semillas</v>
      </c>
    </row>
    <row r="16">
      <c r="A16" s="1" t="str">
        <f>HYPERLINK("https://drive.google.com/drive/folders/1iGyAPvQTCPssjpQloMdGJrw52dtIgMdc","cuánto tiempo lleva cultivar cannabis")</f>
        <v>cuánto tiempo lleva cultivar cannabis</v>
      </c>
      <c r="B16" s="1" t="str">
        <f t="shared" si="7"/>
        <v>https://drive.google.com/drive/folders/1iGyAPvQTCPssjpQloMdGJrw52dtIgMdc</v>
      </c>
      <c r="C16" s="1" t="str">
        <f t="shared" si="8"/>
        <v>Cómo cultivar cannabis a partir de semillas</v>
      </c>
    </row>
    <row r="17">
      <c r="A17" s="1" t="str">
        <f>HYPERLINK("https://docs.google.com/spreadsheets/d/1fMrTp07aaf33B-QCqgyyXGyzdaXcqNQbZRR4iKuCPYY","Cómo cultivar cannabis en interiores")</f>
        <v>Cómo cultivar cannabis en interiores</v>
      </c>
      <c r="B17" s="1" t="str">
        <f t="shared" ref="B17:B20" si="9">HYPERLINK("https://docs.google.com/spreadsheets/d/1fMrTp07aaf33B-QCqgyyXGyzdaXcqNQbZRR4iKuCPYY","https://docs.google.com/spreadsheets/d/1fMrTp07aaf33B-QCqgyyXGyzdaXcqNQbZRR4iKuCPYY")</f>
        <v>https://docs.google.com/spreadsheets/d/1fMrTp07aaf33B-QCqgyyXGyzdaXcqNQbZRR4iKuCPYY</v>
      </c>
      <c r="C17" s="1" t="str">
        <f t="shared" ref="C17:C20" si="10">HYPERLINK("https://docs.google.com/spreadsheets/d/1fMrTp07aaf33B-QCqgyyXGyzdaXcqNQbZRR4iKuCPYY","Cómo cultivar cannabis a partir de semillas")</f>
        <v>Cómo cultivar cannabis a partir de semillas</v>
      </c>
    </row>
    <row r="18">
      <c r="A18" s="1" t="str">
        <f>HYPERLINK("https://docs.google.com/spreadsheets/d/1fMrTp07aaf33B-QCqgyyXGyzdaXcqNQbZRR4iKuCPYY","como cultivar cannabis")</f>
        <v>como cultivar cannabis</v>
      </c>
      <c r="B18" s="1" t="str">
        <f t="shared" si="9"/>
        <v>https://docs.google.com/spreadsheets/d/1fMrTp07aaf33B-QCqgyyXGyzdaXcqNQbZRR4iKuCPYY</v>
      </c>
      <c r="C18" s="1" t="str">
        <f t="shared" si="10"/>
        <v>Cómo cultivar cannabis a partir de semillas</v>
      </c>
    </row>
    <row r="19">
      <c r="A19" s="1" t="str">
        <f>HYPERLINK("https://docs.google.com/spreadsheets/d/1fMrTp07aaf33B-QCqgyyXGyzdaXcqNQbZRR4iKuCPYY","Cómo cultivar cannabis al aire libre")</f>
        <v>Cómo cultivar cannabis al aire libre</v>
      </c>
      <c r="B19" s="1" t="str">
        <f t="shared" si="9"/>
        <v>https://docs.google.com/spreadsheets/d/1fMrTp07aaf33B-QCqgyyXGyzdaXcqNQbZRR4iKuCPYY</v>
      </c>
      <c r="C19" s="1" t="str">
        <f t="shared" si="10"/>
        <v>Cómo cultivar cannabis a partir de semillas</v>
      </c>
    </row>
    <row r="20">
      <c r="A20" s="1" t="str">
        <f>HYPERLINK("https://docs.google.com/spreadsheets/d/1fMrTp07aaf33B-QCqgyyXGyzdaXcqNQbZRR4iKuCPYY","cuánto tiempo lleva cultivar cannabis")</f>
        <v>cuánto tiempo lleva cultivar cannabis</v>
      </c>
      <c r="B20" s="1" t="str">
        <f t="shared" si="9"/>
        <v>https://docs.google.com/spreadsheets/d/1fMrTp07aaf33B-QCqgyyXGyzdaXcqNQbZRR4iKuCPYY</v>
      </c>
      <c r="C20" s="1" t="str">
        <f t="shared" si="10"/>
        <v>Cómo cultivar cannabis a partir de semillas</v>
      </c>
    </row>
    <row r="21">
      <c r="A21" s="1" t="str">
        <f>HYPERLINK("https://docs.google.com/spreadsheets/d/1FYfRXkHHvpKogZHgyLU6wyUTVq_A2JzBpYSPooNjExU","Cómo cultivar cannabis en interiores")</f>
        <v>Cómo cultivar cannabis en interiores</v>
      </c>
      <c r="B21" s="1" t="str">
        <f t="shared" ref="B21:B24" si="11">HYPERLINK("https://docs.google.com/spreadsheets/d/1FYfRXkHHvpKogZHgyLU6wyUTVq_A2JzBpYSPooNjExU","https://docs.google.com/spreadsheets/d/1FYfRXkHHvpKogZHgyLU6wyUTVq_A2JzBpYSPooNjExU")</f>
        <v>https://docs.google.com/spreadsheets/d/1FYfRXkHHvpKogZHgyLU6wyUTVq_A2JzBpYSPooNjExU</v>
      </c>
      <c r="C21" s="1" t="str">
        <f t="shared" ref="C21:C24" si="12">HYPERLINK("https://docs.google.com/spreadsheets/d/1FYfRXkHHvpKogZHgyLU6wyUTVq_A2JzBpYSPooNjExU","Cómo cultivar cannabis a partir de semillas")</f>
        <v>Cómo cultivar cannabis a partir de semillas</v>
      </c>
    </row>
    <row r="22">
      <c r="A22" s="1" t="str">
        <f>HYPERLINK("https://docs.google.com/spreadsheets/d/1FYfRXkHHvpKogZHgyLU6wyUTVq_A2JzBpYSPooNjExU","como cultivar cannabis")</f>
        <v>como cultivar cannabis</v>
      </c>
      <c r="B22" s="1" t="str">
        <f t="shared" si="11"/>
        <v>https://docs.google.com/spreadsheets/d/1FYfRXkHHvpKogZHgyLU6wyUTVq_A2JzBpYSPooNjExU</v>
      </c>
      <c r="C22" s="1" t="str">
        <f t="shared" si="12"/>
        <v>Cómo cultivar cannabis a partir de semillas</v>
      </c>
    </row>
    <row r="23">
      <c r="A23" s="1" t="str">
        <f>HYPERLINK("https://docs.google.com/spreadsheets/d/1FYfRXkHHvpKogZHgyLU6wyUTVq_A2JzBpYSPooNjExU","Cómo cultivar cannabis al aire libre")</f>
        <v>Cómo cultivar cannabis al aire libre</v>
      </c>
      <c r="B23" s="1" t="str">
        <f t="shared" si="11"/>
        <v>https://docs.google.com/spreadsheets/d/1FYfRXkHHvpKogZHgyLU6wyUTVq_A2JzBpYSPooNjExU</v>
      </c>
      <c r="C23" s="1" t="str">
        <f t="shared" si="12"/>
        <v>Cómo cultivar cannabis a partir de semillas</v>
      </c>
    </row>
    <row r="24">
      <c r="A24" s="1" t="str">
        <f>HYPERLINK("https://docs.google.com/spreadsheets/d/1FYfRXkHHvpKogZHgyLU6wyUTVq_A2JzBpYSPooNjExU","cuánto tiempo lleva cultivar cannabis")</f>
        <v>cuánto tiempo lleva cultivar cannabis</v>
      </c>
      <c r="B24" s="1" t="str">
        <f t="shared" si="11"/>
        <v>https://docs.google.com/spreadsheets/d/1FYfRXkHHvpKogZHgyLU6wyUTVq_A2JzBpYSPooNjExU</v>
      </c>
      <c r="C24" s="1" t="str">
        <f t="shared" si="12"/>
        <v>Cómo cultivar cannabis a partir de semillas</v>
      </c>
    </row>
    <row r="25">
      <c r="A25" s="1" t="str">
        <f>HYPERLINK("https://drive.google.com/drive/folders/1gptfrDhcAoI_VA0ftZElNJu2O9gFyxin","Cómo cultivar cannabis en interiores")</f>
        <v>Cómo cultivar cannabis en interiores</v>
      </c>
      <c r="B25" s="1" t="str">
        <f t="shared" ref="B25:B28" si="13">HYPERLINK("https://drive.google.com/drive/folders/1gptfrDhcAoI_VA0ftZElNJu2O9gFyxin","https://drive.google.com/drive/folders/1gptfrDhcAoI_VA0ftZElNJu2O9gFyxin")</f>
        <v>https://drive.google.com/drive/folders/1gptfrDhcAoI_VA0ftZElNJu2O9gFyxin</v>
      </c>
      <c r="C25" s="1" t="str">
        <f t="shared" ref="C25:C28" si="14">HYPERLINK("https://drive.google.com/drive/folders/1gptfrDhcAoI_VA0ftZElNJu2O9gFyxin","Cómo cultivar cannabis a partir de semillas")</f>
        <v>Cómo cultivar cannabis a partir de semillas</v>
      </c>
    </row>
    <row r="26">
      <c r="A26" s="1" t="str">
        <f>HYPERLINK("https://drive.google.com/drive/folders/1gptfrDhcAoI_VA0ftZElNJu2O9gFyxin","como cultivar cannabis")</f>
        <v>como cultivar cannabis</v>
      </c>
      <c r="B26" s="1" t="str">
        <f t="shared" si="13"/>
        <v>https://drive.google.com/drive/folders/1gptfrDhcAoI_VA0ftZElNJu2O9gFyxin</v>
      </c>
      <c r="C26" s="1" t="str">
        <f t="shared" si="14"/>
        <v>Cómo cultivar cannabis a partir de semillas</v>
      </c>
    </row>
    <row r="27">
      <c r="A27" s="1" t="str">
        <f>HYPERLINK("https://drive.google.com/drive/folders/1gptfrDhcAoI_VA0ftZElNJu2O9gFyxin","Cómo cultivar cannabis al aire libre")</f>
        <v>Cómo cultivar cannabis al aire libre</v>
      </c>
      <c r="B27" s="1" t="str">
        <f t="shared" si="13"/>
        <v>https://drive.google.com/drive/folders/1gptfrDhcAoI_VA0ftZElNJu2O9gFyxin</v>
      </c>
      <c r="C27" s="1" t="str">
        <f t="shared" si="14"/>
        <v>Cómo cultivar cannabis a partir de semillas</v>
      </c>
    </row>
    <row r="28">
      <c r="A28" s="1" t="str">
        <f>HYPERLINK("https://drive.google.com/drive/folders/1gptfrDhcAoI_VA0ftZElNJu2O9gFyxin","cuánto tiempo lleva cultivar cannabis")</f>
        <v>cuánto tiempo lleva cultivar cannabis</v>
      </c>
      <c r="B28" s="1" t="str">
        <f t="shared" si="13"/>
        <v>https://drive.google.com/drive/folders/1gptfrDhcAoI_VA0ftZElNJu2O9gFyxin</v>
      </c>
      <c r="C28" s="1" t="str">
        <f t="shared" si="14"/>
        <v>Cómo cultivar cannabis a partir de semillas</v>
      </c>
    </row>
    <row r="29">
      <c r="A29" s="1" t="str">
        <f>HYPERLINK("https://docs.google.com/spreadsheets/d/1w2SKuCxAiRL2o2iP0i8e1XS8d_nX6CFGJAjEpCxUdFA","Cómo cultivar cannabis en interiores")</f>
        <v>Cómo cultivar cannabis en interiores</v>
      </c>
      <c r="B29" s="1" t="str">
        <f t="shared" ref="B29:B32" si="15">HYPERLINK("https://docs.google.com/spreadsheets/d/1w2SKuCxAiRL2o2iP0i8e1XS8d_nX6CFGJAjEpCxUdFA","https://docs.google.com/spreadsheets/d/1w2SKuCxAiRL2o2iP0i8e1XS8d_nX6CFGJAjEpCxUdFA")</f>
        <v>https://docs.google.com/spreadsheets/d/1w2SKuCxAiRL2o2iP0i8e1XS8d_nX6CFGJAjEpCxUdFA</v>
      </c>
      <c r="C29" s="1" t="str">
        <f t="shared" ref="C29:C32" si="16">HYPERLINK("https://docs.google.com/spreadsheets/d/1w2SKuCxAiRL2o2iP0i8e1XS8d_nX6CFGJAjEpCxUdFA","Cómo cultivar cannabis a partir de semillas")</f>
        <v>Cómo cultivar cannabis a partir de semillas</v>
      </c>
    </row>
    <row r="30">
      <c r="A30" s="1" t="str">
        <f>HYPERLINK("https://docs.google.com/spreadsheets/d/1w2SKuCxAiRL2o2iP0i8e1XS8d_nX6CFGJAjEpCxUdFA","como cultivar cannabis")</f>
        <v>como cultivar cannabis</v>
      </c>
      <c r="B30" s="1" t="str">
        <f t="shared" si="15"/>
        <v>https://docs.google.com/spreadsheets/d/1w2SKuCxAiRL2o2iP0i8e1XS8d_nX6CFGJAjEpCxUdFA</v>
      </c>
      <c r="C30" s="1" t="str">
        <f t="shared" si="16"/>
        <v>Cómo cultivar cannabis a partir de semillas</v>
      </c>
    </row>
    <row r="31">
      <c r="A31" s="1" t="str">
        <f>HYPERLINK("https://docs.google.com/spreadsheets/d/1w2SKuCxAiRL2o2iP0i8e1XS8d_nX6CFGJAjEpCxUdFA","Cómo cultivar cannabis al aire libre")</f>
        <v>Cómo cultivar cannabis al aire libre</v>
      </c>
      <c r="B31" s="1" t="str">
        <f t="shared" si="15"/>
        <v>https://docs.google.com/spreadsheets/d/1w2SKuCxAiRL2o2iP0i8e1XS8d_nX6CFGJAjEpCxUdFA</v>
      </c>
      <c r="C31" s="1" t="str">
        <f t="shared" si="16"/>
        <v>Cómo cultivar cannabis a partir de semillas</v>
      </c>
    </row>
    <row r="32">
      <c r="A32" s="1" t="str">
        <f>HYPERLINK("https://docs.google.com/spreadsheets/d/1w2SKuCxAiRL2o2iP0i8e1XS8d_nX6CFGJAjEpCxUdFA","cuánto tiempo lleva cultivar cannabis")</f>
        <v>cuánto tiempo lleva cultivar cannabis</v>
      </c>
      <c r="B32" s="1" t="str">
        <f t="shared" si="15"/>
        <v>https://docs.google.com/spreadsheets/d/1w2SKuCxAiRL2o2iP0i8e1XS8d_nX6CFGJAjEpCxUdFA</v>
      </c>
      <c r="C32" s="1" t="str">
        <f t="shared" si="16"/>
        <v>Cómo cultivar cannabis a partir de semillas</v>
      </c>
    </row>
    <row r="33">
      <c r="A33" s="1" t="str">
        <f>HYPERLINK("https://drive.google.com/drive/folders/1BYsHx-2UtvwOoomkPYKHcCy3CJqndTz0","Cómo cultivar cannabis en interiores")</f>
        <v>Cómo cultivar cannabis en interiores</v>
      </c>
      <c r="B33" s="1" t="str">
        <f t="shared" ref="B33:B36" si="17">HYPERLINK("https://drive.google.com/drive/folders/1BYsHx-2UtvwOoomkPYKHcCy3CJqndTz0","https://drive.google.com/drive/folders/1BYsHx-2UtvwOoomkPYKHcCy3CJqndTz0")</f>
        <v>https://drive.google.com/drive/folders/1BYsHx-2UtvwOoomkPYKHcCy3CJqndTz0</v>
      </c>
      <c r="C33" s="1" t="str">
        <f t="shared" ref="C33:C36" si="18">HYPERLINK("https://drive.google.com/drive/folders/1BYsHx-2UtvwOoomkPYKHcCy3CJqndTz0","Cómo cultivar cannabis a partir de semillas")</f>
        <v>Cómo cultivar cannabis a partir de semillas</v>
      </c>
    </row>
    <row r="34">
      <c r="A34" s="1" t="str">
        <f>HYPERLINK("https://drive.google.com/drive/folders/1BYsHx-2UtvwOoomkPYKHcCy3CJqndTz0","como cultivar cannabis")</f>
        <v>como cultivar cannabis</v>
      </c>
      <c r="B34" s="1" t="str">
        <f t="shared" si="17"/>
        <v>https://drive.google.com/drive/folders/1BYsHx-2UtvwOoomkPYKHcCy3CJqndTz0</v>
      </c>
      <c r="C34" s="1" t="str">
        <f t="shared" si="18"/>
        <v>Cómo cultivar cannabis a partir de semillas</v>
      </c>
    </row>
    <row r="35">
      <c r="A35" s="1" t="str">
        <f>HYPERLINK("https://drive.google.com/drive/folders/1BYsHx-2UtvwOoomkPYKHcCy3CJqndTz0","Cómo cultivar cannabis al aire libre")</f>
        <v>Cómo cultivar cannabis al aire libre</v>
      </c>
      <c r="B35" s="1" t="str">
        <f t="shared" si="17"/>
        <v>https://drive.google.com/drive/folders/1BYsHx-2UtvwOoomkPYKHcCy3CJqndTz0</v>
      </c>
      <c r="C35" s="1" t="str">
        <f t="shared" si="18"/>
        <v>Cómo cultivar cannabis a partir de semillas</v>
      </c>
    </row>
    <row r="36">
      <c r="A36" s="1" t="str">
        <f>HYPERLINK("https://drive.google.com/drive/folders/1BYsHx-2UtvwOoomkPYKHcCy3CJqndTz0","cuánto tiempo lleva cultivar cannabis")</f>
        <v>cuánto tiempo lleva cultivar cannabis</v>
      </c>
      <c r="B36" s="1" t="str">
        <f t="shared" si="17"/>
        <v>https://drive.google.com/drive/folders/1BYsHx-2UtvwOoomkPYKHcCy3CJqndTz0</v>
      </c>
      <c r="C36" s="1" t="str">
        <f t="shared" si="18"/>
        <v>Cómo cultivar cannabis a partir de semillas</v>
      </c>
    </row>
    <row r="37">
      <c r="A37" s="1" t="str">
        <f>HYPERLINK("https://drive.google.com/drive/folders/1o58wZ54kLJNXmaBuHYBWPwJ-i3rFDR5h","Cómo cultivar cannabis en interiores")</f>
        <v>Cómo cultivar cannabis en interiores</v>
      </c>
      <c r="B37" s="1" t="str">
        <f t="shared" ref="B37:B40" si="19">HYPERLINK("https://drive.google.com/drive/folders/1o58wZ54kLJNXmaBuHYBWPwJ-i3rFDR5h","https://drive.google.com/drive/folders/1o58wZ54kLJNXmaBuHYBWPwJ-i3rFDR5h")</f>
        <v>https://drive.google.com/drive/folders/1o58wZ54kLJNXmaBuHYBWPwJ-i3rFDR5h</v>
      </c>
      <c r="C37" s="1" t="str">
        <f t="shared" ref="C37:C40" si="20">HYPERLINK("https://drive.google.com/drive/folders/1o58wZ54kLJNXmaBuHYBWPwJ-i3rFDR5h","Cómo cultivar cannabis a partir de semillas")</f>
        <v>Cómo cultivar cannabis a partir de semillas</v>
      </c>
    </row>
    <row r="38">
      <c r="A38" s="1" t="str">
        <f>HYPERLINK("https://drive.google.com/drive/folders/1o58wZ54kLJNXmaBuHYBWPwJ-i3rFDR5h","como cultivar cannabis")</f>
        <v>como cultivar cannabis</v>
      </c>
      <c r="B38" s="1" t="str">
        <f t="shared" si="19"/>
        <v>https://drive.google.com/drive/folders/1o58wZ54kLJNXmaBuHYBWPwJ-i3rFDR5h</v>
      </c>
      <c r="C38" s="1" t="str">
        <f t="shared" si="20"/>
        <v>Cómo cultivar cannabis a partir de semillas</v>
      </c>
    </row>
    <row r="39">
      <c r="A39" s="1" t="str">
        <f>HYPERLINK("https://drive.google.com/drive/folders/1o58wZ54kLJNXmaBuHYBWPwJ-i3rFDR5h","Cómo cultivar cannabis al aire libre")</f>
        <v>Cómo cultivar cannabis al aire libre</v>
      </c>
      <c r="B39" s="1" t="str">
        <f t="shared" si="19"/>
        <v>https://drive.google.com/drive/folders/1o58wZ54kLJNXmaBuHYBWPwJ-i3rFDR5h</v>
      </c>
      <c r="C39" s="1" t="str">
        <f t="shared" si="20"/>
        <v>Cómo cultivar cannabis a partir de semillas</v>
      </c>
    </row>
    <row r="40">
      <c r="A40" s="1" t="str">
        <f>HYPERLINK("https://drive.google.com/drive/folders/1o58wZ54kLJNXmaBuHYBWPwJ-i3rFDR5h","cuánto tiempo lleva cultivar cannabis")</f>
        <v>cuánto tiempo lleva cultivar cannabis</v>
      </c>
      <c r="B40" s="1" t="str">
        <f t="shared" si="19"/>
        <v>https://drive.google.com/drive/folders/1o58wZ54kLJNXmaBuHYBWPwJ-i3rFDR5h</v>
      </c>
      <c r="C40" s="1" t="str">
        <f t="shared" si="20"/>
        <v>Cómo cultivar cannabis a partir de semillas</v>
      </c>
    </row>
    <row r="41">
      <c r="A41" s="1" t="str">
        <f>HYPERLINK("https://drive.google.com/drive/folders/1SwQ7h7EY3S22yTlqHxax3757kQFUGOzY","Cómo cultivar cannabis en interiores")</f>
        <v>Cómo cultivar cannabis en interiores</v>
      </c>
      <c r="B41" s="1" t="str">
        <f t="shared" ref="B41:B44" si="21">HYPERLINK("https://drive.google.com/drive/folders/1SwQ7h7EY3S22yTlqHxax3757kQFUGOzY","https://drive.google.com/drive/folders/1SwQ7h7EY3S22yTlqHxax3757kQFUGOzY")</f>
        <v>https://drive.google.com/drive/folders/1SwQ7h7EY3S22yTlqHxax3757kQFUGOzY</v>
      </c>
      <c r="C41" s="1" t="str">
        <f t="shared" ref="C41:C44" si="22">HYPERLINK("https://drive.google.com/drive/folders/1SwQ7h7EY3S22yTlqHxax3757kQFUGOzY","Cómo cultivar cannabis a partir de semillas")</f>
        <v>Cómo cultivar cannabis a partir de semillas</v>
      </c>
    </row>
    <row r="42">
      <c r="A42" s="1" t="str">
        <f>HYPERLINK("https://drive.google.com/drive/folders/1SwQ7h7EY3S22yTlqHxax3757kQFUGOzY","como cultivar cannabis")</f>
        <v>como cultivar cannabis</v>
      </c>
      <c r="B42" s="1" t="str">
        <f t="shared" si="21"/>
        <v>https://drive.google.com/drive/folders/1SwQ7h7EY3S22yTlqHxax3757kQFUGOzY</v>
      </c>
      <c r="C42" s="1" t="str">
        <f t="shared" si="22"/>
        <v>Cómo cultivar cannabis a partir de semillas</v>
      </c>
    </row>
    <row r="43">
      <c r="A43" s="1" t="str">
        <f>HYPERLINK("https://drive.google.com/drive/folders/1SwQ7h7EY3S22yTlqHxax3757kQFUGOzY","Cómo cultivar cannabis al aire libre")</f>
        <v>Cómo cultivar cannabis al aire libre</v>
      </c>
      <c r="B43" s="1" t="str">
        <f t="shared" si="21"/>
        <v>https://drive.google.com/drive/folders/1SwQ7h7EY3S22yTlqHxax3757kQFUGOzY</v>
      </c>
      <c r="C43" s="1" t="str">
        <f t="shared" si="22"/>
        <v>Cómo cultivar cannabis a partir de semillas</v>
      </c>
    </row>
    <row r="44">
      <c r="A44" s="1" t="str">
        <f>HYPERLINK("https://drive.google.com/drive/folders/1SwQ7h7EY3S22yTlqHxax3757kQFUGOzY","cuánto tiempo lleva cultivar cannabis")</f>
        <v>cuánto tiempo lleva cultivar cannabis</v>
      </c>
      <c r="B44" s="1" t="str">
        <f t="shared" si="21"/>
        <v>https://drive.google.com/drive/folders/1SwQ7h7EY3S22yTlqHxax3757kQFUGOzY</v>
      </c>
      <c r="C44" s="1" t="str">
        <f t="shared" si="22"/>
        <v>Cómo cultivar cannabis a partir de semillas</v>
      </c>
    </row>
    <row r="45">
      <c r="A45" s="1" t="str">
        <f>HYPERLINK("https://drive.google.com/drive/folders/1gcR92D-4-_Hgwv3Qim59xEXZZx_-JkfH","Cómo cultivar cannabis en interiores")</f>
        <v>Cómo cultivar cannabis en interiores</v>
      </c>
      <c r="B45" s="1" t="str">
        <f t="shared" ref="B45:B48" si="23">HYPERLINK("https://drive.google.com/drive/folders/1gcR92D-4-_Hgwv3Qim59xEXZZx_-JkfH","https://drive.google.com/drive/folders/1gcR92D-4-_Hgwv3Qim59xEXZZx_-JkfH")</f>
        <v>https://drive.google.com/drive/folders/1gcR92D-4-_Hgwv3Qim59xEXZZx_-JkfH</v>
      </c>
      <c r="C45" s="1" t="str">
        <f t="shared" ref="C45:C48" si="24">HYPERLINK("https://drive.google.com/drive/folders/1gcR92D-4-_Hgwv3Qim59xEXZZx_-JkfH","Cómo cultivar cannabis a partir de semillas")</f>
        <v>Cómo cultivar cannabis a partir de semillas</v>
      </c>
    </row>
    <row r="46">
      <c r="A46" s="1" t="str">
        <f>HYPERLINK("https://drive.google.com/drive/folders/1gcR92D-4-_Hgwv3Qim59xEXZZx_-JkfH","como cultivar cannabis")</f>
        <v>como cultivar cannabis</v>
      </c>
      <c r="B46" s="1" t="str">
        <f t="shared" si="23"/>
        <v>https://drive.google.com/drive/folders/1gcR92D-4-_Hgwv3Qim59xEXZZx_-JkfH</v>
      </c>
      <c r="C46" s="1" t="str">
        <f t="shared" si="24"/>
        <v>Cómo cultivar cannabis a partir de semillas</v>
      </c>
    </row>
    <row r="47">
      <c r="A47" s="1" t="str">
        <f>HYPERLINK("https://drive.google.com/drive/folders/1gcR92D-4-_Hgwv3Qim59xEXZZx_-JkfH","Cómo cultivar cannabis al aire libre")</f>
        <v>Cómo cultivar cannabis al aire libre</v>
      </c>
      <c r="B47" s="1" t="str">
        <f t="shared" si="23"/>
        <v>https://drive.google.com/drive/folders/1gcR92D-4-_Hgwv3Qim59xEXZZx_-JkfH</v>
      </c>
      <c r="C47" s="1" t="str">
        <f t="shared" si="24"/>
        <v>Cómo cultivar cannabis a partir de semillas</v>
      </c>
    </row>
    <row r="48">
      <c r="A48" s="1" t="str">
        <f>HYPERLINK("https://drive.google.com/drive/folders/1gcR92D-4-_Hgwv3Qim59xEXZZx_-JkfH","cuánto tiempo lleva cultivar cannabis")</f>
        <v>cuánto tiempo lleva cultivar cannabis</v>
      </c>
      <c r="B48" s="1" t="str">
        <f t="shared" si="23"/>
        <v>https://drive.google.com/drive/folders/1gcR92D-4-_Hgwv3Qim59xEXZZx_-JkfH</v>
      </c>
      <c r="C48" s="1" t="str">
        <f t="shared" si="24"/>
        <v>Cómo cultivar cannabis a partir de semillas</v>
      </c>
    </row>
    <row r="49">
      <c r="A49" s="1" t="str">
        <f>HYPERLINK("https://drive.google.com/drive/folders/1ToxqCfqKpS6I6E5ajeQJtdjohz2q2U8-","Cómo cultivar cannabis en interiores")</f>
        <v>Cómo cultivar cannabis en interiores</v>
      </c>
      <c r="B49" s="1" t="str">
        <f t="shared" ref="B49:B52" si="25">HYPERLINK("https://drive.google.com/drive/folders/1ToxqCfqKpS6I6E5ajeQJtdjohz2q2U8-","https://drive.google.com/drive/folders/1ToxqCfqKpS6I6E5ajeQJtdjohz2q2U8-")</f>
        <v>https://drive.google.com/drive/folders/1ToxqCfqKpS6I6E5ajeQJtdjohz2q2U8-</v>
      </c>
      <c r="C49" s="1" t="str">
        <f t="shared" ref="C49:C52" si="26">HYPERLINK("https://drive.google.com/drive/folders/1ToxqCfqKpS6I6E5ajeQJtdjohz2q2U8-","Cómo cultivar cannabis a partir de semillas")</f>
        <v>Cómo cultivar cannabis a partir de semillas</v>
      </c>
    </row>
    <row r="50">
      <c r="A50" s="1" t="str">
        <f>HYPERLINK("https://drive.google.com/drive/folders/1ToxqCfqKpS6I6E5ajeQJtdjohz2q2U8-","como cultivar cannabis")</f>
        <v>como cultivar cannabis</v>
      </c>
      <c r="B50" s="1" t="str">
        <f t="shared" si="25"/>
        <v>https://drive.google.com/drive/folders/1ToxqCfqKpS6I6E5ajeQJtdjohz2q2U8-</v>
      </c>
      <c r="C50" s="1" t="str">
        <f t="shared" si="26"/>
        <v>Cómo cultivar cannabis a partir de semillas</v>
      </c>
    </row>
    <row r="51">
      <c r="A51" s="1" t="str">
        <f>HYPERLINK("https://drive.google.com/drive/folders/1ToxqCfqKpS6I6E5ajeQJtdjohz2q2U8-","Cómo cultivar cannabis al aire libre")</f>
        <v>Cómo cultivar cannabis al aire libre</v>
      </c>
      <c r="B51" s="1" t="str">
        <f t="shared" si="25"/>
        <v>https://drive.google.com/drive/folders/1ToxqCfqKpS6I6E5ajeQJtdjohz2q2U8-</v>
      </c>
      <c r="C51" s="1" t="str">
        <f t="shared" si="26"/>
        <v>Cómo cultivar cannabis a partir de semillas</v>
      </c>
    </row>
    <row r="52">
      <c r="A52" s="1" t="str">
        <f>HYPERLINK("https://drive.google.com/drive/folders/1ToxqCfqKpS6I6E5ajeQJtdjohz2q2U8-","cuánto tiempo lleva cultivar cannabis")</f>
        <v>cuánto tiempo lleva cultivar cannabis</v>
      </c>
      <c r="B52" s="1" t="str">
        <f t="shared" si="25"/>
        <v>https://drive.google.com/drive/folders/1ToxqCfqKpS6I6E5ajeQJtdjohz2q2U8-</v>
      </c>
      <c r="C52" s="1" t="str">
        <f t="shared" si="26"/>
        <v>Cómo cultivar cannabis a partir de semillas</v>
      </c>
    </row>
    <row r="53">
      <c r="A53" s="1" t="str">
        <f>HYPERLINK("https://docs.google.com/spreadsheets/d/1oyqM-WG9CuufnzuLKQp5XrVqSF_wS_HmwwOyWixzMHY","Cómo cultivar cannabis en interiores")</f>
        <v>Cómo cultivar cannabis en interiores</v>
      </c>
      <c r="B53" s="1" t="str">
        <f t="shared" ref="B53:B56" si="27">HYPERLINK("https://docs.google.com/spreadsheets/d/1oyqM-WG9CuufnzuLKQp5XrVqSF_wS_HmwwOyWixzMHY","https://docs.google.com/spreadsheets/d/1oyqM-WG9CuufnzuLKQp5XrVqSF_wS_HmwwOyWixzMHY")</f>
        <v>https://docs.google.com/spreadsheets/d/1oyqM-WG9CuufnzuLKQp5XrVqSF_wS_HmwwOyWixzMHY</v>
      </c>
      <c r="C53" s="1" t="str">
        <f t="shared" ref="C53:C56" si="28">HYPERLINK("https://docs.google.com/spreadsheets/d/1oyqM-WG9CuufnzuLKQp5XrVqSF_wS_HmwwOyWixzMHY","Cómo cultivar cannabis a partir de semillas")</f>
        <v>Cómo cultivar cannabis a partir de semillas</v>
      </c>
    </row>
    <row r="54">
      <c r="A54" s="1" t="str">
        <f>HYPERLINK("https://docs.google.com/spreadsheets/d/1oyqM-WG9CuufnzuLKQp5XrVqSF_wS_HmwwOyWixzMHY","como cultivar cannabis")</f>
        <v>como cultivar cannabis</v>
      </c>
      <c r="B54" s="1" t="str">
        <f t="shared" si="27"/>
        <v>https://docs.google.com/spreadsheets/d/1oyqM-WG9CuufnzuLKQp5XrVqSF_wS_HmwwOyWixzMHY</v>
      </c>
      <c r="C54" s="1" t="str">
        <f t="shared" si="28"/>
        <v>Cómo cultivar cannabis a partir de semillas</v>
      </c>
    </row>
    <row r="55">
      <c r="A55" s="1" t="str">
        <f>HYPERLINK("https://docs.google.com/spreadsheets/d/1oyqM-WG9CuufnzuLKQp5XrVqSF_wS_HmwwOyWixzMHY","Cómo cultivar cannabis al aire libre")</f>
        <v>Cómo cultivar cannabis al aire libre</v>
      </c>
      <c r="B55" s="1" t="str">
        <f t="shared" si="27"/>
        <v>https://docs.google.com/spreadsheets/d/1oyqM-WG9CuufnzuLKQp5XrVqSF_wS_HmwwOyWixzMHY</v>
      </c>
      <c r="C55" s="1" t="str">
        <f t="shared" si="28"/>
        <v>Cómo cultivar cannabis a partir de semillas</v>
      </c>
    </row>
    <row r="56">
      <c r="A56" s="1" t="str">
        <f>HYPERLINK("https://docs.google.com/spreadsheets/d/1oyqM-WG9CuufnzuLKQp5XrVqSF_wS_HmwwOyWixzMHY","cuánto tiempo lleva cultivar cannabis")</f>
        <v>cuánto tiempo lleva cultivar cannabis</v>
      </c>
      <c r="B56" s="1" t="str">
        <f t="shared" si="27"/>
        <v>https://docs.google.com/spreadsheets/d/1oyqM-WG9CuufnzuLKQp5XrVqSF_wS_HmwwOyWixzMHY</v>
      </c>
      <c r="C56" s="1" t="str">
        <f t="shared" si="28"/>
        <v>Cómo cultivar cannabis a partir de semillas</v>
      </c>
    </row>
    <row r="57">
      <c r="A57" s="1" t="str">
        <f>HYPERLINK("https://docs.google.com/spreadsheets/d/1_4bAHDaemwc7SRGfQ4rIsF4QwX5dqeYmiSimFjY_u6I","Cómo cultivar cannabis en interiores")</f>
        <v>Cómo cultivar cannabis en interiores</v>
      </c>
      <c r="B57" s="1" t="str">
        <f t="shared" ref="B57:B60" si="29">HYPERLINK("https://docs.google.com/spreadsheets/d/1_4bAHDaemwc7SRGfQ4rIsF4QwX5dqeYmiSimFjY_u6I","https://docs.google.com/spreadsheets/d/1_4bAHDaemwc7SRGfQ4rIsF4QwX5dqeYmiSimFjY_u6I")</f>
        <v>https://docs.google.com/spreadsheets/d/1_4bAHDaemwc7SRGfQ4rIsF4QwX5dqeYmiSimFjY_u6I</v>
      </c>
      <c r="C57" s="1" t="str">
        <f t="shared" ref="C57:C60" si="30">HYPERLINK("https://docs.google.com/spreadsheets/d/1_4bAHDaemwc7SRGfQ4rIsF4QwX5dqeYmiSimFjY_u6I","Cómo cultivar cannabis a partir de semillas")</f>
        <v>Cómo cultivar cannabis a partir de semillas</v>
      </c>
    </row>
    <row r="58">
      <c r="A58" s="1" t="str">
        <f>HYPERLINK("https://docs.google.com/spreadsheets/d/1_4bAHDaemwc7SRGfQ4rIsF4QwX5dqeYmiSimFjY_u6I","como cultivar cannabis")</f>
        <v>como cultivar cannabis</v>
      </c>
      <c r="B58" s="1" t="str">
        <f t="shared" si="29"/>
        <v>https://docs.google.com/spreadsheets/d/1_4bAHDaemwc7SRGfQ4rIsF4QwX5dqeYmiSimFjY_u6I</v>
      </c>
      <c r="C58" s="1" t="str">
        <f t="shared" si="30"/>
        <v>Cómo cultivar cannabis a partir de semillas</v>
      </c>
    </row>
    <row r="59">
      <c r="A59" s="1" t="str">
        <f>HYPERLINK("https://docs.google.com/spreadsheets/d/1_4bAHDaemwc7SRGfQ4rIsF4QwX5dqeYmiSimFjY_u6I","Cómo cultivar cannabis al aire libre")</f>
        <v>Cómo cultivar cannabis al aire libre</v>
      </c>
      <c r="B59" s="1" t="str">
        <f t="shared" si="29"/>
        <v>https://docs.google.com/spreadsheets/d/1_4bAHDaemwc7SRGfQ4rIsF4QwX5dqeYmiSimFjY_u6I</v>
      </c>
      <c r="C59" s="1" t="str">
        <f t="shared" si="30"/>
        <v>Cómo cultivar cannabis a partir de semillas</v>
      </c>
    </row>
    <row r="60">
      <c r="A60" s="1" t="str">
        <f>HYPERLINK("https://docs.google.com/spreadsheets/d/1_4bAHDaemwc7SRGfQ4rIsF4QwX5dqeYmiSimFjY_u6I","cuánto tiempo lleva cultivar cannabis")</f>
        <v>cuánto tiempo lleva cultivar cannabis</v>
      </c>
      <c r="B60" s="1" t="str">
        <f t="shared" si="29"/>
        <v>https://docs.google.com/spreadsheets/d/1_4bAHDaemwc7SRGfQ4rIsF4QwX5dqeYmiSimFjY_u6I</v>
      </c>
      <c r="C60" s="1" t="str">
        <f t="shared" si="30"/>
        <v>Cómo cultivar cannabis a partir de semillas</v>
      </c>
    </row>
    <row r="61">
      <c r="A61" s="1" t="str">
        <f>HYPERLINK("https://docs.google.com/spreadsheets/d/1h2AyivqqdLrxGrjuvsYyka1te95aSTLRos8EHqSw-iw","Cómo cultivar cannabis en interiores")</f>
        <v>Cómo cultivar cannabis en interiores</v>
      </c>
      <c r="B61" s="1" t="str">
        <f t="shared" ref="B61:B64" si="31">HYPERLINK("https://docs.google.com/spreadsheets/d/1h2AyivqqdLrxGrjuvsYyka1te95aSTLRos8EHqSw-iw","https://docs.google.com/spreadsheets/d/1h2AyivqqdLrxGrjuvsYyka1te95aSTLRos8EHqSw-iw")</f>
        <v>https://docs.google.com/spreadsheets/d/1h2AyivqqdLrxGrjuvsYyka1te95aSTLRos8EHqSw-iw</v>
      </c>
      <c r="C61" s="1" t="str">
        <f t="shared" ref="C61:C64" si="32">HYPERLINK("https://docs.google.com/spreadsheets/d/1h2AyivqqdLrxGrjuvsYyka1te95aSTLRos8EHqSw-iw","Cómo cultivar cannabis a partir de semillas")</f>
        <v>Cómo cultivar cannabis a partir de semillas</v>
      </c>
    </row>
    <row r="62">
      <c r="A62" s="1" t="str">
        <f>HYPERLINK("https://docs.google.com/spreadsheets/d/1h2AyivqqdLrxGrjuvsYyka1te95aSTLRos8EHqSw-iw","como cultivar cannabis")</f>
        <v>como cultivar cannabis</v>
      </c>
      <c r="B62" s="1" t="str">
        <f t="shared" si="31"/>
        <v>https://docs.google.com/spreadsheets/d/1h2AyivqqdLrxGrjuvsYyka1te95aSTLRos8EHqSw-iw</v>
      </c>
      <c r="C62" s="1" t="str">
        <f t="shared" si="32"/>
        <v>Cómo cultivar cannabis a partir de semillas</v>
      </c>
    </row>
    <row r="63">
      <c r="A63" s="1" t="str">
        <f>HYPERLINK("https://docs.google.com/spreadsheets/d/1h2AyivqqdLrxGrjuvsYyka1te95aSTLRos8EHqSw-iw","Cómo cultivar cannabis al aire libre")</f>
        <v>Cómo cultivar cannabis al aire libre</v>
      </c>
      <c r="B63" s="1" t="str">
        <f t="shared" si="31"/>
        <v>https://docs.google.com/spreadsheets/d/1h2AyivqqdLrxGrjuvsYyka1te95aSTLRos8EHqSw-iw</v>
      </c>
      <c r="C63" s="1" t="str">
        <f t="shared" si="32"/>
        <v>Cómo cultivar cannabis a partir de semillas</v>
      </c>
    </row>
    <row r="64">
      <c r="A64" s="1" t="str">
        <f>HYPERLINK("https://docs.google.com/spreadsheets/d/1h2AyivqqdLrxGrjuvsYyka1te95aSTLRos8EHqSw-iw","cuánto tiempo lleva cultivar cannabis")</f>
        <v>cuánto tiempo lleva cultivar cannabis</v>
      </c>
      <c r="B64" s="1" t="str">
        <f t="shared" si="31"/>
        <v>https://docs.google.com/spreadsheets/d/1h2AyivqqdLrxGrjuvsYyka1te95aSTLRos8EHqSw-iw</v>
      </c>
      <c r="C64" s="1" t="str">
        <f t="shared" si="32"/>
        <v>Cómo cultivar cannabis a partir de semillas</v>
      </c>
    </row>
    <row r="65">
      <c r="A65" s="1" t="str">
        <f>HYPERLINK("https://docs.google.com/spreadsheets/d/1_dW9QjZSSHS1AkdqdlRX_ZrF1V6BOpZ7bheNOyx9Pro","Cómo cultivar cannabis en interiores")</f>
        <v>Cómo cultivar cannabis en interiores</v>
      </c>
      <c r="B65" s="1" t="str">
        <f t="shared" ref="B65:B68" si="33">HYPERLINK("https://docs.google.com/spreadsheets/d/1_dW9QjZSSHS1AkdqdlRX_ZrF1V6BOpZ7bheNOyx9Pro","https://docs.google.com/spreadsheets/d/1_dW9QjZSSHS1AkdqdlRX_ZrF1V6BOpZ7bheNOyx9Pro")</f>
        <v>https://docs.google.com/spreadsheets/d/1_dW9QjZSSHS1AkdqdlRX_ZrF1V6BOpZ7bheNOyx9Pro</v>
      </c>
      <c r="C65" s="1" t="str">
        <f t="shared" ref="C65:C68" si="34">HYPERLINK("https://docs.google.com/spreadsheets/d/1_dW9QjZSSHS1AkdqdlRX_ZrF1V6BOpZ7bheNOyx9Pro","Cómo cultivar cannabis a partir de semillas")</f>
        <v>Cómo cultivar cannabis a partir de semillas</v>
      </c>
    </row>
    <row r="66">
      <c r="A66" s="1" t="str">
        <f>HYPERLINK("https://docs.google.com/spreadsheets/d/1_dW9QjZSSHS1AkdqdlRX_ZrF1V6BOpZ7bheNOyx9Pro","como cultivar cannabis")</f>
        <v>como cultivar cannabis</v>
      </c>
      <c r="B66" s="1" t="str">
        <f t="shared" si="33"/>
        <v>https://docs.google.com/spreadsheets/d/1_dW9QjZSSHS1AkdqdlRX_ZrF1V6BOpZ7bheNOyx9Pro</v>
      </c>
      <c r="C66" s="1" t="str">
        <f t="shared" si="34"/>
        <v>Cómo cultivar cannabis a partir de semillas</v>
      </c>
    </row>
    <row r="67">
      <c r="A67" s="1" t="str">
        <f>HYPERLINK("https://docs.google.com/spreadsheets/d/1_dW9QjZSSHS1AkdqdlRX_ZrF1V6BOpZ7bheNOyx9Pro","Cómo cultivar cannabis al aire libre")</f>
        <v>Cómo cultivar cannabis al aire libre</v>
      </c>
      <c r="B67" s="1" t="str">
        <f t="shared" si="33"/>
        <v>https://docs.google.com/spreadsheets/d/1_dW9QjZSSHS1AkdqdlRX_ZrF1V6BOpZ7bheNOyx9Pro</v>
      </c>
      <c r="C67" s="1" t="str">
        <f t="shared" si="34"/>
        <v>Cómo cultivar cannabis a partir de semillas</v>
      </c>
    </row>
    <row r="68">
      <c r="A68" s="1" t="str">
        <f>HYPERLINK("https://docs.google.com/spreadsheets/d/1_dW9QjZSSHS1AkdqdlRX_ZrF1V6BOpZ7bheNOyx9Pro","cuánto tiempo lleva cultivar cannabis")</f>
        <v>cuánto tiempo lleva cultivar cannabis</v>
      </c>
      <c r="B68" s="1" t="str">
        <f t="shared" si="33"/>
        <v>https://docs.google.com/spreadsheets/d/1_dW9QjZSSHS1AkdqdlRX_ZrF1V6BOpZ7bheNOyx9Pro</v>
      </c>
      <c r="C68" s="1" t="str">
        <f t="shared" si="34"/>
        <v>Cómo cultivar cannabis a partir de semillas</v>
      </c>
    </row>
    <row r="69">
      <c r="A69" s="1" t="str">
        <f>HYPERLINK("https://docs.google.com/spreadsheets/d/1b3ahXEUVfcZNw5CR4gHrlli4u63gw33mHTCgryXo32k","Cómo cultivar cannabis en interiores")</f>
        <v>Cómo cultivar cannabis en interiores</v>
      </c>
      <c r="B69" s="1" t="str">
        <f t="shared" ref="B69:B72" si="35">HYPERLINK("https://docs.google.com/spreadsheets/d/1b3ahXEUVfcZNw5CR4gHrlli4u63gw33mHTCgryXo32k","https://docs.google.com/spreadsheets/d/1b3ahXEUVfcZNw5CR4gHrlli4u63gw33mHTCgryXo32k")</f>
        <v>https://docs.google.com/spreadsheets/d/1b3ahXEUVfcZNw5CR4gHrlli4u63gw33mHTCgryXo32k</v>
      </c>
      <c r="C69" s="1" t="str">
        <f t="shared" ref="C69:C72" si="36">HYPERLINK("https://docs.google.com/spreadsheets/d/1b3ahXEUVfcZNw5CR4gHrlli4u63gw33mHTCgryXo32k","Cómo cultivar cannabis a partir de semillas")</f>
        <v>Cómo cultivar cannabis a partir de semillas</v>
      </c>
    </row>
    <row r="70">
      <c r="A70" s="1" t="str">
        <f>HYPERLINK("https://docs.google.com/spreadsheets/d/1b3ahXEUVfcZNw5CR4gHrlli4u63gw33mHTCgryXo32k","como cultivar cannabis")</f>
        <v>como cultivar cannabis</v>
      </c>
      <c r="B70" s="1" t="str">
        <f t="shared" si="35"/>
        <v>https://docs.google.com/spreadsheets/d/1b3ahXEUVfcZNw5CR4gHrlli4u63gw33mHTCgryXo32k</v>
      </c>
      <c r="C70" s="1" t="str">
        <f t="shared" si="36"/>
        <v>Cómo cultivar cannabis a partir de semillas</v>
      </c>
    </row>
    <row r="71">
      <c r="A71" s="1" t="str">
        <f>HYPERLINK("https://docs.google.com/spreadsheets/d/1b3ahXEUVfcZNw5CR4gHrlli4u63gw33mHTCgryXo32k","Cómo cultivar cannabis al aire libre")</f>
        <v>Cómo cultivar cannabis al aire libre</v>
      </c>
      <c r="B71" s="1" t="str">
        <f t="shared" si="35"/>
        <v>https://docs.google.com/spreadsheets/d/1b3ahXEUVfcZNw5CR4gHrlli4u63gw33mHTCgryXo32k</v>
      </c>
      <c r="C71" s="1" t="str">
        <f t="shared" si="36"/>
        <v>Cómo cultivar cannabis a partir de semillas</v>
      </c>
    </row>
    <row r="72">
      <c r="A72" s="1" t="str">
        <f>HYPERLINK("https://docs.google.com/spreadsheets/d/1b3ahXEUVfcZNw5CR4gHrlli4u63gw33mHTCgryXo32k","cuánto tiempo lleva cultivar cannabis")</f>
        <v>cuánto tiempo lleva cultivar cannabis</v>
      </c>
      <c r="B72" s="1" t="str">
        <f t="shared" si="35"/>
        <v>https://docs.google.com/spreadsheets/d/1b3ahXEUVfcZNw5CR4gHrlli4u63gw33mHTCgryXo32k</v>
      </c>
      <c r="C72" s="1" t="str">
        <f t="shared" si="36"/>
        <v>Cómo cultivar cannabis a partir de semillas</v>
      </c>
    </row>
    <row r="73">
      <c r="A73" s="1" t="str">
        <f>HYPERLINK("https://drive.google.com/drive/folders/12oi0G4-CY50BDQ2ciNFen0_J3r0tKixQ","Cómo cultivar cannabis en interiores")</f>
        <v>Cómo cultivar cannabis en interiores</v>
      </c>
      <c r="B73" s="1" t="str">
        <f t="shared" ref="B73:B76" si="37">HYPERLINK("https://drive.google.com/drive/folders/12oi0G4-CY50BDQ2ciNFen0_J3r0tKixQ","https://drive.google.com/drive/folders/12oi0G4-CY50BDQ2ciNFen0_J3r0tKixQ")</f>
        <v>https://drive.google.com/drive/folders/12oi0G4-CY50BDQ2ciNFen0_J3r0tKixQ</v>
      </c>
      <c r="C73" s="1" t="str">
        <f t="shared" ref="C73:C76" si="38">HYPERLINK("https://drive.google.com/drive/folders/12oi0G4-CY50BDQ2ciNFen0_J3r0tKixQ","Cómo cultivar cannabis a partir de semillas")</f>
        <v>Cómo cultivar cannabis a partir de semillas</v>
      </c>
    </row>
    <row r="74">
      <c r="A74" s="1" t="str">
        <f>HYPERLINK("https://drive.google.com/drive/folders/12oi0G4-CY50BDQ2ciNFen0_J3r0tKixQ","como cultivar cannabis")</f>
        <v>como cultivar cannabis</v>
      </c>
      <c r="B74" s="1" t="str">
        <f t="shared" si="37"/>
        <v>https://drive.google.com/drive/folders/12oi0G4-CY50BDQ2ciNFen0_J3r0tKixQ</v>
      </c>
      <c r="C74" s="1" t="str">
        <f t="shared" si="38"/>
        <v>Cómo cultivar cannabis a partir de semillas</v>
      </c>
    </row>
    <row r="75">
      <c r="A75" s="1" t="str">
        <f>HYPERLINK("https://drive.google.com/drive/folders/12oi0G4-CY50BDQ2ciNFen0_J3r0tKixQ","Cómo cultivar cannabis al aire libre")</f>
        <v>Cómo cultivar cannabis al aire libre</v>
      </c>
      <c r="B75" s="1" t="str">
        <f t="shared" si="37"/>
        <v>https://drive.google.com/drive/folders/12oi0G4-CY50BDQ2ciNFen0_J3r0tKixQ</v>
      </c>
      <c r="C75" s="1" t="str">
        <f t="shared" si="38"/>
        <v>Cómo cultivar cannabis a partir de semillas</v>
      </c>
    </row>
    <row r="76">
      <c r="A76" s="1" t="str">
        <f>HYPERLINK("https://drive.google.com/drive/folders/12oi0G4-CY50BDQ2ciNFen0_J3r0tKixQ","cuánto tiempo lleva cultivar cannabis")</f>
        <v>cuánto tiempo lleva cultivar cannabis</v>
      </c>
      <c r="B76" s="1" t="str">
        <f t="shared" si="37"/>
        <v>https://drive.google.com/drive/folders/12oi0G4-CY50BDQ2ciNFen0_J3r0tKixQ</v>
      </c>
      <c r="C76" s="1" t="str">
        <f t="shared" si="38"/>
        <v>Cómo cultivar cannabis a partir de semillas</v>
      </c>
    </row>
    <row r="77">
      <c r="A77" s="1" t="str">
        <f>HYPERLINK("https://drive.google.com/drive/folders/1uC-zDkMDdVphrBExydYHLW4NxcIfNkAb","Cómo cultivar cannabis en interiores")</f>
        <v>Cómo cultivar cannabis en interiores</v>
      </c>
      <c r="B77" s="1" t="str">
        <f t="shared" ref="B77:B80" si="39">HYPERLINK("https://drive.google.com/drive/folders/1uC-zDkMDdVphrBExydYHLW4NxcIfNkAb","https://drive.google.com/drive/folders/1uC-zDkMDdVphrBExydYHLW4NxcIfNkAb")</f>
        <v>https://drive.google.com/drive/folders/1uC-zDkMDdVphrBExydYHLW4NxcIfNkAb</v>
      </c>
      <c r="C77" s="1" t="str">
        <f t="shared" ref="C77:C80" si="40">HYPERLINK("https://drive.google.com/drive/folders/1uC-zDkMDdVphrBExydYHLW4NxcIfNkAb","Cómo cultivar cannabis a partir de semillas")</f>
        <v>Cómo cultivar cannabis a partir de semillas</v>
      </c>
    </row>
    <row r="78">
      <c r="A78" s="1" t="str">
        <f>HYPERLINK("https://drive.google.com/drive/folders/1uC-zDkMDdVphrBExydYHLW4NxcIfNkAb","como cultivar cannabis")</f>
        <v>como cultivar cannabis</v>
      </c>
      <c r="B78" s="1" t="str">
        <f t="shared" si="39"/>
        <v>https://drive.google.com/drive/folders/1uC-zDkMDdVphrBExydYHLW4NxcIfNkAb</v>
      </c>
      <c r="C78" s="1" t="str">
        <f t="shared" si="40"/>
        <v>Cómo cultivar cannabis a partir de semillas</v>
      </c>
    </row>
    <row r="79">
      <c r="A79" s="1" t="str">
        <f>HYPERLINK("https://drive.google.com/drive/folders/1uC-zDkMDdVphrBExydYHLW4NxcIfNkAb","Cómo cultivar cannabis al aire libre")</f>
        <v>Cómo cultivar cannabis al aire libre</v>
      </c>
      <c r="B79" s="1" t="str">
        <f t="shared" si="39"/>
        <v>https://drive.google.com/drive/folders/1uC-zDkMDdVphrBExydYHLW4NxcIfNkAb</v>
      </c>
      <c r="C79" s="1" t="str">
        <f t="shared" si="40"/>
        <v>Cómo cultivar cannabis a partir de semillas</v>
      </c>
    </row>
    <row r="80">
      <c r="A80" s="1" t="str">
        <f>HYPERLINK("https://drive.google.com/drive/folders/1uC-zDkMDdVphrBExydYHLW4NxcIfNkAb","cuánto tiempo lleva cultivar cannabis")</f>
        <v>cuánto tiempo lleva cultivar cannabis</v>
      </c>
      <c r="B80" s="1" t="str">
        <f t="shared" si="39"/>
        <v>https://drive.google.com/drive/folders/1uC-zDkMDdVphrBExydYHLW4NxcIfNkAb</v>
      </c>
      <c r="C80" s="1" t="str">
        <f t="shared" si="40"/>
        <v>Cómo cultivar cannabis a partir de semillas</v>
      </c>
    </row>
    <row r="81">
      <c r="A81" s="1" t="str">
        <f>HYPERLINK("https://drive.google.com/drive/folders/1rJhrbD3Z4TFbWFNabMrGUlrqPkdEec2U","Cómo cultivar cannabis en interiores")</f>
        <v>Cómo cultivar cannabis en interiores</v>
      </c>
      <c r="B81" s="1" t="str">
        <f t="shared" ref="B81:B84" si="41">HYPERLINK("https://drive.google.com/drive/folders/1rJhrbD3Z4TFbWFNabMrGUlrqPkdEec2U","https://drive.google.com/drive/folders/1rJhrbD3Z4TFbWFNabMrGUlrqPkdEec2U")</f>
        <v>https://drive.google.com/drive/folders/1rJhrbD3Z4TFbWFNabMrGUlrqPkdEec2U</v>
      </c>
      <c r="C81" s="1" t="str">
        <f t="shared" ref="C81:C84" si="42">HYPERLINK("https://drive.google.com/drive/folders/1rJhrbD3Z4TFbWFNabMrGUlrqPkdEec2U","Cómo cultivar cannabis a partir de semillas")</f>
        <v>Cómo cultivar cannabis a partir de semillas</v>
      </c>
    </row>
    <row r="82">
      <c r="A82" s="1" t="str">
        <f>HYPERLINK("https://drive.google.com/drive/folders/1rJhrbD3Z4TFbWFNabMrGUlrqPkdEec2U","como cultivar cannabis")</f>
        <v>como cultivar cannabis</v>
      </c>
      <c r="B82" s="1" t="str">
        <f t="shared" si="41"/>
        <v>https://drive.google.com/drive/folders/1rJhrbD3Z4TFbWFNabMrGUlrqPkdEec2U</v>
      </c>
      <c r="C82" s="1" t="str">
        <f t="shared" si="42"/>
        <v>Cómo cultivar cannabis a partir de semillas</v>
      </c>
    </row>
    <row r="83">
      <c r="A83" s="1" t="str">
        <f>HYPERLINK("https://drive.google.com/drive/folders/1rJhrbD3Z4TFbWFNabMrGUlrqPkdEec2U","Cómo cultivar cannabis al aire libre")</f>
        <v>Cómo cultivar cannabis al aire libre</v>
      </c>
      <c r="B83" s="1" t="str">
        <f t="shared" si="41"/>
        <v>https://drive.google.com/drive/folders/1rJhrbD3Z4TFbWFNabMrGUlrqPkdEec2U</v>
      </c>
      <c r="C83" s="1" t="str">
        <f t="shared" si="42"/>
        <v>Cómo cultivar cannabis a partir de semillas</v>
      </c>
    </row>
    <row r="84">
      <c r="A84" s="1" t="str">
        <f>HYPERLINK("https://drive.google.com/drive/folders/1rJhrbD3Z4TFbWFNabMrGUlrqPkdEec2U","cuánto tiempo lleva cultivar cannabis")</f>
        <v>cuánto tiempo lleva cultivar cannabis</v>
      </c>
      <c r="B84" s="1" t="str">
        <f t="shared" si="41"/>
        <v>https://drive.google.com/drive/folders/1rJhrbD3Z4TFbWFNabMrGUlrqPkdEec2U</v>
      </c>
      <c r="C84" s="1" t="str">
        <f t="shared" si="42"/>
        <v>Cómo cultivar cannabis a partir de semillas</v>
      </c>
    </row>
    <row r="85">
      <c r="A85" s="1" t="str">
        <f>HYPERLINK("https://docs.google.com/spreadsheets/d/17e1PWwFb9e_KudCt5_epmmg0qGU4oIIirqKuK9q8d2o","Cómo cultivar cannabis en interiores")</f>
        <v>Cómo cultivar cannabis en interiores</v>
      </c>
      <c r="B85" s="1" t="str">
        <f t="shared" ref="B85:B88" si="43">HYPERLINK("https://docs.google.com/spreadsheets/d/17e1PWwFb9e_KudCt5_epmmg0qGU4oIIirqKuK9q8d2o","https://docs.google.com/spreadsheets/d/17e1PWwFb9e_KudCt5_epmmg0qGU4oIIirqKuK9q8d2o")</f>
        <v>https://docs.google.com/spreadsheets/d/17e1PWwFb9e_KudCt5_epmmg0qGU4oIIirqKuK9q8d2o</v>
      </c>
      <c r="C85" s="1" t="str">
        <f t="shared" ref="C85:C88" si="44">HYPERLINK("https://docs.google.com/spreadsheets/d/17e1PWwFb9e_KudCt5_epmmg0qGU4oIIirqKuK9q8d2o","Cómo cultivar cannabis a partir de semillas")</f>
        <v>Cómo cultivar cannabis a partir de semillas</v>
      </c>
    </row>
    <row r="86">
      <c r="A86" s="1" t="str">
        <f>HYPERLINK("https://docs.google.com/spreadsheets/d/17e1PWwFb9e_KudCt5_epmmg0qGU4oIIirqKuK9q8d2o","como cultivar cannabis")</f>
        <v>como cultivar cannabis</v>
      </c>
      <c r="B86" s="1" t="str">
        <f t="shared" si="43"/>
        <v>https://docs.google.com/spreadsheets/d/17e1PWwFb9e_KudCt5_epmmg0qGU4oIIirqKuK9q8d2o</v>
      </c>
      <c r="C86" s="1" t="str">
        <f t="shared" si="44"/>
        <v>Cómo cultivar cannabis a partir de semillas</v>
      </c>
    </row>
    <row r="87">
      <c r="A87" s="1" t="str">
        <f>HYPERLINK("https://docs.google.com/spreadsheets/d/17e1PWwFb9e_KudCt5_epmmg0qGU4oIIirqKuK9q8d2o","Cómo cultivar cannabis al aire libre")</f>
        <v>Cómo cultivar cannabis al aire libre</v>
      </c>
      <c r="B87" s="1" t="str">
        <f t="shared" si="43"/>
        <v>https://docs.google.com/spreadsheets/d/17e1PWwFb9e_KudCt5_epmmg0qGU4oIIirqKuK9q8d2o</v>
      </c>
      <c r="C87" s="1" t="str">
        <f t="shared" si="44"/>
        <v>Cómo cultivar cannabis a partir de semillas</v>
      </c>
    </row>
    <row r="88">
      <c r="A88" s="1" t="str">
        <f>HYPERLINK("https://docs.google.com/spreadsheets/d/17e1PWwFb9e_KudCt5_epmmg0qGU4oIIirqKuK9q8d2o","cuánto tiempo lleva cultivar cannabis")</f>
        <v>cuánto tiempo lleva cultivar cannabis</v>
      </c>
      <c r="B88" s="1" t="str">
        <f t="shared" si="43"/>
        <v>https://docs.google.com/spreadsheets/d/17e1PWwFb9e_KudCt5_epmmg0qGU4oIIirqKuK9q8d2o</v>
      </c>
      <c r="C88" s="1" t="str">
        <f t="shared" si="44"/>
        <v>Cómo cultivar cannabis a partir de semillas</v>
      </c>
    </row>
    <row r="89">
      <c r="A89" s="1" t="str">
        <f>HYPERLINK("https://drive.google.com/drive/folders/1-4DtzokST13xCNJtl1KF9FjHIsjwUe4s","Cómo cultivar cannabis en interiores")</f>
        <v>Cómo cultivar cannabis en interiores</v>
      </c>
      <c r="B89" s="1" t="str">
        <f t="shared" ref="B89:B92" si="45">HYPERLINK("https://drive.google.com/drive/folders/1-4DtzokST13xCNJtl1KF9FjHIsjwUe4s","https://drive.google.com/drive/folders/1-4DtzokST13xCNJtl1KF9FjHIsjwUe4s")</f>
        <v>https://drive.google.com/drive/folders/1-4DtzokST13xCNJtl1KF9FjHIsjwUe4s</v>
      </c>
      <c r="C89" s="1" t="str">
        <f t="shared" ref="C89:C92" si="46">HYPERLINK("https://drive.google.com/drive/folders/1-4DtzokST13xCNJtl1KF9FjHIsjwUe4s","Cómo cultivar cannabis a partir de semillas")</f>
        <v>Cómo cultivar cannabis a partir de semillas</v>
      </c>
    </row>
    <row r="90">
      <c r="A90" s="1" t="str">
        <f>HYPERLINK("https://drive.google.com/drive/folders/1-4DtzokST13xCNJtl1KF9FjHIsjwUe4s","como cultivar cannabis")</f>
        <v>como cultivar cannabis</v>
      </c>
      <c r="B90" s="1" t="str">
        <f t="shared" si="45"/>
        <v>https://drive.google.com/drive/folders/1-4DtzokST13xCNJtl1KF9FjHIsjwUe4s</v>
      </c>
      <c r="C90" s="1" t="str">
        <f t="shared" si="46"/>
        <v>Cómo cultivar cannabis a partir de semillas</v>
      </c>
    </row>
    <row r="91">
      <c r="A91" s="1" t="str">
        <f>HYPERLINK("https://drive.google.com/drive/folders/1-4DtzokST13xCNJtl1KF9FjHIsjwUe4s","Cómo cultivar cannabis al aire libre")</f>
        <v>Cómo cultivar cannabis al aire libre</v>
      </c>
      <c r="B91" s="1" t="str">
        <f t="shared" si="45"/>
        <v>https://drive.google.com/drive/folders/1-4DtzokST13xCNJtl1KF9FjHIsjwUe4s</v>
      </c>
      <c r="C91" s="1" t="str">
        <f t="shared" si="46"/>
        <v>Cómo cultivar cannabis a partir de semillas</v>
      </c>
    </row>
    <row r="92">
      <c r="A92" s="1" t="str">
        <f>HYPERLINK("https://drive.google.com/drive/folders/1-4DtzokST13xCNJtl1KF9FjHIsjwUe4s","cuánto tiempo lleva cultivar cannabis")</f>
        <v>cuánto tiempo lleva cultivar cannabis</v>
      </c>
      <c r="B92" s="1" t="str">
        <f t="shared" si="45"/>
        <v>https://drive.google.com/drive/folders/1-4DtzokST13xCNJtl1KF9FjHIsjwUe4s</v>
      </c>
      <c r="C92" s="1" t="str">
        <f t="shared" si="46"/>
        <v>Cómo cultivar cannabis a partir de semillas</v>
      </c>
    </row>
    <row r="93">
      <c r="A93" s="1" t="str">
        <f>HYPERLINK("https://docs.google.com/spreadsheets/d/1X9Tlb5cra5uOji_U60l935audYa8vUzeovGeER_yGf0","Cómo cultivar cannabis en interiores")</f>
        <v>Cómo cultivar cannabis en interiores</v>
      </c>
      <c r="B93" s="1" t="str">
        <f t="shared" ref="B93:B96" si="47">HYPERLINK("https://docs.google.com/spreadsheets/d/1X9Tlb5cra5uOji_U60l935audYa8vUzeovGeER_yGf0","https://docs.google.com/spreadsheets/d/1X9Tlb5cra5uOji_U60l935audYa8vUzeovGeER_yGf0")</f>
        <v>https://docs.google.com/spreadsheets/d/1X9Tlb5cra5uOji_U60l935audYa8vUzeovGeER_yGf0</v>
      </c>
      <c r="C93" s="1" t="str">
        <f t="shared" ref="C93:C96" si="48">HYPERLINK("https://docs.google.com/spreadsheets/d/1X9Tlb5cra5uOji_U60l935audYa8vUzeovGeER_yGf0","Cómo cultivar cannabis a partir de semillas")</f>
        <v>Cómo cultivar cannabis a partir de semillas</v>
      </c>
    </row>
    <row r="94">
      <c r="A94" s="1" t="str">
        <f>HYPERLINK("https://docs.google.com/spreadsheets/d/1X9Tlb5cra5uOji_U60l935audYa8vUzeovGeER_yGf0","como cultivar cannabis")</f>
        <v>como cultivar cannabis</v>
      </c>
      <c r="B94" s="1" t="str">
        <f t="shared" si="47"/>
        <v>https://docs.google.com/spreadsheets/d/1X9Tlb5cra5uOji_U60l935audYa8vUzeovGeER_yGf0</v>
      </c>
      <c r="C94" s="1" t="str">
        <f t="shared" si="48"/>
        <v>Cómo cultivar cannabis a partir de semillas</v>
      </c>
    </row>
    <row r="95">
      <c r="A95" s="1" t="str">
        <f>HYPERLINK("https://docs.google.com/spreadsheets/d/1X9Tlb5cra5uOji_U60l935audYa8vUzeovGeER_yGf0","Cómo cultivar cannabis al aire libre")</f>
        <v>Cómo cultivar cannabis al aire libre</v>
      </c>
      <c r="B95" s="1" t="str">
        <f t="shared" si="47"/>
        <v>https://docs.google.com/spreadsheets/d/1X9Tlb5cra5uOji_U60l935audYa8vUzeovGeER_yGf0</v>
      </c>
      <c r="C95" s="1" t="str">
        <f t="shared" si="48"/>
        <v>Cómo cultivar cannabis a partir de semillas</v>
      </c>
    </row>
    <row r="96">
      <c r="A96" s="1" t="str">
        <f>HYPERLINK("https://docs.google.com/spreadsheets/d/1X9Tlb5cra5uOji_U60l935audYa8vUzeovGeER_yGf0","cuánto tiempo lleva cultivar cannabis")</f>
        <v>cuánto tiempo lleva cultivar cannabis</v>
      </c>
      <c r="B96" s="1" t="str">
        <f t="shared" si="47"/>
        <v>https://docs.google.com/spreadsheets/d/1X9Tlb5cra5uOji_U60l935audYa8vUzeovGeER_yGf0</v>
      </c>
      <c r="C96" s="1" t="str">
        <f t="shared" si="48"/>
        <v>Cómo cultivar cannabis a partir de semillas</v>
      </c>
    </row>
    <row r="97">
      <c r="A97" s="1" t="str">
        <f>HYPERLINK("https://drive.google.com/drive/folders/1aku1VpVg-gpmlGojm0nBzgLif0UooOVk","Cómo cultivar cannabis en interiores")</f>
        <v>Cómo cultivar cannabis en interiores</v>
      </c>
      <c r="B97" s="1" t="str">
        <f t="shared" ref="B97:B100" si="49">HYPERLINK("https://drive.google.com/drive/folders/1aku1VpVg-gpmlGojm0nBzgLif0UooOVk","https://drive.google.com/drive/folders/1aku1VpVg-gpmlGojm0nBzgLif0UooOVk")</f>
        <v>https://drive.google.com/drive/folders/1aku1VpVg-gpmlGojm0nBzgLif0UooOVk</v>
      </c>
      <c r="C97" s="1" t="str">
        <f t="shared" ref="C97:C100" si="50">HYPERLINK("https://drive.google.com/drive/folders/1aku1VpVg-gpmlGojm0nBzgLif0UooOVk","Cómo cultivar cannabis a partir de semillas")</f>
        <v>Cómo cultivar cannabis a partir de semillas</v>
      </c>
    </row>
    <row r="98">
      <c r="A98" s="1" t="str">
        <f>HYPERLINK("https://drive.google.com/drive/folders/1aku1VpVg-gpmlGojm0nBzgLif0UooOVk","como cultivar cannabis")</f>
        <v>como cultivar cannabis</v>
      </c>
      <c r="B98" s="1" t="str">
        <f t="shared" si="49"/>
        <v>https://drive.google.com/drive/folders/1aku1VpVg-gpmlGojm0nBzgLif0UooOVk</v>
      </c>
      <c r="C98" s="1" t="str">
        <f t="shared" si="50"/>
        <v>Cómo cultivar cannabis a partir de semillas</v>
      </c>
    </row>
    <row r="99">
      <c r="A99" s="1" t="str">
        <f>HYPERLINK("https://drive.google.com/drive/folders/1aku1VpVg-gpmlGojm0nBzgLif0UooOVk","Cómo cultivar cannabis al aire libre")</f>
        <v>Cómo cultivar cannabis al aire libre</v>
      </c>
      <c r="B99" s="1" t="str">
        <f t="shared" si="49"/>
        <v>https://drive.google.com/drive/folders/1aku1VpVg-gpmlGojm0nBzgLif0UooOVk</v>
      </c>
      <c r="C99" s="1" t="str">
        <f t="shared" si="50"/>
        <v>Cómo cultivar cannabis a partir de semillas</v>
      </c>
    </row>
    <row r="100">
      <c r="A100" s="1" t="str">
        <f>HYPERLINK("https://drive.google.com/drive/folders/1aku1VpVg-gpmlGojm0nBzgLif0UooOVk","cuánto tiempo lleva cultivar cannabis")</f>
        <v>cuánto tiempo lleva cultivar cannabis</v>
      </c>
      <c r="B100" s="1" t="str">
        <f t="shared" si="49"/>
        <v>https://drive.google.com/drive/folders/1aku1VpVg-gpmlGojm0nBzgLif0UooOVk</v>
      </c>
      <c r="C100" s="1" t="str">
        <f t="shared" si="50"/>
        <v>Cómo cultivar cannabis a partir de semillas</v>
      </c>
    </row>
    <row r="101">
      <c r="A101" s="1" t="str">
        <f>HYPERLINK("https://docs.google.com/spreadsheets/d/1KyJk4HPN_TLwGZTFT-2auA4TvFKOjLdxqYSTfn6iUTg","Cómo cultivar cannabis en interiores")</f>
        <v>Cómo cultivar cannabis en interiores</v>
      </c>
      <c r="B101" s="1" t="str">
        <f t="shared" ref="B101:B104" si="51">HYPERLINK("https://docs.google.com/spreadsheets/d/1KyJk4HPN_TLwGZTFT-2auA4TvFKOjLdxqYSTfn6iUTg","https://docs.google.com/spreadsheets/d/1KyJk4HPN_TLwGZTFT-2auA4TvFKOjLdxqYSTfn6iUTg")</f>
        <v>https://docs.google.com/spreadsheets/d/1KyJk4HPN_TLwGZTFT-2auA4TvFKOjLdxqYSTfn6iUTg</v>
      </c>
      <c r="C101" s="1" t="str">
        <f t="shared" ref="C101:C104" si="52">HYPERLINK("https://docs.google.com/spreadsheets/d/1KyJk4HPN_TLwGZTFT-2auA4TvFKOjLdxqYSTfn6iUTg","Cómo cultivar cannabis a partir de semillas")</f>
        <v>Cómo cultivar cannabis a partir de semillas</v>
      </c>
    </row>
    <row r="102">
      <c r="A102" s="1" t="str">
        <f>HYPERLINK("https://docs.google.com/spreadsheets/d/1KyJk4HPN_TLwGZTFT-2auA4TvFKOjLdxqYSTfn6iUTg","como cultivar cannabis")</f>
        <v>como cultivar cannabis</v>
      </c>
      <c r="B102" s="1" t="str">
        <f t="shared" si="51"/>
        <v>https://docs.google.com/spreadsheets/d/1KyJk4HPN_TLwGZTFT-2auA4TvFKOjLdxqYSTfn6iUTg</v>
      </c>
      <c r="C102" s="1" t="str">
        <f t="shared" si="52"/>
        <v>Cómo cultivar cannabis a partir de semillas</v>
      </c>
    </row>
    <row r="103">
      <c r="A103" s="1" t="str">
        <f>HYPERLINK("https://docs.google.com/spreadsheets/d/1KyJk4HPN_TLwGZTFT-2auA4TvFKOjLdxqYSTfn6iUTg","Cómo cultivar cannabis al aire libre")</f>
        <v>Cómo cultivar cannabis al aire libre</v>
      </c>
      <c r="B103" s="1" t="str">
        <f t="shared" si="51"/>
        <v>https://docs.google.com/spreadsheets/d/1KyJk4HPN_TLwGZTFT-2auA4TvFKOjLdxqYSTfn6iUTg</v>
      </c>
      <c r="C103" s="1" t="str">
        <f t="shared" si="52"/>
        <v>Cómo cultivar cannabis a partir de semillas</v>
      </c>
    </row>
    <row r="104">
      <c r="A104" s="1" t="str">
        <f>HYPERLINK("https://docs.google.com/spreadsheets/d/1KyJk4HPN_TLwGZTFT-2auA4TvFKOjLdxqYSTfn6iUTg","cuánto tiempo lleva cultivar cannabis")</f>
        <v>cuánto tiempo lleva cultivar cannabis</v>
      </c>
      <c r="B104" s="1" t="str">
        <f t="shared" si="51"/>
        <v>https://docs.google.com/spreadsheets/d/1KyJk4HPN_TLwGZTFT-2auA4TvFKOjLdxqYSTfn6iUTg</v>
      </c>
      <c r="C104" s="1" t="str">
        <f t="shared" si="52"/>
        <v>Cómo cultivar cannabis a partir de semillas</v>
      </c>
    </row>
    <row r="105">
      <c r="A105" s="1" t="str">
        <f>HYPERLINK("https://docs.google.com/spreadsheets/d/1-sue-3lQV5uEBRzKodeF5eBtGrwt04wjIppFYtRVyHw","Cómo cultivar cannabis en interiores")</f>
        <v>Cómo cultivar cannabis en interiores</v>
      </c>
      <c r="B105" s="1" t="str">
        <f t="shared" ref="B105:B108" si="53">HYPERLINK("https://docs.google.com/spreadsheets/d/1-sue-3lQV5uEBRzKodeF5eBtGrwt04wjIppFYtRVyHw","https://docs.google.com/spreadsheets/d/1-sue-3lQV5uEBRzKodeF5eBtGrwt04wjIppFYtRVyHw")</f>
        <v>https://docs.google.com/spreadsheets/d/1-sue-3lQV5uEBRzKodeF5eBtGrwt04wjIppFYtRVyHw</v>
      </c>
      <c r="C105" s="1" t="str">
        <f t="shared" ref="C105:C108" si="54">HYPERLINK("https://docs.google.com/spreadsheets/d/1-sue-3lQV5uEBRzKodeF5eBtGrwt04wjIppFYtRVyHw","Cómo cultivar cannabis a partir de semillas")</f>
        <v>Cómo cultivar cannabis a partir de semillas</v>
      </c>
    </row>
    <row r="106">
      <c r="A106" s="1" t="str">
        <f>HYPERLINK("https://docs.google.com/spreadsheets/d/1-sue-3lQV5uEBRzKodeF5eBtGrwt04wjIppFYtRVyHw","como cultivar cannabis")</f>
        <v>como cultivar cannabis</v>
      </c>
      <c r="B106" s="1" t="str">
        <f t="shared" si="53"/>
        <v>https://docs.google.com/spreadsheets/d/1-sue-3lQV5uEBRzKodeF5eBtGrwt04wjIppFYtRVyHw</v>
      </c>
      <c r="C106" s="1" t="str">
        <f t="shared" si="54"/>
        <v>Cómo cultivar cannabis a partir de semillas</v>
      </c>
    </row>
    <row r="107">
      <c r="A107" s="1" t="str">
        <f>HYPERLINK("https://docs.google.com/spreadsheets/d/1-sue-3lQV5uEBRzKodeF5eBtGrwt04wjIppFYtRVyHw","Cómo cultivar cannabis al aire libre")</f>
        <v>Cómo cultivar cannabis al aire libre</v>
      </c>
      <c r="B107" s="1" t="str">
        <f t="shared" si="53"/>
        <v>https://docs.google.com/spreadsheets/d/1-sue-3lQV5uEBRzKodeF5eBtGrwt04wjIppFYtRVyHw</v>
      </c>
      <c r="C107" s="1" t="str">
        <f t="shared" si="54"/>
        <v>Cómo cultivar cannabis a partir de semillas</v>
      </c>
    </row>
    <row r="108">
      <c r="A108" s="1" t="str">
        <f>HYPERLINK("https://docs.google.com/spreadsheets/d/1-sue-3lQV5uEBRzKodeF5eBtGrwt04wjIppFYtRVyHw","cuánto tiempo lleva cultivar cannabis")</f>
        <v>cuánto tiempo lleva cultivar cannabis</v>
      </c>
      <c r="B108" s="1" t="str">
        <f t="shared" si="53"/>
        <v>https://docs.google.com/spreadsheets/d/1-sue-3lQV5uEBRzKodeF5eBtGrwt04wjIppFYtRVyHw</v>
      </c>
      <c r="C108" s="1" t="str">
        <f t="shared" si="54"/>
        <v>Cómo cultivar cannabis a partir de semillas</v>
      </c>
    </row>
    <row r="109">
      <c r="A109" s="1" t="str">
        <f>HYPERLINK("https://drive.google.com/drive/folders/1-jEXwwR30Ls89sXHonMW7sd8xT6X2vVS","Cómo cultivar cannabis en interiores")</f>
        <v>Cómo cultivar cannabis en interiores</v>
      </c>
      <c r="B109" s="1" t="str">
        <f t="shared" ref="B109:B112" si="55">HYPERLINK("https://drive.google.com/drive/folders/1-jEXwwR30Ls89sXHonMW7sd8xT6X2vVS","https://drive.google.com/drive/folders/1-jEXwwR30Ls89sXHonMW7sd8xT6X2vVS")</f>
        <v>https://drive.google.com/drive/folders/1-jEXwwR30Ls89sXHonMW7sd8xT6X2vVS</v>
      </c>
      <c r="C109" s="1" t="str">
        <f t="shared" ref="C109:C112" si="56">HYPERLINK("https://drive.google.com/drive/folders/1-jEXwwR30Ls89sXHonMW7sd8xT6X2vVS","Cómo cultivar cannabis a partir de semillas")</f>
        <v>Cómo cultivar cannabis a partir de semillas</v>
      </c>
    </row>
    <row r="110">
      <c r="A110" s="1" t="str">
        <f>HYPERLINK("https://drive.google.com/drive/folders/1-jEXwwR30Ls89sXHonMW7sd8xT6X2vVS","como cultivar cannabis")</f>
        <v>como cultivar cannabis</v>
      </c>
      <c r="B110" s="1" t="str">
        <f t="shared" si="55"/>
        <v>https://drive.google.com/drive/folders/1-jEXwwR30Ls89sXHonMW7sd8xT6X2vVS</v>
      </c>
      <c r="C110" s="1" t="str">
        <f t="shared" si="56"/>
        <v>Cómo cultivar cannabis a partir de semillas</v>
      </c>
    </row>
    <row r="111">
      <c r="A111" s="1" t="str">
        <f>HYPERLINK("https://drive.google.com/drive/folders/1-jEXwwR30Ls89sXHonMW7sd8xT6X2vVS","Cómo cultivar cannabis al aire libre")</f>
        <v>Cómo cultivar cannabis al aire libre</v>
      </c>
      <c r="B111" s="1" t="str">
        <f t="shared" si="55"/>
        <v>https://drive.google.com/drive/folders/1-jEXwwR30Ls89sXHonMW7sd8xT6X2vVS</v>
      </c>
      <c r="C111" s="1" t="str">
        <f t="shared" si="56"/>
        <v>Cómo cultivar cannabis a partir de semillas</v>
      </c>
    </row>
    <row r="112">
      <c r="A112" s="1" t="str">
        <f>HYPERLINK("https://drive.google.com/drive/folders/1-jEXwwR30Ls89sXHonMW7sd8xT6X2vVS","cuánto tiempo lleva cultivar cannabis")</f>
        <v>cuánto tiempo lleva cultivar cannabis</v>
      </c>
      <c r="B112" s="1" t="str">
        <f t="shared" si="55"/>
        <v>https://drive.google.com/drive/folders/1-jEXwwR30Ls89sXHonMW7sd8xT6X2vVS</v>
      </c>
      <c r="C112" s="1" t="str">
        <f t="shared" si="56"/>
        <v>Cómo cultivar cannabis a partir de semillas</v>
      </c>
    </row>
    <row r="113">
      <c r="A113" s="1" t="str">
        <f>HYPERLINK("https://docs.google.com/spreadsheets/d/1oj5WRUrsc-9y30-7IIReAbhPSBUCPBBJzhEKLwMJ7zE","Cómo cultivar cannabis en interiores")</f>
        <v>Cómo cultivar cannabis en interiores</v>
      </c>
      <c r="B113" s="1" t="str">
        <f t="shared" ref="B113:B116" si="57">HYPERLINK("https://docs.google.com/spreadsheets/d/1oj5WRUrsc-9y30-7IIReAbhPSBUCPBBJzhEKLwMJ7zE","https://docs.google.com/spreadsheets/d/1oj5WRUrsc-9y30-7IIReAbhPSBUCPBBJzhEKLwMJ7zE")</f>
        <v>https://docs.google.com/spreadsheets/d/1oj5WRUrsc-9y30-7IIReAbhPSBUCPBBJzhEKLwMJ7zE</v>
      </c>
      <c r="C113" s="1" t="str">
        <f t="shared" ref="C113:C116" si="58">HYPERLINK("https://docs.google.com/spreadsheets/d/1oj5WRUrsc-9y30-7IIReAbhPSBUCPBBJzhEKLwMJ7zE","Cómo cultivar cannabis a partir de semillas")</f>
        <v>Cómo cultivar cannabis a partir de semillas</v>
      </c>
    </row>
    <row r="114">
      <c r="A114" s="1" t="str">
        <f>HYPERLINK("https://docs.google.com/spreadsheets/d/1oj5WRUrsc-9y30-7IIReAbhPSBUCPBBJzhEKLwMJ7zE","como cultivar cannabis")</f>
        <v>como cultivar cannabis</v>
      </c>
      <c r="B114" s="1" t="str">
        <f t="shared" si="57"/>
        <v>https://docs.google.com/spreadsheets/d/1oj5WRUrsc-9y30-7IIReAbhPSBUCPBBJzhEKLwMJ7zE</v>
      </c>
      <c r="C114" s="1" t="str">
        <f t="shared" si="58"/>
        <v>Cómo cultivar cannabis a partir de semillas</v>
      </c>
    </row>
    <row r="115">
      <c r="A115" s="1" t="str">
        <f>HYPERLINK("https://docs.google.com/spreadsheets/d/1oj5WRUrsc-9y30-7IIReAbhPSBUCPBBJzhEKLwMJ7zE","Cómo cultivar cannabis al aire libre")</f>
        <v>Cómo cultivar cannabis al aire libre</v>
      </c>
      <c r="B115" s="1" t="str">
        <f t="shared" si="57"/>
        <v>https://docs.google.com/spreadsheets/d/1oj5WRUrsc-9y30-7IIReAbhPSBUCPBBJzhEKLwMJ7zE</v>
      </c>
      <c r="C115" s="1" t="str">
        <f t="shared" si="58"/>
        <v>Cómo cultivar cannabis a partir de semillas</v>
      </c>
    </row>
    <row r="116">
      <c r="A116" s="1" t="str">
        <f>HYPERLINK("https://docs.google.com/spreadsheets/d/1oj5WRUrsc-9y30-7IIReAbhPSBUCPBBJzhEKLwMJ7zE","cuánto tiempo lleva cultivar cannabis")</f>
        <v>cuánto tiempo lleva cultivar cannabis</v>
      </c>
      <c r="B116" s="1" t="str">
        <f t="shared" si="57"/>
        <v>https://docs.google.com/spreadsheets/d/1oj5WRUrsc-9y30-7IIReAbhPSBUCPBBJzhEKLwMJ7zE</v>
      </c>
      <c r="C116" s="1" t="str">
        <f t="shared" si="58"/>
        <v>Cómo cultivar cannabis a partir de semillas</v>
      </c>
    </row>
    <row r="117">
      <c r="A117" s="1" t="str">
        <f>HYPERLINK("https://drive.google.com/drive/folders/11eVmzC2r5_Dsc-_Ww21RIePlBScDoLYD","Cómo cultivar cannabis en interiores")</f>
        <v>Cómo cultivar cannabis en interiores</v>
      </c>
      <c r="B117" s="1" t="str">
        <f t="shared" ref="B117:B120" si="59">HYPERLINK("https://drive.google.com/drive/folders/11eVmzC2r5_Dsc-_Ww21RIePlBScDoLYD","https://drive.google.com/drive/folders/11eVmzC2r5_Dsc-_Ww21RIePlBScDoLYD")</f>
        <v>https://drive.google.com/drive/folders/11eVmzC2r5_Dsc-_Ww21RIePlBScDoLYD</v>
      </c>
      <c r="C117" s="1" t="str">
        <f t="shared" ref="C117:C120" si="60">HYPERLINK("https://drive.google.com/drive/folders/11eVmzC2r5_Dsc-_Ww21RIePlBScDoLYD","Cómo cultivar cannabis a partir de semillas")</f>
        <v>Cómo cultivar cannabis a partir de semillas</v>
      </c>
    </row>
    <row r="118">
      <c r="A118" s="1" t="str">
        <f>HYPERLINK("https://drive.google.com/drive/folders/11eVmzC2r5_Dsc-_Ww21RIePlBScDoLYD","como cultivar cannabis")</f>
        <v>como cultivar cannabis</v>
      </c>
      <c r="B118" s="1" t="str">
        <f t="shared" si="59"/>
        <v>https://drive.google.com/drive/folders/11eVmzC2r5_Dsc-_Ww21RIePlBScDoLYD</v>
      </c>
      <c r="C118" s="1" t="str">
        <f t="shared" si="60"/>
        <v>Cómo cultivar cannabis a partir de semillas</v>
      </c>
    </row>
    <row r="119">
      <c r="A119" s="1" t="str">
        <f>HYPERLINK("https://drive.google.com/drive/folders/11eVmzC2r5_Dsc-_Ww21RIePlBScDoLYD","Cómo cultivar cannabis al aire libre")</f>
        <v>Cómo cultivar cannabis al aire libre</v>
      </c>
      <c r="B119" s="1" t="str">
        <f t="shared" si="59"/>
        <v>https://drive.google.com/drive/folders/11eVmzC2r5_Dsc-_Ww21RIePlBScDoLYD</v>
      </c>
      <c r="C119" s="1" t="str">
        <f t="shared" si="60"/>
        <v>Cómo cultivar cannabis a partir de semillas</v>
      </c>
    </row>
    <row r="120">
      <c r="A120" s="1" t="str">
        <f>HYPERLINK("https://drive.google.com/drive/folders/11eVmzC2r5_Dsc-_Ww21RIePlBScDoLYD","cuánto tiempo lleva cultivar cannabis")</f>
        <v>cuánto tiempo lleva cultivar cannabis</v>
      </c>
      <c r="B120" s="1" t="str">
        <f t="shared" si="59"/>
        <v>https://drive.google.com/drive/folders/11eVmzC2r5_Dsc-_Ww21RIePlBScDoLYD</v>
      </c>
      <c r="C120" s="1" t="str">
        <f t="shared" si="60"/>
        <v>Cómo cultivar cannabis a partir de semillas</v>
      </c>
    </row>
    <row r="121">
      <c r="A121" s="1" t="str">
        <f>HYPERLINK("https://drive.google.com/drive/folders/1ctUTICnnfTbg9Fk02n2FD6e9Tifzoajp","Cómo cultivar cannabis en interiores")</f>
        <v>Cómo cultivar cannabis en interiores</v>
      </c>
      <c r="B121" s="1" t="str">
        <f t="shared" ref="B121:B124" si="61">HYPERLINK("https://drive.google.com/drive/folders/1ctUTICnnfTbg9Fk02n2FD6e9Tifzoajp","https://drive.google.com/drive/folders/1ctUTICnnfTbg9Fk02n2FD6e9Tifzoajp")</f>
        <v>https://drive.google.com/drive/folders/1ctUTICnnfTbg9Fk02n2FD6e9Tifzoajp</v>
      </c>
      <c r="C121" s="1" t="str">
        <f t="shared" ref="C121:C124" si="62">HYPERLINK("https://drive.google.com/drive/folders/1ctUTICnnfTbg9Fk02n2FD6e9Tifzoajp","Cómo cultivar cannabis a partir de semillas")</f>
        <v>Cómo cultivar cannabis a partir de semillas</v>
      </c>
    </row>
    <row r="122">
      <c r="A122" s="1" t="str">
        <f>HYPERLINK("https://drive.google.com/drive/folders/1ctUTICnnfTbg9Fk02n2FD6e9Tifzoajp","como cultivar cannabis")</f>
        <v>como cultivar cannabis</v>
      </c>
      <c r="B122" s="1" t="str">
        <f t="shared" si="61"/>
        <v>https://drive.google.com/drive/folders/1ctUTICnnfTbg9Fk02n2FD6e9Tifzoajp</v>
      </c>
      <c r="C122" s="1" t="str">
        <f t="shared" si="62"/>
        <v>Cómo cultivar cannabis a partir de semillas</v>
      </c>
    </row>
    <row r="123">
      <c r="A123" s="1" t="str">
        <f>HYPERLINK("https://drive.google.com/drive/folders/1ctUTICnnfTbg9Fk02n2FD6e9Tifzoajp","Cómo cultivar cannabis al aire libre")</f>
        <v>Cómo cultivar cannabis al aire libre</v>
      </c>
      <c r="B123" s="1" t="str">
        <f t="shared" si="61"/>
        <v>https://drive.google.com/drive/folders/1ctUTICnnfTbg9Fk02n2FD6e9Tifzoajp</v>
      </c>
      <c r="C123" s="1" t="str">
        <f t="shared" si="62"/>
        <v>Cómo cultivar cannabis a partir de semillas</v>
      </c>
    </row>
    <row r="124">
      <c r="A124" s="1" t="str">
        <f>HYPERLINK("https://drive.google.com/drive/folders/1ctUTICnnfTbg9Fk02n2FD6e9Tifzoajp","cuánto tiempo lleva cultivar cannabis")</f>
        <v>cuánto tiempo lleva cultivar cannabis</v>
      </c>
      <c r="B124" s="1" t="str">
        <f t="shared" si="61"/>
        <v>https://drive.google.com/drive/folders/1ctUTICnnfTbg9Fk02n2FD6e9Tifzoajp</v>
      </c>
      <c r="C124" s="1" t="str">
        <f t="shared" si="62"/>
        <v>Cómo cultivar cannabis a partir de semillas</v>
      </c>
    </row>
    <row r="125">
      <c r="A125" s="1" t="str">
        <f>HYPERLINK("https://drive.google.com/drive/folders/1o9pfNZJxg8p4bMFzGNxMuPAaAQVoOzZE","Cómo cultivar cannabis en interiores")</f>
        <v>Cómo cultivar cannabis en interiores</v>
      </c>
      <c r="B125" s="1" t="str">
        <f t="shared" ref="B125:B128" si="63">HYPERLINK("https://drive.google.com/drive/folders/1o9pfNZJxg8p4bMFzGNxMuPAaAQVoOzZE","https://drive.google.com/drive/folders/1o9pfNZJxg8p4bMFzGNxMuPAaAQVoOzZE")</f>
        <v>https://drive.google.com/drive/folders/1o9pfNZJxg8p4bMFzGNxMuPAaAQVoOzZE</v>
      </c>
      <c r="C125" s="1" t="str">
        <f t="shared" ref="C125:C128" si="64">HYPERLINK("https://drive.google.com/drive/folders/1o9pfNZJxg8p4bMFzGNxMuPAaAQVoOzZE","Cómo cultivar cannabis a partir de semillas")</f>
        <v>Cómo cultivar cannabis a partir de semillas</v>
      </c>
    </row>
    <row r="126">
      <c r="A126" s="1" t="str">
        <f>HYPERLINK("https://drive.google.com/drive/folders/1o9pfNZJxg8p4bMFzGNxMuPAaAQVoOzZE","como cultivar cannabis")</f>
        <v>como cultivar cannabis</v>
      </c>
      <c r="B126" s="1" t="str">
        <f t="shared" si="63"/>
        <v>https://drive.google.com/drive/folders/1o9pfNZJxg8p4bMFzGNxMuPAaAQVoOzZE</v>
      </c>
      <c r="C126" s="1" t="str">
        <f t="shared" si="64"/>
        <v>Cómo cultivar cannabis a partir de semillas</v>
      </c>
    </row>
    <row r="127">
      <c r="A127" s="1" t="str">
        <f>HYPERLINK("https://drive.google.com/drive/folders/1o9pfNZJxg8p4bMFzGNxMuPAaAQVoOzZE","Cómo cultivar cannabis al aire libre")</f>
        <v>Cómo cultivar cannabis al aire libre</v>
      </c>
      <c r="B127" s="1" t="str">
        <f t="shared" si="63"/>
        <v>https://drive.google.com/drive/folders/1o9pfNZJxg8p4bMFzGNxMuPAaAQVoOzZE</v>
      </c>
      <c r="C127" s="1" t="str">
        <f t="shared" si="64"/>
        <v>Cómo cultivar cannabis a partir de semillas</v>
      </c>
    </row>
    <row r="128">
      <c r="A128" s="1" t="str">
        <f>HYPERLINK("https://drive.google.com/drive/folders/1o9pfNZJxg8p4bMFzGNxMuPAaAQVoOzZE","cuánto tiempo lleva cultivar cannabis")</f>
        <v>cuánto tiempo lleva cultivar cannabis</v>
      </c>
      <c r="B128" s="1" t="str">
        <f t="shared" si="63"/>
        <v>https://drive.google.com/drive/folders/1o9pfNZJxg8p4bMFzGNxMuPAaAQVoOzZE</v>
      </c>
      <c r="C128" s="1" t="str">
        <f t="shared" si="64"/>
        <v>Cómo cultivar cannabis a partir de semillas</v>
      </c>
    </row>
    <row r="129">
      <c r="A129" s="1" t="str">
        <f>HYPERLINK("https://docs.google.com/spreadsheets/d/1eruE5Wrvzh10vfSwC9cPVKRfkdmoiJ80OcSmOWQMpeM","Cómo cultivar cannabis en interiores")</f>
        <v>Cómo cultivar cannabis en interiores</v>
      </c>
      <c r="B129" s="1" t="str">
        <f t="shared" ref="B129:B132" si="65">HYPERLINK("https://docs.google.com/spreadsheets/d/1eruE5Wrvzh10vfSwC9cPVKRfkdmoiJ80OcSmOWQMpeM","https://docs.google.com/spreadsheets/d/1eruE5Wrvzh10vfSwC9cPVKRfkdmoiJ80OcSmOWQMpeM")</f>
        <v>https://docs.google.com/spreadsheets/d/1eruE5Wrvzh10vfSwC9cPVKRfkdmoiJ80OcSmOWQMpeM</v>
      </c>
      <c r="C129" s="1" t="str">
        <f t="shared" ref="C129:C132" si="66">HYPERLINK("https://docs.google.com/spreadsheets/d/1eruE5Wrvzh10vfSwC9cPVKRfkdmoiJ80OcSmOWQMpeM","Cómo cultivar cannabis a partir de semillas")</f>
        <v>Cómo cultivar cannabis a partir de semillas</v>
      </c>
    </row>
    <row r="130">
      <c r="A130" s="1" t="str">
        <f>HYPERLINK("https://docs.google.com/spreadsheets/d/1eruE5Wrvzh10vfSwC9cPVKRfkdmoiJ80OcSmOWQMpeM","como cultivar cannabis")</f>
        <v>como cultivar cannabis</v>
      </c>
      <c r="B130" s="1" t="str">
        <f t="shared" si="65"/>
        <v>https://docs.google.com/spreadsheets/d/1eruE5Wrvzh10vfSwC9cPVKRfkdmoiJ80OcSmOWQMpeM</v>
      </c>
      <c r="C130" s="1" t="str">
        <f t="shared" si="66"/>
        <v>Cómo cultivar cannabis a partir de semillas</v>
      </c>
    </row>
    <row r="131">
      <c r="A131" s="1" t="str">
        <f>HYPERLINK("https://docs.google.com/spreadsheets/d/1eruE5Wrvzh10vfSwC9cPVKRfkdmoiJ80OcSmOWQMpeM","Cómo cultivar cannabis al aire libre")</f>
        <v>Cómo cultivar cannabis al aire libre</v>
      </c>
      <c r="B131" s="1" t="str">
        <f t="shared" si="65"/>
        <v>https://docs.google.com/spreadsheets/d/1eruE5Wrvzh10vfSwC9cPVKRfkdmoiJ80OcSmOWQMpeM</v>
      </c>
      <c r="C131" s="1" t="str">
        <f t="shared" si="66"/>
        <v>Cómo cultivar cannabis a partir de semillas</v>
      </c>
    </row>
    <row r="132">
      <c r="A132" s="1" t="str">
        <f>HYPERLINK("https://docs.google.com/spreadsheets/d/1eruE5Wrvzh10vfSwC9cPVKRfkdmoiJ80OcSmOWQMpeM","cuánto tiempo lleva cultivar cannabis")</f>
        <v>cuánto tiempo lleva cultivar cannabis</v>
      </c>
      <c r="B132" s="1" t="str">
        <f t="shared" si="65"/>
        <v>https://docs.google.com/spreadsheets/d/1eruE5Wrvzh10vfSwC9cPVKRfkdmoiJ80OcSmOWQMpeM</v>
      </c>
      <c r="C132" s="1" t="str">
        <f t="shared" si="66"/>
        <v>Cómo cultivar cannabis a partir de semillas</v>
      </c>
    </row>
    <row r="133">
      <c r="A133" s="1" t="str">
        <f>HYPERLINK("https://docs.google.com/spreadsheets/d/1LmTZ9iNvDbvc_f5nE4kM3RMJyHENDY6BD8A2Ut2zJFQ","Cómo cultivar cannabis en interiores")</f>
        <v>Cómo cultivar cannabis en interiores</v>
      </c>
      <c r="B133" s="1" t="str">
        <f t="shared" ref="B133:B136" si="67">HYPERLINK("https://docs.google.com/spreadsheets/d/1LmTZ9iNvDbvc_f5nE4kM3RMJyHENDY6BD8A2Ut2zJFQ","https://docs.google.com/spreadsheets/d/1LmTZ9iNvDbvc_f5nE4kM3RMJyHENDY6BD8A2Ut2zJFQ")</f>
        <v>https://docs.google.com/spreadsheets/d/1LmTZ9iNvDbvc_f5nE4kM3RMJyHENDY6BD8A2Ut2zJFQ</v>
      </c>
      <c r="C133" s="1" t="str">
        <f t="shared" ref="C133:C136" si="68">HYPERLINK("https://docs.google.com/spreadsheets/d/1LmTZ9iNvDbvc_f5nE4kM3RMJyHENDY6BD8A2Ut2zJFQ","Cómo cultivar cannabis a partir de semillas")</f>
        <v>Cómo cultivar cannabis a partir de semillas</v>
      </c>
    </row>
    <row r="134">
      <c r="A134" s="1" t="str">
        <f>HYPERLINK("https://docs.google.com/spreadsheets/d/1LmTZ9iNvDbvc_f5nE4kM3RMJyHENDY6BD8A2Ut2zJFQ","como cultivar cannabis")</f>
        <v>como cultivar cannabis</v>
      </c>
      <c r="B134" s="1" t="str">
        <f t="shared" si="67"/>
        <v>https://docs.google.com/spreadsheets/d/1LmTZ9iNvDbvc_f5nE4kM3RMJyHENDY6BD8A2Ut2zJFQ</v>
      </c>
      <c r="C134" s="1" t="str">
        <f t="shared" si="68"/>
        <v>Cómo cultivar cannabis a partir de semillas</v>
      </c>
    </row>
    <row r="135">
      <c r="A135" s="1" t="str">
        <f>HYPERLINK("https://docs.google.com/spreadsheets/d/1LmTZ9iNvDbvc_f5nE4kM3RMJyHENDY6BD8A2Ut2zJFQ","Cómo cultivar cannabis al aire libre")</f>
        <v>Cómo cultivar cannabis al aire libre</v>
      </c>
      <c r="B135" s="1" t="str">
        <f t="shared" si="67"/>
        <v>https://docs.google.com/spreadsheets/d/1LmTZ9iNvDbvc_f5nE4kM3RMJyHENDY6BD8A2Ut2zJFQ</v>
      </c>
      <c r="C135" s="1" t="str">
        <f t="shared" si="68"/>
        <v>Cómo cultivar cannabis a partir de semillas</v>
      </c>
    </row>
    <row r="136">
      <c r="A136" s="1" t="str">
        <f>HYPERLINK("https://docs.google.com/spreadsheets/d/1LmTZ9iNvDbvc_f5nE4kM3RMJyHENDY6BD8A2Ut2zJFQ","cuánto tiempo lleva cultivar cannabis")</f>
        <v>cuánto tiempo lleva cultivar cannabis</v>
      </c>
      <c r="B136" s="1" t="str">
        <f t="shared" si="67"/>
        <v>https://docs.google.com/spreadsheets/d/1LmTZ9iNvDbvc_f5nE4kM3RMJyHENDY6BD8A2Ut2zJFQ</v>
      </c>
      <c r="C136" s="1" t="str">
        <f t="shared" si="68"/>
        <v>Cómo cultivar cannabis a partir de semillas</v>
      </c>
    </row>
    <row r="137">
      <c r="A137" s="1" t="str">
        <f>HYPERLINK("https://docs.google.com/spreadsheets/d/1AvpHzDdSLYpTo12ZEJRgtJPphLHPXg5WrA2lLDIXFMk","Cómo cultivar cannabis en interiores")</f>
        <v>Cómo cultivar cannabis en interiores</v>
      </c>
      <c r="B137" s="1" t="str">
        <f t="shared" ref="B137:B140" si="69">HYPERLINK("https://docs.google.com/spreadsheets/d/1AvpHzDdSLYpTo12ZEJRgtJPphLHPXg5WrA2lLDIXFMk","https://docs.google.com/spreadsheets/d/1AvpHzDdSLYpTo12ZEJRgtJPphLHPXg5WrA2lLDIXFMk")</f>
        <v>https://docs.google.com/spreadsheets/d/1AvpHzDdSLYpTo12ZEJRgtJPphLHPXg5WrA2lLDIXFMk</v>
      </c>
      <c r="C137" s="1" t="str">
        <f t="shared" ref="C137:C140" si="70">HYPERLINK("https://docs.google.com/spreadsheets/d/1AvpHzDdSLYpTo12ZEJRgtJPphLHPXg5WrA2lLDIXFMk","Cómo cultivar cannabis a partir de semillas")</f>
        <v>Cómo cultivar cannabis a partir de semillas</v>
      </c>
    </row>
    <row r="138">
      <c r="A138" s="1" t="str">
        <f>HYPERLINK("https://docs.google.com/spreadsheets/d/1AvpHzDdSLYpTo12ZEJRgtJPphLHPXg5WrA2lLDIXFMk","como cultivar cannabis")</f>
        <v>como cultivar cannabis</v>
      </c>
      <c r="B138" s="1" t="str">
        <f t="shared" si="69"/>
        <v>https://docs.google.com/spreadsheets/d/1AvpHzDdSLYpTo12ZEJRgtJPphLHPXg5WrA2lLDIXFMk</v>
      </c>
      <c r="C138" s="1" t="str">
        <f t="shared" si="70"/>
        <v>Cómo cultivar cannabis a partir de semillas</v>
      </c>
    </row>
    <row r="139">
      <c r="A139" s="1" t="str">
        <f>HYPERLINK("https://docs.google.com/spreadsheets/d/1AvpHzDdSLYpTo12ZEJRgtJPphLHPXg5WrA2lLDIXFMk","Cómo cultivar cannabis al aire libre")</f>
        <v>Cómo cultivar cannabis al aire libre</v>
      </c>
      <c r="B139" s="1" t="str">
        <f t="shared" si="69"/>
        <v>https://docs.google.com/spreadsheets/d/1AvpHzDdSLYpTo12ZEJRgtJPphLHPXg5WrA2lLDIXFMk</v>
      </c>
      <c r="C139" s="1" t="str">
        <f t="shared" si="70"/>
        <v>Cómo cultivar cannabis a partir de semillas</v>
      </c>
    </row>
    <row r="140">
      <c r="A140" s="1" t="str">
        <f>HYPERLINK("https://docs.google.com/spreadsheets/d/1AvpHzDdSLYpTo12ZEJRgtJPphLHPXg5WrA2lLDIXFMk","cuánto tiempo lleva cultivar cannabis")</f>
        <v>cuánto tiempo lleva cultivar cannabis</v>
      </c>
      <c r="B140" s="1" t="str">
        <f t="shared" si="69"/>
        <v>https://docs.google.com/spreadsheets/d/1AvpHzDdSLYpTo12ZEJRgtJPphLHPXg5WrA2lLDIXFMk</v>
      </c>
      <c r="C140" s="1" t="str">
        <f t="shared" si="70"/>
        <v>Cómo cultivar cannabis a partir de semillas</v>
      </c>
    </row>
    <row r="141">
      <c r="A141" s="1" t="str">
        <f>HYPERLINK("https://docs.google.com/spreadsheets/d/1GgmpO2DVYTCDddQ8U6mQrxBtw6VqXrpuz9Hv8tTQCHc","Cómo cultivar cannabis en interiores")</f>
        <v>Cómo cultivar cannabis en interiores</v>
      </c>
      <c r="B141" s="1" t="str">
        <f t="shared" ref="B141:B144" si="71">HYPERLINK("https://docs.google.com/spreadsheets/d/1GgmpO2DVYTCDddQ8U6mQrxBtw6VqXrpuz9Hv8tTQCHc","https://docs.google.com/spreadsheets/d/1GgmpO2DVYTCDddQ8U6mQrxBtw6VqXrpuz9Hv8tTQCHc")</f>
        <v>https://docs.google.com/spreadsheets/d/1GgmpO2DVYTCDddQ8U6mQrxBtw6VqXrpuz9Hv8tTQCHc</v>
      </c>
      <c r="C141" s="1" t="str">
        <f t="shared" ref="C141:C144" si="72">HYPERLINK("https://docs.google.com/spreadsheets/d/1GgmpO2DVYTCDddQ8U6mQrxBtw6VqXrpuz9Hv8tTQCHc","Cómo cultivar cannabis a partir de semillas")</f>
        <v>Cómo cultivar cannabis a partir de semillas</v>
      </c>
    </row>
    <row r="142">
      <c r="A142" s="1" t="str">
        <f>HYPERLINK("https://docs.google.com/spreadsheets/d/1GgmpO2DVYTCDddQ8U6mQrxBtw6VqXrpuz9Hv8tTQCHc","como cultivar cannabis")</f>
        <v>como cultivar cannabis</v>
      </c>
      <c r="B142" s="1" t="str">
        <f t="shared" si="71"/>
        <v>https://docs.google.com/spreadsheets/d/1GgmpO2DVYTCDddQ8U6mQrxBtw6VqXrpuz9Hv8tTQCHc</v>
      </c>
      <c r="C142" s="1" t="str">
        <f t="shared" si="72"/>
        <v>Cómo cultivar cannabis a partir de semillas</v>
      </c>
    </row>
    <row r="143">
      <c r="A143" s="1" t="str">
        <f>HYPERLINK("https://docs.google.com/spreadsheets/d/1GgmpO2DVYTCDddQ8U6mQrxBtw6VqXrpuz9Hv8tTQCHc","Cómo cultivar cannabis al aire libre")</f>
        <v>Cómo cultivar cannabis al aire libre</v>
      </c>
      <c r="B143" s="1" t="str">
        <f t="shared" si="71"/>
        <v>https://docs.google.com/spreadsheets/d/1GgmpO2DVYTCDddQ8U6mQrxBtw6VqXrpuz9Hv8tTQCHc</v>
      </c>
      <c r="C143" s="1" t="str">
        <f t="shared" si="72"/>
        <v>Cómo cultivar cannabis a partir de semillas</v>
      </c>
    </row>
    <row r="144">
      <c r="A144" s="1" t="str">
        <f>HYPERLINK("https://docs.google.com/spreadsheets/d/1GgmpO2DVYTCDddQ8U6mQrxBtw6VqXrpuz9Hv8tTQCHc","cuánto tiempo lleva cultivar cannabis")</f>
        <v>cuánto tiempo lleva cultivar cannabis</v>
      </c>
      <c r="B144" s="1" t="str">
        <f t="shared" si="71"/>
        <v>https://docs.google.com/spreadsheets/d/1GgmpO2DVYTCDddQ8U6mQrxBtw6VqXrpuz9Hv8tTQCHc</v>
      </c>
      <c r="C144" s="1" t="str">
        <f t="shared" si="72"/>
        <v>Cómo cultivar cannabis a partir de semillas</v>
      </c>
    </row>
    <row r="145">
      <c r="A145" s="1" t="str">
        <f>HYPERLINK("https://drive.google.com/drive/folders/1ohGhktHSOBLDYgolj1Z1w4s7FlL6udtC","Cómo cultivar cannabis en interiores")</f>
        <v>Cómo cultivar cannabis en interiores</v>
      </c>
      <c r="B145" s="1" t="str">
        <f t="shared" ref="B145:B148" si="73">HYPERLINK("https://drive.google.com/drive/folders/1ohGhktHSOBLDYgolj1Z1w4s7FlL6udtC","https://drive.google.com/drive/folders/1ohGhktHSOBLDYgolj1Z1w4s7FlL6udtC")</f>
        <v>https://drive.google.com/drive/folders/1ohGhktHSOBLDYgolj1Z1w4s7FlL6udtC</v>
      </c>
      <c r="C145" s="1" t="str">
        <f t="shared" ref="C145:C148" si="74">HYPERLINK("https://drive.google.com/drive/folders/1ohGhktHSOBLDYgolj1Z1w4s7FlL6udtC","Cómo cultivar cannabis a partir de semillas")</f>
        <v>Cómo cultivar cannabis a partir de semillas</v>
      </c>
    </row>
    <row r="146">
      <c r="A146" s="1" t="str">
        <f>HYPERLINK("https://drive.google.com/drive/folders/1ohGhktHSOBLDYgolj1Z1w4s7FlL6udtC","como cultivar cannabis")</f>
        <v>como cultivar cannabis</v>
      </c>
      <c r="B146" s="1" t="str">
        <f t="shared" si="73"/>
        <v>https://drive.google.com/drive/folders/1ohGhktHSOBLDYgolj1Z1w4s7FlL6udtC</v>
      </c>
      <c r="C146" s="1" t="str">
        <f t="shared" si="74"/>
        <v>Cómo cultivar cannabis a partir de semillas</v>
      </c>
    </row>
    <row r="147">
      <c r="A147" s="1" t="str">
        <f>HYPERLINK("https://drive.google.com/drive/folders/1ohGhktHSOBLDYgolj1Z1w4s7FlL6udtC","Cómo cultivar cannabis al aire libre")</f>
        <v>Cómo cultivar cannabis al aire libre</v>
      </c>
      <c r="B147" s="1" t="str">
        <f t="shared" si="73"/>
        <v>https://drive.google.com/drive/folders/1ohGhktHSOBLDYgolj1Z1w4s7FlL6udtC</v>
      </c>
      <c r="C147" s="1" t="str">
        <f t="shared" si="74"/>
        <v>Cómo cultivar cannabis a partir de semillas</v>
      </c>
    </row>
    <row r="148">
      <c r="A148" s="1" t="str">
        <f>HYPERLINK("https://drive.google.com/drive/folders/1ohGhktHSOBLDYgolj1Z1w4s7FlL6udtC","cuánto tiempo lleva cultivar cannabis")</f>
        <v>cuánto tiempo lleva cultivar cannabis</v>
      </c>
      <c r="B148" s="1" t="str">
        <f t="shared" si="73"/>
        <v>https://drive.google.com/drive/folders/1ohGhktHSOBLDYgolj1Z1w4s7FlL6udtC</v>
      </c>
      <c r="C148" s="1" t="str">
        <f t="shared" si="74"/>
        <v>Cómo cultivar cannabis a partir de semillas</v>
      </c>
    </row>
    <row r="149">
      <c r="A149" s="1" t="str">
        <f>HYPERLINK("https://drive.google.com/drive/folders/1bh2-G7kYrvrwGJDiRtIa7qJEPxd7kWKd","Cómo cultivar cannabis en interiores")</f>
        <v>Cómo cultivar cannabis en interiores</v>
      </c>
      <c r="B149" s="1" t="str">
        <f t="shared" ref="B149:B152" si="75">HYPERLINK("https://drive.google.com/drive/folders/1bh2-G7kYrvrwGJDiRtIa7qJEPxd7kWKd","https://drive.google.com/drive/folders/1bh2-G7kYrvrwGJDiRtIa7qJEPxd7kWKd")</f>
        <v>https://drive.google.com/drive/folders/1bh2-G7kYrvrwGJDiRtIa7qJEPxd7kWKd</v>
      </c>
      <c r="C149" s="1" t="str">
        <f t="shared" ref="C149:C152" si="76">HYPERLINK("https://drive.google.com/drive/folders/1bh2-G7kYrvrwGJDiRtIa7qJEPxd7kWKd","Cómo cultivar cannabis a partir de semillas")</f>
        <v>Cómo cultivar cannabis a partir de semillas</v>
      </c>
    </row>
    <row r="150">
      <c r="A150" s="1" t="str">
        <f>HYPERLINK("https://drive.google.com/drive/folders/1bh2-G7kYrvrwGJDiRtIa7qJEPxd7kWKd","como cultivar cannabis")</f>
        <v>como cultivar cannabis</v>
      </c>
      <c r="B150" s="1" t="str">
        <f t="shared" si="75"/>
        <v>https://drive.google.com/drive/folders/1bh2-G7kYrvrwGJDiRtIa7qJEPxd7kWKd</v>
      </c>
      <c r="C150" s="1" t="str">
        <f t="shared" si="76"/>
        <v>Cómo cultivar cannabis a partir de semillas</v>
      </c>
    </row>
    <row r="151">
      <c r="A151" s="1" t="str">
        <f>HYPERLINK("https://drive.google.com/drive/folders/1bh2-G7kYrvrwGJDiRtIa7qJEPxd7kWKd","Cómo cultivar cannabis al aire libre")</f>
        <v>Cómo cultivar cannabis al aire libre</v>
      </c>
      <c r="B151" s="1" t="str">
        <f t="shared" si="75"/>
        <v>https://drive.google.com/drive/folders/1bh2-G7kYrvrwGJDiRtIa7qJEPxd7kWKd</v>
      </c>
      <c r="C151" s="1" t="str">
        <f t="shared" si="76"/>
        <v>Cómo cultivar cannabis a partir de semillas</v>
      </c>
    </row>
    <row r="152">
      <c r="A152" s="1" t="str">
        <f>HYPERLINK("https://drive.google.com/drive/folders/1bh2-G7kYrvrwGJDiRtIa7qJEPxd7kWKd","cuánto tiempo lleva cultivar cannabis")</f>
        <v>cuánto tiempo lleva cultivar cannabis</v>
      </c>
      <c r="B152" s="1" t="str">
        <f t="shared" si="75"/>
        <v>https://drive.google.com/drive/folders/1bh2-G7kYrvrwGJDiRtIa7qJEPxd7kWKd</v>
      </c>
      <c r="C152" s="1" t="str">
        <f t="shared" si="76"/>
        <v>Cómo cultivar cannabis a partir de semillas</v>
      </c>
    </row>
    <row r="153">
      <c r="A153" s="1" t="str">
        <f>HYPERLINK("https://docs.google.com/spreadsheets/d/1T9fPD0QKM3_ssKDnaMRYQqi1rfoZoNEy9dtTyQZQiFg","Cómo cultivar cannabis en interiores")</f>
        <v>Cómo cultivar cannabis en interiores</v>
      </c>
      <c r="B153" s="1" t="str">
        <f t="shared" ref="B153:B156" si="77">HYPERLINK("https://docs.google.com/spreadsheets/d/1T9fPD0QKM3_ssKDnaMRYQqi1rfoZoNEy9dtTyQZQiFg","https://docs.google.com/spreadsheets/d/1T9fPD0QKM3_ssKDnaMRYQqi1rfoZoNEy9dtTyQZQiFg")</f>
        <v>https://docs.google.com/spreadsheets/d/1T9fPD0QKM3_ssKDnaMRYQqi1rfoZoNEy9dtTyQZQiFg</v>
      </c>
      <c r="C153" s="1" t="str">
        <f t="shared" ref="C153:C156" si="78">HYPERLINK("https://docs.google.com/spreadsheets/d/1T9fPD0QKM3_ssKDnaMRYQqi1rfoZoNEy9dtTyQZQiFg","Cómo cultivar cannabis a partir de semillas")</f>
        <v>Cómo cultivar cannabis a partir de semillas</v>
      </c>
    </row>
    <row r="154">
      <c r="A154" s="1" t="str">
        <f>HYPERLINK("https://docs.google.com/spreadsheets/d/1T9fPD0QKM3_ssKDnaMRYQqi1rfoZoNEy9dtTyQZQiFg","como cultivar cannabis")</f>
        <v>como cultivar cannabis</v>
      </c>
      <c r="B154" s="1" t="str">
        <f t="shared" si="77"/>
        <v>https://docs.google.com/spreadsheets/d/1T9fPD0QKM3_ssKDnaMRYQqi1rfoZoNEy9dtTyQZQiFg</v>
      </c>
      <c r="C154" s="1" t="str">
        <f t="shared" si="78"/>
        <v>Cómo cultivar cannabis a partir de semillas</v>
      </c>
    </row>
    <row r="155">
      <c r="A155" s="1" t="str">
        <f>HYPERLINK("https://docs.google.com/spreadsheets/d/1T9fPD0QKM3_ssKDnaMRYQqi1rfoZoNEy9dtTyQZQiFg","Cómo cultivar cannabis al aire libre")</f>
        <v>Cómo cultivar cannabis al aire libre</v>
      </c>
      <c r="B155" s="1" t="str">
        <f t="shared" si="77"/>
        <v>https://docs.google.com/spreadsheets/d/1T9fPD0QKM3_ssKDnaMRYQqi1rfoZoNEy9dtTyQZQiFg</v>
      </c>
      <c r="C155" s="1" t="str">
        <f t="shared" si="78"/>
        <v>Cómo cultivar cannabis a partir de semillas</v>
      </c>
    </row>
    <row r="156">
      <c r="A156" s="1" t="str">
        <f>HYPERLINK("https://docs.google.com/spreadsheets/d/1T9fPD0QKM3_ssKDnaMRYQqi1rfoZoNEy9dtTyQZQiFg","cuánto tiempo lleva cultivar cannabis")</f>
        <v>cuánto tiempo lleva cultivar cannabis</v>
      </c>
      <c r="B156" s="1" t="str">
        <f t="shared" si="77"/>
        <v>https://docs.google.com/spreadsheets/d/1T9fPD0QKM3_ssKDnaMRYQqi1rfoZoNEy9dtTyQZQiFg</v>
      </c>
      <c r="C156" s="1" t="str">
        <f t="shared" si="78"/>
        <v>Cómo cultivar cannabis a partir de semillas</v>
      </c>
    </row>
    <row r="157">
      <c r="A157" s="1" t="str">
        <f>HYPERLINK("https://drive.google.com/drive/folders/1GgoRJEJ1L_R19zdEL_M_IVSw0Ab0lEiz","Cómo cultivar cannabis en interiores")</f>
        <v>Cómo cultivar cannabis en interiores</v>
      </c>
      <c r="B157" s="1" t="str">
        <f t="shared" ref="B157:B160" si="79">HYPERLINK("https://drive.google.com/drive/folders/1GgoRJEJ1L_R19zdEL_M_IVSw0Ab0lEiz","https://drive.google.com/drive/folders/1GgoRJEJ1L_R19zdEL_M_IVSw0Ab0lEiz")</f>
        <v>https://drive.google.com/drive/folders/1GgoRJEJ1L_R19zdEL_M_IVSw0Ab0lEiz</v>
      </c>
      <c r="C157" s="1" t="str">
        <f t="shared" ref="C157:C160" si="80">HYPERLINK("https://drive.google.com/drive/folders/1GgoRJEJ1L_R19zdEL_M_IVSw0Ab0lEiz","Cómo cultivar cannabis a partir de semillas")</f>
        <v>Cómo cultivar cannabis a partir de semillas</v>
      </c>
    </row>
    <row r="158">
      <c r="A158" s="1" t="str">
        <f>HYPERLINK("https://drive.google.com/drive/folders/1GgoRJEJ1L_R19zdEL_M_IVSw0Ab0lEiz","como cultivar cannabis")</f>
        <v>como cultivar cannabis</v>
      </c>
      <c r="B158" s="1" t="str">
        <f t="shared" si="79"/>
        <v>https://drive.google.com/drive/folders/1GgoRJEJ1L_R19zdEL_M_IVSw0Ab0lEiz</v>
      </c>
      <c r="C158" s="1" t="str">
        <f t="shared" si="80"/>
        <v>Cómo cultivar cannabis a partir de semillas</v>
      </c>
    </row>
    <row r="159">
      <c r="A159" s="1" t="str">
        <f>HYPERLINK("https://drive.google.com/drive/folders/1GgoRJEJ1L_R19zdEL_M_IVSw0Ab0lEiz","Cómo cultivar cannabis al aire libre")</f>
        <v>Cómo cultivar cannabis al aire libre</v>
      </c>
      <c r="B159" s="1" t="str">
        <f t="shared" si="79"/>
        <v>https://drive.google.com/drive/folders/1GgoRJEJ1L_R19zdEL_M_IVSw0Ab0lEiz</v>
      </c>
      <c r="C159" s="1" t="str">
        <f t="shared" si="80"/>
        <v>Cómo cultivar cannabis a partir de semillas</v>
      </c>
    </row>
    <row r="160">
      <c r="A160" s="1" t="str">
        <f>HYPERLINK("https://drive.google.com/drive/folders/1GgoRJEJ1L_R19zdEL_M_IVSw0Ab0lEiz","cuánto tiempo lleva cultivar cannabis")</f>
        <v>cuánto tiempo lleva cultivar cannabis</v>
      </c>
      <c r="B160" s="1" t="str">
        <f t="shared" si="79"/>
        <v>https://drive.google.com/drive/folders/1GgoRJEJ1L_R19zdEL_M_IVSw0Ab0lEiz</v>
      </c>
      <c r="C160" s="1" t="str">
        <f t="shared" si="80"/>
        <v>Cómo cultivar cannabis a partir de semillas</v>
      </c>
    </row>
    <row r="161">
      <c r="A161" s="1" t="str">
        <f>HYPERLINK("https://docs.google.com/spreadsheets/d/1GOz6CVDowlRxe9G8IpzZwZgMVUCMVc-_IA3dPr9plIc","Cómo cultivar cannabis en interiores")</f>
        <v>Cómo cultivar cannabis en interiores</v>
      </c>
      <c r="B161" s="1" t="str">
        <f t="shared" ref="B161:B164" si="81">HYPERLINK("https://docs.google.com/spreadsheets/d/1GOz6CVDowlRxe9G8IpzZwZgMVUCMVc-_IA3dPr9plIc","https://docs.google.com/spreadsheets/d/1GOz6CVDowlRxe9G8IpzZwZgMVUCMVc-_IA3dPr9plIc")</f>
        <v>https://docs.google.com/spreadsheets/d/1GOz6CVDowlRxe9G8IpzZwZgMVUCMVc-_IA3dPr9plIc</v>
      </c>
      <c r="C161" s="1" t="str">
        <f t="shared" ref="C161:C164" si="82">HYPERLINK("https://docs.google.com/spreadsheets/d/1GOz6CVDowlRxe9G8IpzZwZgMVUCMVc-_IA3dPr9plIc","Cómo cultivar cannabis a partir de semillas")</f>
        <v>Cómo cultivar cannabis a partir de semillas</v>
      </c>
    </row>
    <row r="162">
      <c r="A162" s="1" t="str">
        <f>HYPERLINK("https://docs.google.com/spreadsheets/d/1GOz6CVDowlRxe9G8IpzZwZgMVUCMVc-_IA3dPr9plIc","como cultivar cannabis")</f>
        <v>como cultivar cannabis</v>
      </c>
      <c r="B162" s="1" t="str">
        <f t="shared" si="81"/>
        <v>https://docs.google.com/spreadsheets/d/1GOz6CVDowlRxe9G8IpzZwZgMVUCMVc-_IA3dPr9plIc</v>
      </c>
      <c r="C162" s="1" t="str">
        <f t="shared" si="82"/>
        <v>Cómo cultivar cannabis a partir de semillas</v>
      </c>
    </row>
    <row r="163">
      <c r="A163" s="1" t="str">
        <f>HYPERLINK("https://docs.google.com/spreadsheets/d/1GOz6CVDowlRxe9G8IpzZwZgMVUCMVc-_IA3dPr9plIc","Cómo cultivar cannabis al aire libre")</f>
        <v>Cómo cultivar cannabis al aire libre</v>
      </c>
      <c r="B163" s="1" t="str">
        <f t="shared" si="81"/>
        <v>https://docs.google.com/spreadsheets/d/1GOz6CVDowlRxe9G8IpzZwZgMVUCMVc-_IA3dPr9plIc</v>
      </c>
      <c r="C163" s="1" t="str">
        <f t="shared" si="82"/>
        <v>Cómo cultivar cannabis a partir de semillas</v>
      </c>
    </row>
    <row r="164">
      <c r="A164" s="1" t="str">
        <f>HYPERLINK("https://docs.google.com/spreadsheets/d/1GOz6CVDowlRxe9G8IpzZwZgMVUCMVc-_IA3dPr9plIc","cuánto tiempo lleva cultivar cannabis")</f>
        <v>cuánto tiempo lleva cultivar cannabis</v>
      </c>
      <c r="B164" s="1" t="str">
        <f t="shared" si="81"/>
        <v>https://docs.google.com/spreadsheets/d/1GOz6CVDowlRxe9G8IpzZwZgMVUCMVc-_IA3dPr9plIc</v>
      </c>
      <c r="C164" s="1" t="str">
        <f t="shared" si="82"/>
        <v>Cómo cultivar cannabis a partir de semillas</v>
      </c>
    </row>
    <row r="165">
      <c r="A165" s="1" t="str">
        <f>HYPERLINK("https://drive.google.com/drive/folders/1X8d0AUrjiyvGD_IpbgRsqV62IiDtadjW","Cómo cultivar cannabis en interiores")</f>
        <v>Cómo cultivar cannabis en interiores</v>
      </c>
      <c r="B165" s="1" t="str">
        <f t="shared" ref="B165:B168" si="83">HYPERLINK("https://drive.google.com/drive/folders/1X8d0AUrjiyvGD_IpbgRsqV62IiDtadjW","https://drive.google.com/drive/folders/1X8d0AUrjiyvGD_IpbgRsqV62IiDtadjW")</f>
        <v>https://drive.google.com/drive/folders/1X8d0AUrjiyvGD_IpbgRsqV62IiDtadjW</v>
      </c>
      <c r="C165" s="1" t="str">
        <f t="shared" ref="C165:C168" si="84">HYPERLINK("https://drive.google.com/drive/folders/1X8d0AUrjiyvGD_IpbgRsqV62IiDtadjW","Cómo cultivar cannabis a partir de semillas")</f>
        <v>Cómo cultivar cannabis a partir de semillas</v>
      </c>
    </row>
    <row r="166">
      <c r="A166" s="1" t="str">
        <f>HYPERLINK("https://drive.google.com/drive/folders/1X8d0AUrjiyvGD_IpbgRsqV62IiDtadjW","como cultivar cannabis")</f>
        <v>como cultivar cannabis</v>
      </c>
      <c r="B166" s="1" t="str">
        <f t="shared" si="83"/>
        <v>https://drive.google.com/drive/folders/1X8d0AUrjiyvGD_IpbgRsqV62IiDtadjW</v>
      </c>
      <c r="C166" s="1" t="str">
        <f t="shared" si="84"/>
        <v>Cómo cultivar cannabis a partir de semillas</v>
      </c>
    </row>
    <row r="167">
      <c r="A167" s="1" t="str">
        <f>HYPERLINK("https://drive.google.com/drive/folders/1X8d0AUrjiyvGD_IpbgRsqV62IiDtadjW","Cómo cultivar cannabis al aire libre")</f>
        <v>Cómo cultivar cannabis al aire libre</v>
      </c>
      <c r="B167" s="1" t="str">
        <f t="shared" si="83"/>
        <v>https://drive.google.com/drive/folders/1X8d0AUrjiyvGD_IpbgRsqV62IiDtadjW</v>
      </c>
      <c r="C167" s="1" t="str">
        <f t="shared" si="84"/>
        <v>Cómo cultivar cannabis a partir de semillas</v>
      </c>
    </row>
    <row r="168">
      <c r="A168" s="1" t="str">
        <f>HYPERLINK("https://drive.google.com/drive/folders/1X8d0AUrjiyvGD_IpbgRsqV62IiDtadjW","cuánto tiempo lleva cultivar cannabis")</f>
        <v>cuánto tiempo lleva cultivar cannabis</v>
      </c>
      <c r="B168" s="1" t="str">
        <f t="shared" si="83"/>
        <v>https://drive.google.com/drive/folders/1X8d0AUrjiyvGD_IpbgRsqV62IiDtadjW</v>
      </c>
      <c r="C168" s="1" t="str">
        <f t="shared" si="84"/>
        <v>Cómo cultivar cannabis a partir de semillas</v>
      </c>
    </row>
    <row r="169">
      <c r="A169" s="1" t="str">
        <f>HYPERLINK("https://docs.google.com/spreadsheets/d/1EOLOBgEiKIhnyfJO-sdwy4LmIKxKyGtVUXrU5bT_7_Q","Cómo cultivar cannabis en interiores")</f>
        <v>Cómo cultivar cannabis en interiores</v>
      </c>
      <c r="B169" s="1" t="str">
        <f t="shared" ref="B169:B172" si="85">HYPERLINK("https://docs.google.com/spreadsheets/d/1EOLOBgEiKIhnyfJO-sdwy4LmIKxKyGtVUXrU5bT_7_Q","https://docs.google.com/spreadsheets/d/1EOLOBgEiKIhnyfJO-sdwy4LmIKxKyGtVUXrU5bT_7_Q")</f>
        <v>https://docs.google.com/spreadsheets/d/1EOLOBgEiKIhnyfJO-sdwy4LmIKxKyGtVUXrU5bT_7_Q</v>
      </c>
      <c r="C169" s="1" t="str">
        <f t="shared" ref="C169:C172" si="86">HYPERLINK("https://docs.google.com/spreadsheets/d/1EOLOBgEiKIhnyfJO-sdwy4LmIKxKyGtVUXrU5bT_7_Q","Cómo cultivar cannabis a partir de semillas")</f>
        <v>Cómo cultivar cannabis a partir de semillas</v>
      </c>
    </row>
    <row r="170">
      <c r="A170" s="1" t="str">
        <f>HYPERLINK("https://docs.google.com/spreadsheets/d/1EOLOBgEiKIhnyfJO-sdwy4LmIKxKyGtVUXrU5bT_7_Q","como cultivar cannabis")</f>
        <v>como cultivar cannabis</v>
      </c>
      <c r="B170" s="1" t="str">
        <f t="shared" si="85"/>
        <v>https://docs.google.com/spreadsheets/d/1EOLOBgEiKIhnyfJO-sdwy4LmIKxKyGtVUXrU5bT_7_Q</v>
      </c>
      <c r="C170" s="1" t="str">
        <f t="shared" si="86"/>
        <v>Cómo cultivar cannabis a partir de semillas</v>
      </c>
    </row>
    <row r="171">
      <c r="A171" s="1" t="str">
        <f>HYPERLINK("https://docs.google.com/spreadsheets/d/1EOLOBgEiKIhnyfJO-sdwy4LmIKxKyGtVUXrU5bT_7_Q","Cómo cultivar cannabis al aire libre")</f>
        <v>Cómo cultivar cannabis al aire libre</v>
      </c>
      <c r="B171" s="1" t="str">
        <f t="shared" si="85"/>
        <v>https://docs.google.com/spreadsheets/d/1EOLOBgEiKIhnyfJO-sdwy4LmIKxKyGtVUXrU5bT_7_Q</v>
      </c>
      <c r="C171" s="1" t="str">
        <f t="shared" si="86"/>
        <v>Cómo cultivar cannabis a partir de semillas</v>
      </c>
    </row>
    <row r="172">
      <c r="A172" s="1" t="str">
        <f>HYPERLINK("https://docs.google.com/spreadsheets/d/1EOLOBgEiKIhnyfJO-sdwy4LmIKxKyGtVUXrU5bT_7_Q","cuánto tiempo lleva cultivar cannabis")</f>
        <v>cuánto tiempo lleva cultivar cannabis</v>
      </c>
      <c r="B172" s="1" t="str">
        <f t="shared" si="85"/>
        <v>https://docs.google.com/spreadsheets/d/1EOLOBgEiKIhnyfJO-sdwy4LmIKxKyGtVUXrU5bT_7_Q</v>
      </c>
      <c r="C172" s="1" t="str">
        <f t="shared" si="86"/>
        <v>Cómo cultivar cannabis a partir de semillas</v>
      </c>
    </row>
    <row r="173">
      <c r="A173" s="1" t="str">
        <f>HYPERLINK("https://drive.google.com/drive/folders/19oBEA3OQwpuc2Ev-LsUxRPVvTDP-p58m","Cómo cultivar cannabis en interiores")</f>
        <v>Cómo cultivar cannabis en interiores</v>
      </c>
      <c r="B173" s="1" t="str">
        <f t="shared" ref="B173:B176" si="87">HYPERLINK("https://drive.google.com/drive/folders/19oBEA3OQwpuc2Ev-LsUxRPVvTDP-p58m","https://drive.google.com/drive/folders/19oBEA3OQwpuc2Ev-LsUxRPVvTDP-p58m")</f>
        <v>https://drive.google.com/drive/folders/19oBEA3OQwpuc2Ev-LsUxRPVvTDP-p58m</v>
      </c>
      <c r="C173" s="1" t="str">
        <f t="shared" ref="C173:C176" si="88">HYPERLINK("https://drive.google.com/drive/folders/19oBEA3OQwpuc2Ev-LsUxRPVvTDP-p58m","Cómo cultivar cannabis a partir de semillas")</f>
        <v>Cómo cultivar cannabis a partir de semillas</v>
      </c>
    </row>
    <row r="174">
      <c r="A174" s="1" t="str">
        <f>HYPERLINK("https://drive.google.com/drive/folders/19oBEA3OQwpuc2Ev-LsUxRPVvTDP-p58m","como cultivar cannabis")</f>
        <v>como cultivar cannabis</v>
      </c>
      <c r="B174" s="1" t="str">
        <f t="shared" si="87"/>
        <v>https://drive.google.com/drive/folders/19oBEA3OQwpuc2Ev-LsUxRPVvTDP-p58m</v>
      </c>
      <c r="C174" s="1" t="str">
        <f t="shared" si="88"/>
        <v>Cómo cultivar cannabis a partir de semillas</v>
      </c>
    </row>
    <row r="175">
      <c r="A175" s="1" t="str">
        <f>HYPERLINK("https://drive.google.com/drive/folders/19oBEA3OQwpuc2Ev-LsUxRPVvTDP-p58m","Cómo cultivar cannabis al aire libre")</f>
        <v>Cómo cultivar cannabis al aire libre</v>
      </c>
      <c r="B175" s="1" t="str">
        <f t="shared" si="87"/>
        <v>https://drive.google.com/drive/folders/19oBEA3OQwpuc2Ev-LsUxRPVvTDP-p58m</v>
      </c>
      <c r="C175" s="1" t="str">
        <f t="shared" si="88"/>
        <v>Cómo cultivar cannabis a partir de semillas</v>
      </c>
    </row>
    <row r="176">
      <c r="A176" s="1" t="str">
        <f>HYPERLINK("https://drive.google.com/drive/folders/19oBEA3OQwpuc2Ev-LsUxRPVvTDP-p58m","cuánto tiempo lleva cultivar cannabis")</f>
        <v>cuánto tiempo lleva cultivar cannabis</v>
      </c>
      <c r="B176" s="1" t="str">
        <f t="shared" si="87"/>
        <v>https://drive.google.com/drive/folders/19oBEA3OQwpuc2Ev-LsUxRPVvTDP-p58m</v>
      </c>
      <c r="C176" s="1" t="str">
        <f t="shared" si="88"/>
        <v>Cómo cultivar cannabis a partir de semillas</v>
      </c>
    </row>
    <row r="177">
      <c r="A177" s="1" t="str">
        <f>HYPERLINK("https://docs.google.com/spreadsheets/d/1rKsAC_Fd_Lf7WXGIuAJ9z6m75Wak5c-Cdq5amQgHYzM","Cómo cultivar cannabis en interiores")</f>
        <v>Cómo cultivar cannabis en interiores</v>
      </c>
      <c r="B177" s="1" t="str">
        <f t="shared" ref="B177:B180" si="89">HYPERLINK("https://docs.google.com/spreadsheets/d/1rKsAC_Fd_Lf7WXGIuAJ9z6m75Wak5c-Cdq5amQgHYzM","https://docs.google.com/spreadsheets/d/1rKsAC_Fd_Lf7WXGIuAJ9z6m75Wak5c-Cdq5amQgHYzM")</f>
        <v>https://docs.google.com/spreadsheets/d/1rKsAC_Fd_Lf7WXGIuAJ9z6m75Wak5c-Cdq5amQgHYzM</v>
      </c>
      <c r="C177" s="1" t="str">
        <f t="shared" ref="C177:C180" si="90">HYPERLINK("https://docs.google.com/spreadsheets/d/1rKsAC_Fd_Lf7WXGIuAJ9z6m75Wak5c-Cdq5amQgHYzM","Cómo cultivar cannabis a partir de semillas")</f>
        <v>Cómo cultivar cannabis a partir de semillas</v>
      </c>
    </row>
    <row r="178">
      <c r="A178" s="1" t="str">
        <f>HYPERLINK("https://docs.google.com/spreadsheets/d/1rKsAC_Fd_Lf7WXGIuAJ9z6m75Wak5c-Cdq5amQgHYzM","como cultivar cannabis")</f>
        <v>como cultivar cannabis</v>
      </c>
      <c r="B178" s="1" t="str">
        <f t="shared" si="89"/>
        <v>https://docs.google.com/spreadsheets/d/1rKsAC_Fd_Lf7WXGIuAJ9z6m75Wak5c-Cdq5amQgHYzM</v>
      </c>
      <c r="C178" s="1" t="str">
        <f t="shared" si="90"/>
        <v>Cómo cultivar cannabis a partir de semillas</v>
      </c>
    </row>
    <row r="179">
      <c r="A179" s="1" t="str">
        <f>HYPERLINK("https://docs.google.com/spreadsheets/d/1rKsAC_Fd_Lf7WXGIuAJ9z6m75Wak5c-Cdq5amQgHYzM","Cómo cultivar cannabis al aire libre")</f>
        <v>Cómo cultivar cannabis al aire libre</v>
      </c>
      <c r="B179" s="1" t="str">
        <f t="shared" si="89"/>
        <v>https://docs.google.com/spreadsheets/d/1rKsAC_Fd_Lf7WXGIuAJ9z6m75Wak5c-Cdq5amQgHYzM</v>
      </c>
      <c r="C179" s="1" t="str">
        <f t="shared" si="90"/>
        <v>Cómo cultivar cannabis a partir de semillas</v>
      </c>
    </row>
    <row r="180">
      <c r="A180" s="1" t="str">
        <f>HYPERLINK("https://docs.google.com/spreadsheets/d/1rKsAC_Fd_Lf7WXGIuAJ9z6m75Wak5c-Cdq5amQgHYzM","cuánto tiempo lleva cultivar cannabis")</f>
        <v>cuánto tiempo lleva cultivar cannabis</v>
      </c>
      <c r="B180" s="1" t="str">
        <f t="shared" si="89"/>
        <v>https://docs.google.com/spreadsheets/d/1rKsAC_Fd_Lf7WXGIuAJ9z6m75Wak5c-Cdq5amQgHYzM</v>
      </c>
      <c r="C180" s="1" t="str">
        <f t="shared" si="90"/>
        <v>Cómo cultivar cannabis a partir de semillas</v>
      </c>
    </row>
    <row r="181">
      <c r="A181" s="1" t="str">
        <f>HYPERLINK("https://docs.google.com/spreadsheets/d/1mQvzCN82uJLVHqnDU2OEsD9GK3u-uQa-n5Bu13BIWf0","Cómo cultivar cannabis en interiores")</f>
        <v>Cómo cultivar cannabis en interiores</v>
      </c>
      <c r="B181" s="1" t="str">
        <f t="shared" ref="B181:B184" si="91">HYPERLINK("https://docs.google.com/spreadsheets/d/1mQvzCN82uJLVHqnDU2OEsD9GK3u-uQa-n5Bu13BIWf0","https://docs.google.com/spreadsheets/d/1mQvzCN82uJLVHqnDU2OEsD9GK3u-uQa-n5Bu13BIWf0")</f>
        <v>https://docs.google.com/spreadsheets/d/1mQvzCN82uJLVHqnDU2OEsD9GK3u-uQa-n5Bu13BIWf0</v>
      </c>
      <c r="C181" s="1" t="str">
        <f t="shared" ref="C181:C184" si="92">HYPERLINK("https://docs.google.com/spreadsheets/d/1mQvzCN82uJLVHqnDU2OEsD9GK3u-uQa-n5Bu13BIWf0","Cómo cultivar cannabis a partir de semillas")</f>
        <v>Cómo cultivar cannabis a partir de semillas</v>
      </c>
    </row>
    <row r="182">
      <c r="A182" s="1" t="str">
        <f>HYPERLINK("https://docs.google.com/spreadsheets/d/1mQvzCN82uJLVHqnDU2OEsD9GK3u-uQa-n5Bu13BIWf0","como cultivar cannabis")</f>
        <v>como cultivar cannabis</v>
      </c>
      <c r="B182" s="1" t="str">
        <f t="shared" si="91"/>
        <v>https://docs.google.com/spreadsheets/d/1mQvzCN82uJLVHqnDU2OEsD9GK3u-uQa-n5Bu13BIWf0</v>
      </c>
      <c r="C182" s="1" t="str">
        <f t="shared" si="92"/>
        <v>Cómo cultivar cannabis a partir de semillas</v>
      </c>
    </row>
    <row r="183">
      <c r="A183" s="1" t="str">
        <f>HYPERLINK("https://docs.google.com/spreadsheets/d/1mQvzCN82uJLVHqnDU2OEsD9GK3u-uQa-n5Bu13BIWf0","Cómo cultivar cannabis al aire libre")</f>
        <v>Cómo cultivar cannabis al aire libre</v>
      </c>
      <c r="B183" s="1" t="str">
        <f t="shared" si="91"/>
        <v>https://docs.google.com/spreadsheets/d/1mQvzCN82uJLVHqnDU2OEsD9GK3u-uQa-n5Bu13BIWf0</v>
      </c>
      <c r="C183" s="1" t="str">
        <f t="shared" si="92"/>
        <v>Cómo cultivar cannabis a partir de semillas</v>
      </c>
    </row>
    <row r="184">
      <c r="A184" s="1" t="str">
        <f>HYPERLINK("https://docs.google.com/spreadsheets/d/1mQvzCN82uJLVHqnDU2OEsD9GK3u-uQa-n5Bu13BIWf0","cuánto tiempo lleva cultivar cannabis")</f>
        <v>cuánto tiempo lleva cultivar cannabis</v>
      </c>
      <c r="B184" s="1" t="str">
        <f t="shared" si="91"/>
        <v>https://docs.google.com/spreadsheets/d/1mQvzCN82uJLVHqnDU2OEsD9GK3u-uQa-n5Bu13BIWf0</v>
      </c>
      <c r="C184" s="1" t="str">
        <f t="shared" si="92"/>
        <v>Cómo cultivar cannabis a partir de semillas</v>
      </c>
    </row>
    <row r="185">
      <c r="A185" s="1" t="str">
        <f>HYPERLINK("https://docs.google.com/spreadsheets/d/1-lVVf1IZjETr-yxORAs7H6nvgieMqOzLOd2Ry3HrwqA","Cómo cultivar cannabis en interiores")</f>
        <v>Cómo cultivar cannabis en interiores</v>
      </c>
      <c r="B185" s="1" t="str">
        <f t="shared" ref="B185:B188" si="93">HYPERLINK("https://docs.google.com/spreadsheets/d/1-lVVf1IZjETr-yxORAs7H6nvgieMqOzLOd2Ry3HrwqA","https://docs.google.com/spreadsheets/d/1-lVVf1IZjETr-yxORAs7H6nvgieMqOzLOd2Ry3HrwqA")</f>
        <v>https://docs.google.com/spreadsheets/d/1-lVVf1IZjETr-yxORAs7H6nvgieMqOzLOd2Ry3HrwqA</v>
      </c>
      <c r="C185" s="1" t="str">
        <f t="shared" ref="C185:C188" si="94">HYPERLINK("https://docs.google.com/spreadsheets/d/1-lVVf1IZjETr-yxORAs7H6nvgieMqOzLOd2Ry3HrwqA","Cómo cultivar cannabis a partir de semillas")</f>
        <v>Cómo cultivar cannabis a partir de semillas</v>
      </c>
    </row>
    <row r="186">
      <c r="A186" s="1" t="str">
        <f>HYPERLINK("https://docs.google.com/spreadsheets/d/1-lVVf1IZjETr-yxORAs7H6nvgieMqOzLOd2Ry3HrwqA","como cultivar cannabis")</f>
        <v>como cultivar cannabis</v>
      </c>
      <c r="B186" s="1" t="str">
        <f t="shared" si="93"/>
        <v>https://docs.google.com/spreadsheets/d/1-lVVf1IZjETr-yxORAs7H6nvgieMqOzLOd2Ry3HrwqA</v>
      </c>
      <c r="C186" s="1" t="str">
        <f t="shared" si="94"/>
        <v>Cómo cultivar cannabis a partir de semillas</v>
      </c>
    </row>
    <row r="187">
      <c r="A187" s="1" t="str">
        <f>HYPERLINK("https://docs.google.com/spreadsheets/d/1-lVVf1IZjETr-yxORAs7H6nvgieMqOzLOd2Ry3HrwqA","Cómo cultivar cannabis al aire libre")</f>
        <v>Cómo cultivar cannabis al aire libre</v>
      </c>
      <c r="B187" s="1" t="str">
        <f t="shared" si="93"/>
        <v>https://docs.google.com/spreadsheets/d/1-lVVf1IZjETr-yxORAs7H6nvgieMqOzLOd2Ry3HrwqA</v>
      </c>
      <c r="C187" s="1" t="str">
        <f t="shared" si="94"/>
        <v>Cómo cultivar cannabis a partir de semillas</v>
      </c>
    </row>
    <row r="188">
      <c r="A188" s="1" t="str">
        <f>HYPERLINK("https://docs.google.com/spreadsheets/d/1-lVVf1IZjETr-yxORAs7H6nvgieMqOzLOd2Ry3HrwqA","cuánto tiempo lleva cultivar cannabis")</f>
        <v>cuánto tiempo lleva cultivar cannabis</v>
      </c>
      <c r="B188" s="1" t="str">
        <f t="shared" si="93"/>
        <v>https://docs.google.com/spreadsheets/d/1-lVVf1IZjETr-yxORAs7H6nvgieMqOzLOd2Ry3HrwqA</v>
      </c>
      <c r="C188" s="1" t="str">
        <f t="shared" si="94"/>
        <v>Cómo cultivar cannabis a partir de semillas</v>
      </c>
    </row>
    <row r="189">
      <c r="A189" s="1" t="str">
        <f>HYPERLINK("https://drive.google.com/drive/folders/1lVy-qLohjUvovW7odEJgnhObQOXJ1wlh","Cómo cultivar cannabis en interiores")</f>
        <v>Cómo cultivar cannabis en interiores</v>
      </c>
      <c r="B189" s="1" t="str">
        <f t="shared" ref="B189:B192" si="95">HYPERLINK("https://drive.google.com/drive/folders/1lVy-qLohjUvovW7odEJgnhObQOXJ1wlh","https://drive.google.com/drive/folders/1lVy-qLohjUvovW7odEJgnhObQOXJ1wlh")</f>
        <v>https://drive.google.com/drive/folders/1lVy-qLohjUvovW7odEJgnhObQOXJ1wlh</v>
      </c>
      <c r="C189" s="1" t="str">
        <f t="shared" ref="C189:C192" si="96">HYPERLINK("https://drive.google.com/drive/folders/1lVy-qLohjUvovW7odEJgnhObQOXJ1wlh","Cómo cultivar cannabis a partir de semillas")</f>
        <v>Cómo cultivar cannabis a partir de semillas</v>
      </c>
    </row>
    <row r="190">
      <c r="A190" s="1" t="str">
        <f>HYPERLINK("https://drive.google.com/drive/folders/1lVy-qLohjUvovW7odEJgnhObQOXJ1wlh","como cultivar cannabis")</f>
        <v>como cultivar cannabis</v>
      </c>
      <c r="B190" s="1" t="str">
        <f t="shared" si="95"/>
        <v>https://drive.google.com/drive/folders/1lVy-qLohjUvovW7odEJgnhObQOXJ1wlh</v>
      </c>
      <c r="C190" s="1" t="str">
        <f t="shared" si="96"/>
        <v>Cómo cultivar cannabis a partir de semillas</v>
      </c>
    </row>
    <row r="191">
      <c r="A191" s="1" t="str">
        <f>HYPERLINK("https://drive.google.com/drive/folders/1lVy-qLohjUvovW7odEJgnhObQOXJ1wlh","Cómo cultivar cannabis al aire libre")</f>
        <v>Cómo cultivar cannabis al aire libre</v>
      </c>
      <c r="B191" s="1" t="str">
        <f t="shared" si="95"/>
        <v>https://drive.google.com/drive/folders/1lVy-qLohjUvovW7odEJgnhObQOXJ1wlh</v>
      </c>
      <c r="C191" s="1" t="str">
        <f t="shared" si="96"/>
        <v>Cómo cultivar cannabis a partir de semillas</v>
      </c>
    </row>
    <row r="192">
      <c r="A192" s="1" t="str">
        <f>HYPERLINK("https://drive.google.com/drive/folders/1lVy-qLohjUvovW7odEJgnhObQOXJ1wlh","cuánto tiempo lleva cultivar cannabis")</f>
        <v>cuánto tiempo lleva cultivar cannabis</v>
      </c>
      <c r="B192" s="1" t="str">
        <f t="shared" si="95"/>
        <v>https://drive.google.com/drive/folders/1lVy-qLohjUvovW7odEJgnhObQOXJ1wlh</v>
      </c>
      <c r="C192" s="1" t="str">
        <f t="shared" si="96"/>
        <v>Cómo cultivar cannabis a partir de semillas</v>
      </c>
    </row>
    <row r="193">
      <c r="A193" s="1" t="str">
        <f>HYPERLINK("https://docs.google.com/spreadsheets/d/1IW6g3RkseccMvwrz8fu53MP9HJqMC48CAzgsaFSLwjw","Cómo cultivar cannabis en interiores")</f>
        <v>Cómo cultivar cannabis en interiores</v>
      </c>
      <c r="B193" s="1" t="str">
        <f t="shared" ref="B193:B196" si="97">HYPERLINK("https://docs.google.com/spreadsheets/d/1IW6g3RkseccMvwrz8fu53MP9HJqMC48CAzgsaFSLwjw","https://docs.google.com/spreadsheets/d/1IW6g3RkseccMvwrz8fu53MP9HJqMC48CAzgsaFSLwjw")</f>
        <v>https://docs.google.com/spreadsheets/d/1IW6g3RkseccMvwrz8fu53MP9HJqMC48CAzgsaFSLwjw</v>
      </c>
      <c r="C193" s="1" t="str">
        <f t="shared" ref="C193:C196" si="98">HYPERLINK("https://docs.google.com/spreadsheets/d/1IW6g3RkseccMvwrz8fu53MP9HJqMC48CAzgsaFSLwjw","Cómo cultivar cannabis a partir de semillas")</f>
        <v>Cómo cultivar cannabis a partir de semillas</v>
      </c>
    </row>
    <row r="194">
      <c r="A194" s="1" t="str">
        <f>HYPERLINK("https://docs.google.com/spreadsheets/d/1IW6g3RkseccMvwrz8fu53MP9HJqMC48CAzgsaFSLwjw","como cultivar cannabis")</f>
        <v>como cultivar cannabis</v>
      </c>
      <c r="B194" s="1" t="str">
        <f t="shared" si="97"/>
        <v>https://docs.google.com/spreadsheets/d/1IW6g3RkseccMvwrz8fu53MP9HJqMC48CAzgsaFSLwjw</v>
      </c>
      <c r="C194" s="1" t="str">
        <f t="shared" si="98"/>
        <v>Cómo cultivar cannabis a partir de semillas</v>
      </c>
    </row>
    <row r="195">
      <c r="A195" s="1" t="str">
        <f>HYPERLINK("https://docs.google.com/spreadsheets/d/1IW6g3RkseccMvwrz8fu53MP9HJqMC48CAzgsaFSLwjw","Cómo cultivar cannabis al aire libre")</f>
        <v>Cómo cultivar cannabis al aire libre</v>
      </c>
      <c r="B195" s="1" t="str">
        <f t="shared" si="97"/>
        <v>https://docs.google.com/spreadsheets/d/1IW6g3RkseccMvwrz8fu53MP9HJqMC48CAzgsaFSLwjw</v>
      </c>
      <c r="C195" s="1" t="str">
        <f t="shared" si="98"/>
        <v>Cómo cultivar cannabis a partir de semillas</v>
      </c>
    </row>
    <row r="196">
      <c r="A196" s="1" t="str">
        <f>HYPERLINK("https://docs.google.com/spreadsheets/d/1IW6g3RkseccMvwrz8fu53MP9HJqMC48CAzgsaFSLwjw","cuánto tiempo lleva cultivar cannabis")</f>
        <v>cuánto tiempo lleva cultivar cannabis</v>
      </c>
      <c r="B196" s="1" t="str">
        <f t="shared" si="97"/>
        <v>https://docs.google.com/spreadsheets/d/1IW6g3RkseccMvwrz8fu53MP9HJqMC48CAzgsaFSLwjw</v>
      </c>
      <c r="C196" s="1" t="str">
        <f t="shared" si="98"/>
        <v>Cómo cultivar cannabis a partir de semillas</v>
      </c>
    </row>
    <row r="197">
      <c r="A197" s="1" t="str">
        <f>HYPERLINK("https://docs.google.com/spreadsheets/d/1USiis-QSK-cyEdLJWKHqFsY79SI4f6kq3dNlbF5AheM","Cómo cultivar cannabis en interiores")</f>
        <v>Cómo cultivar cannabis en interiores</v>
      </c>
      <c r="B197" s="1" t="str">
        <f t="shared" ref="B197:B200" si="99">HYPERLINK("https://docs.google.com/spreadsheets/d/1USiis-QSK-cyEdLJWKHqFsY79SI4f6kq3dNlbF5AheM","https://docs.google.com/spreadsheets/d/1USiis-QSK-cyEdLJWKHqFsY79SI4f6kq3dNlbF5AheM")</f>
        <v>https://docs.google.com/spreadsheets/d/1USiis-QSK-cyEdLJWKHqFsY79SI4f6kq3dNlbF5AheM</v>
      </c>
      <c r="C197" s="1" t="str">
        <f t="shared" ref="C197:C200" si="100">HYPERLINK("https://docs.google.com/spreadsheets/d/1USiis-QSK-cyEdLJWKHqFsY79SI4f6kq3dNlbF5AheM","Cómo cultivar cannabis a partir de semillas")</f>
        <v>Cómo cultivar cannabis a partir de semillas</v>
      </c>
    </row>
    <row r="198">
      <c r="A198" s="1" t="str">
        <f>HYPERLINK("https://docs.google.com/spreadsheets/d/1USiis-QSK-cyEdLJWKHqFsY79SI4f6kq3dNlbF5AheM","como cultivar cannabis")</f>
        <v>como cultivar cannabis</v>
      </c>
      <c r="B198" s="1" t="str">
        <f t="shared" si="99"/>
        <v>https://docs.google.com/spreadsheets/d/1USiis-QSK-cyEdLJWKHqFsY79SI4f6kq3dNlbF5AheM</v>
      </c>
      <c r="C198" s="1" t="str">
        <f t="shared" si="100"/>
        <v>Cómo cultivar cannabis a partir de semillas</v>
      </c>
    </row>
    <row r="199">
      <c r="A199" s="1" t="str">
        <f>HYPERLINK("https://docs.google.com/spreadsheets/d/1USiis-QSK-cyEdLJWKHqFsY79SI4f6kq3dNlbF5AheM","Cómo cultivar cannabis al aire libre")</f>
        <v>Cómo cultivar cannabis al aire libre</v>
      </c>
      <c r="B199" s="1" t="str">
        <f t="shared" si="99"/>
        <v>https://docs.google.com/spreadsheets/d/1USiis-QSK-cyEdLJWKHqFsY79SI4f6kq3dNlbF5AheM</v>
      </c>
      <c r="C199" s="1" t="str">
        <f t="shared" si="100"/>
        <v>Cómo cultivar cannabis a partir de semillas</v>
      </c>
    </row>
    <row r="200">
      <c r="A200" s="1" t="str">
        <f>HYPERLINK("https://docs.google.com/spreadsheets/d/1USiis-QSK-cyEdLJWKHqFsY79SI4f6kq3dNlbF5AheM","cuánto tiempo lleva cultivar cannabis")</f>
        <v>cuánto tiempo lleva cultivar cannabis</v>
      </c>
      <c r="B200" s="1" t="str">
        <f t="shared" si="99"/>
        <v>https://docs.google.com/spreadsheets/d/1USiis-QSK-cyEdLJWKHqFsY79SI4f6kq3dNlbF5AheM</v>
      </c>
      <c r="C200" s="1" t="str">
        <f t="shared" si="100"/>
        <v>Cómo cultivar cannabis a partir de semillas</v>
      </c>
    </row>
    <row r="201">
      <c r="A201" s="1" t="str">
        <f>HYPERLINK("https://drive.google.com/drive/folders/17KYc92oKtYftdNQYS4PqnACRmwapt2X7","Cómo cultivar cannabis en interiores")</f>
        <v>Cómo cultivar cannabis en interiores</v>
      </c>
      <c r="B201" s="1" t="str">
        <f t="shared" ref="B201:B204" si="101">HYPERLINK("https://drive.google.com/drive/folders/17KYc92oKtYftdNQYS4PqnACRmwapt2X7","https://drive.google.com/drive/folders/17KYc92oKtYftdNQYS4PqnACRmwapt2X7")</f>
        <v>https://drive.google.com/drive/folders/17KYc92oKtYftdNQYS4PqnACRmwapt2X7</v>
      </c>
      <c r="C201" s="1" t="str">
        <f t="shared" ref="C201:C204" si="102">HYPERLINK("https://drive.google.com/drive/folders/17KYc92oKtYftdNQYS4PqnACRmwapt2X7","Cómo cultivar cannabis a partir de semillas")</f>
        <v>Cómo cultivar cannabis a partir de semillas</v>
      </c>
    </row>
    <row r="202">
      <c r="A202" s="1" t="str">
        <f>HYPERLINK("https://drive.google.com/drive/folders/17KYc92oKtYftdNQYS4PqnACRmwapt2X7","como cultivar cannabis")</f>
        <v>como cultivar cannabis</v>
      </c>
      <c r="B202" s="1" t="str">
        <f t="shared" si="101"/>
        <v>https://drive.google.com/drive/folders/17KYc92oKtYftdNQYS4PqnACRmwapt2X7</v>
      </c>
      <c r="C202" s="1" t="str">
        <f t="shared" si="102"/>
        <v>Cómo cultivar cannabis a partir de semillas</v>
      </c>
    </row>
    <row r="203">
      <c r="A203" s="1" t="str">
        <f>HYPERLINK("https://drive.google.com/drive/folders/17KYc92oKtYftdNQYS4PqnACRmwapt2X7","Cómo cultivar cannabis al aire libre")</f>
        <v>Cómo cultivar cannabis al aire libre</v>
      </c>
      <c r="B203" s="1" t="str">
        <f t="shared" si="101"/>
        <v>https://drive.google.com/drive/folders/17KYc92oKtYftdNQYS4PqnACRmwapt2X7</v>
      </c>
      <c r="C203" s="1" t="str">
        <f t="shared" si="102"/>
        <v>Cómo cultivar cannabis a partir de semillas</v>
      </c>
    </row>
    <row r="204">
      <c r="A204" s="1" t="str">
        <f>HYPERLINK("https://drive.google.com/drive/folders/17KYc92oKtYftdNQYS4PqnACRmwapt2X7","cuánto tiempo lleva cultivar cannabis")</f>
        <v>cuánto tiempo lleva cultivar cannabis</v>
      </c>
      <c r="B204" s="1" t="str">
        <f t="shared" si="101"/>
        <v>https://drive.google.com/drive/folders/17KYc92oKtYftdNQYS4PqnACRmwapt2X7</v>
      </c>
      <c r="C204" s="1" t="str">
        <f t="shared" si="102"/>
        <v>Cómo cultivar cannabis a partir de semillas</v>
      </c>
    </row>
    <row r="205">
      <c r="A205" s="1" t="str">
        <f>HYPERLINK("https://docs.google.com/spreadsheets/d/1uj3tSrYdrYV_hovJ4Y1gjh76F7QA33u8ZKZsvU0BmNg","Cómo cultivar cannabis en interiores")</f>
        <v>Cómo cultivar cannabis en interiores</v>
      </c>
      <c r="B205" s="1" t="str">
        <f t="shared" ref="B205:B208" si="103">HYPERLINK("https://docs.google.com/spreadsheets/d/1uj3tSrYdrYV_hovJ4Y1gjh76F7QA33u8ZKZsvU0BmNg","https://docs.google.com/spreadsheets/d/1uj3tSrYdrYV_hovJ4Y1gjh76F7QA33u8ZKZsvU0BmNg")</f>
        <v>https://docs.google.com/spreadsheets/d/1uj3tSrYdrYV_hovJ4Y1gjh76F7QA33u8ZKZsvU0BmNg</v>
      </c>
      <c r="C205" s="1" t="str">
        <f t="shared" ref="C205:C208" si="104">HYPERLINK("https://docs.google.com/spreadsheets/d/1uj3tSrYdrYV_hovJ4Y1gjh76F7QA33u8ZKZsvU0BmNg","Cómo cultivar cannabis a partir de semillas")</f>
        <v>Cómo cultivar cannabis a partir de semillas</v>
      </c>
    </row>
    <row r="206">
      <c r="A206" s="1" t="str">
        <f>HYPERLINK("https://docs.google.com/spreadsheets/d/1uj3tSrYdrYV_hovJ4Y1gjh76F7QA33u8ZKZsvU0BmNg","como cultivar cannabis")</f>
        <v>como cultivar cannabis</v>
      </c>
      <c r="B206" s="1" t="str">
        <f t="shared" si="103"/>
        <v>https://docs.google.com/spreadsheets/d/1uj3tSrYdrYV_hovJ4Y1gjh76F7QA33u8ZKZsvU0BmNg</v>
      </c>
      <c r="C206" s="1" t="str">
        <f t="shared" si="104"/>
        <v>Cómo cultivar cannabis a partir de semillas</v>
      </c>
    </row>
    <row r="207">
      <c r="A207" s="1" t="str">
        <f>HYPERLINK("https://docs.google.com/spreadsheets/d/1uj3tSrYdrYV_hovJ4Y1gjh76F7QA33u8ZKZsvU0BmNg","Cómo cultivar cannabis al aire libre")</f>
        <v>Cómo cultivar cannabis al aire libre</v>
      </c>
      <c r="B207" s="1" t="str">
        <f t="shared" si="103"/>
        <v>https://docs.google.com/spreadsheets/d/1uj3tSrYdrYV_hovJ4Y1gjh76F7QA33u8ZKZsvU0BmNg</v>
      </c>
      <c r="C207" s="1" t="str">
        <f t="shared" si="104"/>
        <v>Cómo cultivar cannabis a partir de semillas</v>
      </c>
    </row>
    <row r="208">
      <c r="A208" s="1" t="str">
        <f>HYPERLINK("https://docs.google.com/spreadsheets/d/1uj3tSrYdrYV_hovJ4Y1gjh76F7QA33u8ZKZsvU0BmNg","cuánto tiempo lleva cultivar cannabis")</f>
        <v>cuánto tiempo lleva cultivar cannabis</v>
      </c>
      <c r="B208" s="1" t="str">
        <f t="shared" si="103"/>
        <v>https://docs.google.com/spreadsheets/d/1uj3tSrYdrYV_hovJ4Y1gjh76F7QA33u8ZKZsvU0BmNg</v>
      </c>
      <c r="C208" s="1" t="str">
        <f t="shared" si="104"/>
        <v>Cómo cultivar cannabis a partir de semillas</v>
      </c>
    </row>
    <row r="209">
      <c r="A209" s="1" t="str">
        <f>HYPERLINK("https://docs.google.com/spreadsheets/d/1DV8adKQDkeHR0ZlrwFf1Qdm_tDYzEk8gE97czbmxMVY","Cómo cultivar cannabis en interiores")</f>
        <v>Cómo cultivar cannabis en interiores</v>
      </c>
      <c r="B209" s="1" t="str">
        <f t="shared" ref="B209:B212" si="105">HYPERLINK("https://docs.google.com/spreadsheets/d/1DV8adKQDkeHR0ZlrwFf1Qdm_tDYzEk8gE97czbmxMVY","https://docs.google.com/spreadsheets/d/1DV8adKQDkeHR0ZlrwFf1Qdm_tDYzEk8gE97czbmxMVY")</f>
        <v>https://docs.google.com/spreadsheets/d/1DV8adKQDkeHR0ZlrwFf1Qdm_tDYzEk8gE97czbmxMVY</v>
      </c>
      <c r="C209" s="1" t="str">
        <f t="shared" ref="C209:C212" si="106">HYPERLINK("https://docs.google.com/spreadsheets/d/1DV8adKQDkeHR0ZlrwFf1Qdm_tDYzEk8gE97czbmxMVY","Cómo cultivar cannabis a partir de semillas")</f>
        <v>Cómo cultivar cannabis a partir de semillas</v>
      </c>
    </row>
    <row r="210">
      <c r="A210" s="1" t="str">
        <f>HYPERLINK("https://docs.google.com/spreadsheets/d/1DV8adKQDkeHR0ZlrwFf1Qdm_tDYzEk8gE97czbmxMVY","como cultivar cannabis")</f>
        <v>como cultivar cannabis</v>
      </c>
      <c r="B210" s="1" t="str">
        <f t="shared" si="105"/>
        <v>https://docs.google.com/spreadsheets/d/1DV8adKQDkeHR0ZlrwFf1Qdm_tDYzEk8gE97czbmxMVY</v>
      </c>
      <c r="C210" s="1" t="str">
        <f t="shared" si="106"/>
        <v>Cómo cultivar cannabis a partir de semillas</v>
      </c>
    </row>
    <row r="211">
      <c r="A211" s="1" t="str">
        <f>HYPERLINK("https://docs.google.com/spreadsheets/d/1DV8adKQDkeHR0ZlrwFf1Qdm_tDYzEk8gE97czbmxMVY","Cómo cultivar cannabis al aire libre")</f>
        <v>Cómo cultivar cannabis al aire libre</v>
      </c>
      <c r="B211" s="1" t="str">
        <f t="shared" si="105"/>
        <v>https://docs.google.com/spreadsheets/d/1DV8adKQDkeHR0ZlrwFf1Qdm_tDYzEk8gE97czbmxMVY</v>
      </c>
      <c r="C211" s="1" t="str">
        <f t="shared" si="106"/>
        <v>Cómo cultivar cannabis a partir de semillas</v>
      </c>
    </row>
    <row r="212">
      <c r="A212" s="1" t="str">
        <f>HYPERLINK("https://docs.google.com/spreadsheets/d/1DV8adKQDkeHR0ZlrwFf1Qdm_tDYzEk8gE97czbmxMVY","cuánto tiempo lleva cultivar cannabis")</f>
        <v>cuánto tiempo lleva cultivar cannabis</v>
      </c>
      <c r="B212" s="1" t="str">
        <f t="shared" si="105"/>
        <v>https://docs.google.com/spreadsheets/d/1DV8adKQDkeHR0ZlrwFf1Qdm_tDYzEk8gE97czbmxMVY</v>
      </c>
      <c r="C212" s="1" t="str">
        <f t="shared" si="106"/>
        <v>Cómo cultivar cannabis a partir de semillas</v>
      </c>
    </row>
    <row r="213">
      <c r="A213" s="1" t="str">
        <f>HYPERLINK("https://drive.google.com/drive/folders/1344Aij6O8BCbd2LVsDZIi7yOj0avTdZJ","Cómo cultivar cannabis en interiores")</f>
        <v>Cómo cultivar cannabis en interiores</v>
      </c>
      <c r="B213" s="1" t="str">
        <f t="shared" ref="B213:B216" si="107">HYPERLINK("https://drive.google.com/drive/folders/1344Aij6O8BCbd2LVsDZIi7yOj0avTdZJ","https://drive.google.com/drive/folders/1344Aij6O8BCbd2LVsDZIi7yOj0avTdZJ")</f>
        <v>https://drive.google.com/drive/folders/1344Aij6O8BCbd2LVsDZIi7yOj0avTdZJ</v>
      </c>
      <c r="C213" s="1" t="str">
        <f t="shared" ref="C213:C216" si="108">HYPERLINK("https://drive.google.com/drive/folders/1344Aij6O8BCbd2LVsDZIi7yOj0avTdZJ","Cómo cultivar cannabis a partir de semillas")</f>
        <v>Cómo cultivar cannabis a partir de semillas</v>
      </c>
    </row>
    <row r="214">
      <c r="A214" s="1" t="str">
        <f>HYPERLINK("https://drive.google.com/drive/folders/1344Aij6O8BCbd2LVsDZIi7yOj0avTdZJ","como cultivar cannabis")</f>
        <v>como cultivar cannabis</v>
      </c>
      <c r="B214" s="1" t="str">
        <f t="shared" si="107"/>
        <v>https://drive.google.com/drive/folders/1344Aij6O8BCbd2LVsDZIi7yOj0avTdZJ</v>
      </c>
      <c r="C214" s="1" t="str">
        <f t="shared" si="108"/>
        <v>Cómo cultivar cannabis a partir de semillas</v>
      </c>
    </row>
    <row r="215">
      <c r="A215" s="1" t="str">
        <f>HYPERLINK("https://drive.google.com/drive/folders/1344Aij6O8BCbd2LVsDZIi7yOj0avTdZJ","Cómo cultivar cannabis al aire libre")</f>
        <v>Cómo cultivar cannabis al aire libre</v>
      </c>
      <c r="B215" s="1" t="str">
        <f t="shared" si="107"/>
        <v>https://drive.google.com/drive/folders/1344Aij6O8BCbd2LVsDZIi7yOj0avTdZJ</v>
      </c>
      <c r="C215" s="1" t="str">
        <f t="shared" si="108"/>
        <v>Cómo cultivar cannabis a partir de semillas</v>
      </c>
    </row>
    <row r="216">
      <c r="A216" s="1" t="str">
        <f>HYPERLINK("https://drive.google.com/drive/folders/1344Aij6O8BCbd2LVsDZIi7yOj0avTdZJ","cuánto tiempo lleva cultivar cannabis")</f>
        <v>cuánto tiempo lleva cultivar cannabis</v>
      </c>
      <c r="B216" s="1" t="str">
        <f t="shared" si="107"/>
        <v>https://drive.google.com/drive/folders/1344Aij6O8BCbd2LVsDZIi7yOj0avTdZJ</v>
      </c>
      <c r="C216" s="1" t="str">
        <f t="shared" si="108"/>
        <v>Cómo cultivar cannabis a partir de semillas</v>
      </c>
    </row>
    <row r="217">
      <c r="A217" s="1" t="str">
        <f>HYPERLINK("https://docs.google.com/spreadsheets/d/1fo5iy9QjnAzz_fsL8Nbj-a3GWYlhufA9DOsSAocJyfI","Cómo cultivar cannabis en interiores")</f>
        <v>Cómo cultivar cannabis en interiores</v>
      </c>
      <c r="B217" s="1" t="str">
        <f t="shared" ref="B217:B220" si="109">HYPERLINK("https://docs.google.com/spreadsheets/d/1fo5iy9QjnAzz_fsL8Nbj-a3GWYlhufA9DOsSAocJyfI","https://docs.google.com/spreadsheets/d/1fo5iy9QjnAzz_fsL8Nbj-a3GWYlhufA9DOsSAocJyfI")</f>
        <v>https://docs.google.com/spreadsheets/d/1fo5iy9QjnAzz_fsL8Nbj-a3GWYlhufA9DOsSAocJyfI</v>
      </c>
      <c r="C217" s="1" t="str">
        <f t="shared" ref="C217:C220" si="110">HYPERLINK("https://docs.google.com/spreadsheets/d/1fo5iy9QjnAzz_fsL8Nbj-a3GWYlhufA9DOsSAocJyfI","Cómo cultivar cannabis a partir de semillas")</f>
        <v>Cómo cultivar cannabis a partir de semillas</v>
      </c>
    </row>
    <row r="218">
      <c r="A218" s="1" t="str">
        <f>HYPERLINK("https://docs.google.com/spreadsheets/d/1fo5iy9QjnAzz_fsL8Nbj-a3GWYlhufA9DOsSAocJyfI","como cultivar cannabis")</f>
        <v>como cultivar cannabis</v>
      </c>
      <c r="B218" s="1" t="str">
        <f t="shared" si="109"/>
        <v>https://docs.google.com/spreadsheets/d/1fo5iy9QjnAzz_fsL8Nbj-a3GWYlhufA9DOsSAocJyfI</v>
      </c>
      <c r="C218" s="1" t="str">
        <f t="shared" si="110"/>
        <v>Cómo cultivar cannabis a partir de semillas</v>
      </c>
    </row>
    <row r="219">
      <c r="A219" s="1" t="str">
        <f>HYPERLINK("https://docs.google.com/spreadsheets/d/1fo5iy9QjnAzz_fsL8Nbj-a3GWYlhufA9DOsSAocJyfI","Cómo cultivar cannabis al aire libre")</f>
        <v>Cómo cultivar cannabis al aire libre</v>
      </c>
      <c r="B219" s="1" t="str">
        <f t="shared" si="109"/>
        <v>https://docs.google.com/spreadsheets/d/1fo5iy9QjnAzz_fsL8Nbj-a3GWYlhufA9DOsSAocJyfI</v>
      </c>
      <c r="C219" s="1" t="str">
        <f t="shared" si="110"/>
        <v>Cómo cultivar cannabis a partir de semillas</v>
      </c>
    </row>
    <row r="220">
      <c r="A220" s="1" t="str">
        <f>HYPERLINK("https://docs.google.com/spreadsheets/d/1fo5iy9QjnAzz_fsL8Nbj-a3GWYlhufA9DOsSAocJyfI","cuánto tiempo lleva cultivar cannabis")</f>
        <v>cuánto tiempo lleva cultivar cannabis</v>
      </c>
      <c r="B220" s="1" t="str">
        <f t="shared" si="109"/>
        <v>https://docs.google.com/spreadsheets/d/1fo5iy9QjnAzz_fsL8Nbj-a3GWYlhufA9DOsSAocJyfI</v>
      </c>
      <c r="C220" s="1" t="str">
        <f t="shared" si="110"/>
        <v>Cómo cultivar cannabis a partir de semillas</v>
      </c>
    </row>
    <row r="221">
      <c r="A221" s="1" t="str">
        <f>HYPERLINK("https://docs.google.com/spreadsheets/d/1wTqs-aAojOsg2UtodjbK6rOrGYV9PEeQ4AGOAQIQak8","Cómo cultivar cannabis en interiores")</f>
        <v>Cómo cultivar cannabis en interiores</v>
      </c>
      <c r="B221" s="1" t="str">
        <f t="shared" ref="B221:B224" si="111">HYPERLINK("https://docs.google.com/spreadsheets/d/1wTqs-aAojOsg2UtodjbK6rOrGYV9PEeQ4AGOAQIQak8","https://docs.google.com/spreadsheets/d/1wTqs-aAojOsg2UtodjbK6rOrGYV9PEeQ4AGOAQIQak8")</f>
        <v>https://docs.google.com/spreadsheets/d/1wTqs-aAojOsg2UtodjbK6rOrGYV9PEeQ4AGOAQIQak8</v>
      </c>
      <c r="C221" s="1" t="str">
        <f t="shared" ref="C221:C224" si="112">HYPERLINK("https://docs.google.com/spreadsheets/d/1wTqs-aAojOsg2UtodjbK6rOrGYV9PEeQ4AGOAQIQak8","Cómo cultivar cannabis a partir de semillas")</f>
        <v>Cómo cultivar cannabis a partir de semillas</v>
      </c>
    </row>
    <row r="222">
      <c r="A222" s="1" t="str">
        <f>HYPERLINK("https://docs.google.com/spreadsheets/d/1wTqs-aAojOsg2UtodjbK6rOrGYV9PEeQ4AGOAQIQak8","como cultivar cannabis")</f>
        <v>como cultivar cannabis</v>
      </c>
      <c r="B222" s="1" t="str">
        <f t="shared" si="111"/>
        <v>https://docs.google.com/spreadsheets/d/1wTqs-aAojOsg2UtodjbK6rOrGYV9PEeQ4AGOAQIQak8</v>
      </c>
      <c r="C222" s="1" t="str">
        <f t="shared" si="112"/>
        <v>Cómo cultivar cannabis a partir de semillas</v>
      </c>
    </row>
    <row r="223">
      <c r="A223" s="1" t="str">
        <f>HYPERLINK("https://docs.google.com/spreadsheets/d/1wTqs-aAojOsg2UtodjbK6rOrGYV9PEeQ4AGOAQIQak8","Cómo cultivar cannabis al aire libre")</f>
        <v>Cómo cultivar cannabis al aire libre</v>
      </c>
      <c r="B223" s="1" t="str">
        <f t="shared" si="111"/>
        <v>https://docs.google.com/spreadsheets/d/1wTqs-aAojOsg2UtodjbK6rOrGYV9PEeQ4AGOAQIQak8</v>
      </c>
      <c r="C223" s="1" t="str">
        <f t="shared" si="112"/>
        <v>Cómo cultivar cannabis a partir de semillas</v>
      </c>
    </row>
    <row r="224">
      <c r="A224" s="1" t="str">
        <f>HYPERLINK("https://docs.google.com/spreadsheets/d/1wTqs-aAojOsg2UtodjbK6rOrGYV9PEeQ4AGOAQIQak8","cuánto tiempo lleva cultivar cannabis")</f>
        <v>cuánto tiempo lleva cultivar cannabis</v>
      </c>
      <c r="B224" s="1" t="str">
        <f t="shared" si="111"/>
        <v>https://docs.google.com/spreadsheets/d/1wTqs-aAojOsg2UtodjbK6rOrGYV9PEeQ4AGOAQIQak8</v>
      </c>
      <c r="C224" s="1" t="str">
        <f t="shared" si="112"/>
        <v>Cómo cultivar cannabis a partir de semillas</v>
      </c>
    </row>
    <row r="225">
      <c r="A225" s="1" t="str">
        <f>HYPERLINK("https://docs.google.com/spreadsheets/d/1kV_UDFmxwlIrGDZYR3AgcUPjZ3wA5jMjn9K9ZQgQ8wk","Cómo cultivar cannabis en interiores")</f>
        <v>Cómo cultivar cannabis en interiores</v>
      </c>
      <c r="B225" s="1" t="str">
        <f t="shared" ref="B225:B228" si="113">HYPERLINK("https://docs.google.com/spreadsheets/d/1kV_UDFmxwlIrGDZYR3AgcUPjZ3wA5jMjn9K9ZQgQ8wk","https://docs.google.com/spreadsheets/d/1kV_UDFmxwlIrGDZYR3AgcUPjZ3wA5jMjn9K9ZQgQ8wk")</f>
        <v>https://docs.google.com/spreadsheets/d/1kV_UDFmxwlIrGDZYR3AgcUPjZ3wA5jMjn9K9ZQgQ8wk</v>
      </c>
      <c r="C225" s="1" t="str">
        <f t="shared" ref="C225:C228" si="114">HYPERLINK("https://docs.google.com/spreadsheets/d/1kV_UDFmxwlIrGDZYR3AgcUPjZ3wA5jMjn9K9ZQgQ8wk","Cómo cultivar cannabis a partir de semillas")</f>
        <v>Cómo cultivar cannabis a partir de semillas</v>
      </c>
    </row>
    <row r="226">
      <c r="A226" s="1" t="str">
        <f>HYPERLINK("https://docs.google.com/spreadsheets/d/1kV_UDFmxwlIrGDZYR3AgcUPjZ3wA5jMjn9K9ZQgQ8wk","como cultivar cannabis")</f>
        <v>como cultivar cannabis</v>
      </c>
      <c r="B226" s="1" t="str">
        <f t="shared" si="113"/>
        <v>https://docs.google.com/spreadsheets/d/1kV_UDFmxwlIrGDZYR3AgcUPjZ3wA5jMjn9K9ZQgQ8wk</v>
      </c>
      <c r="C226" s="1" t="str">
        <f t="shared" si="114"/>
        <v>Cómo cultivar cannabis a partir de semillas</v>
      </c>
    </row>
    <row r="227">
      <c r="A227" s="1" t="str">
        <f>HYPERLINK("https://docs.google.com/spreadsheets/d/1kV_UDFmxwlIrGDZYR3AgcUPjZ3wA5jMjn9K9ZQgQ8wk","Cómo cultivar cannabis al aire libre")</f>
        <v>Cómo cultivar cannabis al aire libre</v>
      </c>
      <c r="B227" s="1" t="str">
        <f t="shared" si="113"/>
        <v>https://docs.google.com/spreadsheets/d/1kV_UDFmxwlIrGDZYR3AgcUPjZ3wA5jMjn9K9ZQgQ8wk</v>
      </c>
      <c r="C227" s="1" t="str">
        <f t="shared" si="114"/>
        <v>Cómo cultivar cannabis a partir de semillas</v>
      </c>
    </row>
    <row r="228">
      <c r="A228" s="1" t="str">
        <f>HYPERLINK("https://docs.google.com/spreadsheets/d/1kV_UDFmxwlIrGDZYR3AgcUPjZ3wA5jMjn9K9ZQgQ8wk","cuánto tiempo lleva cultivar cannabis")</f>
        <v>cuánto tiempo lleva cultivar cannabis</v>
      </c>
      <c r="B228" s="1" t="str">
        <f t="shared" si="113"/>
        <v>https://docs.google.com/spreadsheets/d/1kV_UDFmxwlIrGDZYR3AgcUPjZ3wA5jMjn9K9ZQgQ8wk</v>
      </c>
      <c r="C228" s="1" t="str">
        <f t="shared" si="114"/>
        <v>Cómo cultivar cannabis a partir de semillas</v>
      </c>
    </row>
    <row r="229">
      <c r="A229" s="1" t="str">
        <f>HYPERLINK("https://docs.google.com/spreadsheets/d/1VXnjovY6-X8h3aLjNmtJ1Uqg4LrXDrbSyrGzRS2tmAc","Cómo cultivar cannabis en interiores")</f>
        <v>Cómo cultivar cannabis en interiores</v>
      </c>
      <c r="B229" s="1" t="str">
        <f t="shared" ref="B229:B232" si="115">HYPERLINK("https://docs.google.com/spreadsheets/d/1VXnjovY6-X8h3aLjNmtJ1Uqg4LrXDrbSyrGzRS2tmAc","https://docs.google.com/spreadsheets/d/1VXnjovY6-X8h3aLjNmtJ1Uqg4LrXDrbSyrGzRS2tmAc")</f>
        <v>https://docs.google.com/spreadsheets/d/1VXnjovY6-X8h3aLjNmtJ1Uqg4LrXDrbSyrGzRS2tmAc</v>
      </c>
      <c r="C229" s="1" t="str">
        <f t="shared" ref="C229:C232" si="116">HYPERLINK("https://docs.google.com/spreadsheets/d/1VXnjovY6-X8h3aLjNmtJ1Uqg4LrXDrbSyrGzRS2tmAc","Cómo cultivar cannabis a partir de semillas")</f>
        <v>Cómo cultivar cannabis a partir de semillas</v>
      </c>
    </row>
    <row r="230">
      <c r="A230" s="1" t="str">
        <f>HYPERLINK("https://docs.google.com/spreadsheets/d/1VXnjovY6-X8h3aLjNmtJ1Uqg4LrXDrbSyrGzRS2tmAc","como cultivar cannabis")</f>
        <v>como cultivar cannabis</v>
      </c>
      <c r="B230" s="1" t="str">
        <f t="shared" si="115"/>
        <v>https://docs.google.com/spreadsheets/d/1VXnjovY6-X8h3aLjNmtJ1Uqg4LrXDrbSyrGzRS2tmAc</v>
      </c>
      <c r="C230" s="1" t="str">
        <f t="shared" si="116"/>
        <v>Cómo cultivar cannabis a partir de semillas</v>
      </c>
    </row>
    <row r="231">
      <c r="A231" s="1" t="str">
        <f>HYPERLINK("https://docs.google.com/spreadsheets/d/1VXnjovY6-X8h3aLjNmtJ1Uqg4LrXDrbSyrGzRS2tmAc","Cómo cultivar cannabis al aire libre")</f>
        <v>Cómo cultivar cannabis al aire libre</v>
      </c>
      <c r="B231" s="1" t="str">
        <f t="shared" si="115"/>
        <v>https://docs.google.com/spreadsheets/d/1VXnjovY6-X8h3aLjNmtJ1Uqg4LrXDrbSyrGzRS2tmAc</v>
      </c>
      <c r="C231" s="1" t="str">
        <f t="shared" si="116"/>
        <v>Cómo cultivar cannabis a partir de semillas</v>
      </c>
    </row>
    <row r="232">
      <c r="A232" s="1" t="str">
        <f>HYPERLINK("https://docs.google.com/spreadsheets/d/1VXnjovY6-X8h3aLjNmtJ1Uqg4LrXDrbSyrGzRS2tmAc","cuánto tiempo lleva cultivar cannabis")</f>
        <v>cuánto tiempo lleva cultivar cannabis</v>
      </c>
      <c r="B232" s="1" t="str">
        <f t="shared" si="115"/>
        <v>https://docs.google.com/spreadsheets/d/1VXnjovY6-X8h3aLjNmtJ1Uqg4LrXDrbSyrGzRS2tmAc</v>
      </c>
      <c r="C232" s="1" t="str">
        <f t="shared" si="116"/>
        <v>Cómo cultivar cannabis a partir de semillas</v>
      </c>
    </row>
    <row r="233">
      <c r="A233" s="1" t="str">
        <f>HYPERLINK("https://drive.google.com/drive/folders/1eD6O2_kJ_KLLZ3WrIN_bVj1f4aDBvmfN","Cómo cultivar cannabis en interiores")</f>
        <v>Cómo cultivar cannabis en interiores</v>
      </c>
      <c r="B233" s="1" t="str">
        <f t="shared" ref="B233:B236" si="117">HYPERLINK("https://drive.google.com/drive/folders/1eD6O2_kJ_KLLZ3WrIN_bVj1f4aDBvmfN","https://drive.google.com/drive/folders/1eD6O2_kJ_KLLZ3WrIN_bVj1f4aDBvmfN")</f>
        <v>https://drive.google.com/drive/folders/1eD6O2_kJ_KLLZ3WrIN_bVj1f4aDBvmfN</v>
      </c>
      <c r="C233" s="1" t="str">
        <f t="shared" ref="C233:C236" si="118">HYPERLINK("https://drive.google.com/drive/folders/1eD6O2_kJ_KLLZ3WrIN_bVj1f4aDBvmfN","Cómo cultivar cannabis a partir de semillas")</f>
        <v>Cómo cultivar cannabis a partir de semillas</v>
      </c>
    </row>
    <row r="234">
      <c r="A234" s="1" t="str">
        <f>HYPERLINK("https://drive.google.com/drive/folders/1eD6O2_kJ_KLLZ3WrIN_bVj1f4aDBvmfN","como cultivar cannabis")</f>
        <v>como cultivar cannabis</v>
      </c>
      <c r="B234" s="1" t="str">
        <f t="shared" si="117"/>
        <v>https://drive.google.com/drive/folders/1eD6O2_kJ_KLLZ3WrIN_bVj1f4aDBvmfN</v>
      </c>
      <c r="C234" s="1" t="str">
        <f t="shared" si="118"/>
        <v>Cómo cultivar cannabis a partir de semillas</v>
      </c>
    </row>
    <row r="235">
      <c r="A235" s="1" t="str">
        <f>HYPERLINK("https://drive.google.com/drive/folders/1eD6O2_kJ_KLLZ3WrIN_bVj1f4aDBvmfN","Cómo cultivar cannabis al aire libre")</f>
        <v>Cómo cultivar cannabis al aire libre</v>
      </c>
      <c r="B235" s="1" t="str">
        <f t="shared" si="117"/>
        <v>https://drive.google.com/drive/folders/1eD6O2_kJ_KLLZ3WrIN_bVj1f4aDBvmfN</v>
      </c>
      <c r="C235" s="1" t="str">
        <f t="shared" si="118"/>
        <v>Cómo cultivar cannabis a partir de semillas</v>
      </c>
    </row>
    <row r="236">
      <c r="A236" s="1" t="str">
        <f>HYPERLINK("https://drive.google.com/drive/folders/1eD6O2_kJ_KLLZ3WrIN_bVj1f4aDBvmfN","cuánto tiempo lleva cultivar cannabis")</f>
        <v>cuánto tiempo lleva cultivar cannabis</v>
      </c>
      <c r="B236" s="1" t="str">
        <f t="shared" si="117"/>
        <v>https://drive.google.com/drive/folders/1eD6O2_kJ_KLLZ3WrIN_bVj1f4aDBvmfN</v>
      </c>
      <c r="C236" s="1" t="str">
        <f t="shared" si="118"/>
        <v>Cómo cultivar cannabis a partir de semillas</v>
      </c>
    </row>
    <row r="237">
      <c r="A237" s="1" t="str">
        <f>HYPERLINK("https://drive.google.com/drive/folders/1RaT6a6d_aHCisGNjzM2hvUa4Jp01x04w","Cómo cultivar cannabis en interiores")</f>
        <v>Cómo cultivar cannabis en interiores</v>
      </c>
      <c r="B237" s="1" t="str">
        <f t="shared" ref="B237:B240" si="119">HYPERLINK("https://drive.google.com/drive/folders/1RaT6a6d_aHCisGNjzM2hvUa4Jp01x04w","https://drive.google.com/drive/folders/1RaT6a6d_aHCisGNjzM2hvUa4Jp01x04w")</f>
        <v>https://drive.google.com/drive/folders/1RaT6a6d_aHCisGNjzM2hvUa4Jp01x04w</v>
      </c>
      <c r="C237" s="1" t="str">
        <f t="shared" ref="C237:C240" si="120">HYPERLINK("https://drive.google.com/drive/folders/1RaT6a6d_aHCisGNjzM2hvUa4Jp01x04w","Cómo cultivar cannabis a partir de semillas")</f>
        <v>Cómo cultivar cannabis a partir de semillas</v>
      </c>
    </row>
    <row r="238">
      <c r="A238" s="1" t="str">
        <f>HYPERLINK("https://drive.google.com/drive/folders/1RaT6a6d_aHCisGNjzM2hvUa4Jp01x04w","como cultivar cannabis")</f>
        <v>como cultivar cannabis</v>
      </c>
      <c r="B238" s="1" t="str">
        <f t="shared" si="119"/>
        <v>https://drive.google.com/drive/folders/1RaT6a6d_aHCisGNjzM2hvUa4Jp01x04w</v>
      </c>
      <c r="C238" s="1" t="str">
        <f t="shared" si="120"/>
        <v>Cómo cultivar cannabis a partir de semillas</v>
      </c>
    </row>
    <row r="239">
      <c r="A239" s="1" t="str">
        <f>HYPERLINK("https://drive.google.com/drive/folders/1RaT6a6d_aHCisGNjzM2hvUa4Jp01x04w","Cómo cultivar cannabis al aire libre")</f>
        <v>Cómo cultivar cannabis al aire libre</v>
      </c>
      <c r="B239" s="1" t="str">
        <f t="shared" si="119"/>
        <v>https://drive.google.com/drive/folders/1RaT6a6d_aHCisGNjzM2hvUa4Jp01x04w</v>
      </c>
      <c r="C239" s="1" t="str">
        <f t="shared" si="120"/>
        <v>Cómo cultivar cannabis a partir de semillas</v>
      </c>
    </row>
    <row r="240">
      <c r="A240" s="1" t="str">
        <f>HYPERLINK("https://drive.google.com/drive/folders/1RaT6a6d_aHCisGNjzM2hvUa4Jp01x04w","cuánto tiempo lleva cultivar cannabis")</f>
        <v>cuánto tiempo lleva cultivar cannabis</v>
      </c>
      <c r="B240" s="1" t="str">
        <f t="shared" si="119"/>
        <v>https://drive.google.com/drive/folders/1RaT6a6d_aHCisGNjzM2hvUa4Jp01x04w</v>
      </c>
      <c r="C240" s="1" t="str">
        <f t="shared" si="120"/>
        <v>Cómo cultivar cannabis a partir de semillas</v>
      </c>
    </row>
    <row r="241">
      <c r="A241" s="1" t="str">
        <f>HYPERLINK("https://drive.google.com/drive/folders/1fi7dC6Z7HkBZjOSumpMTdmUj8WQZUCh6","Cómo cultivar cannabis en interiores")</f>
        <v>Cómo cultivar cannabis en interiores</v>
      </c>
      <c r="B241" s="1" t="str">
        <f t="shared" ref="B241:B244" si="121">HYPERLINK("https://drive.google.com/drive/folders/1fi7dC6Z7HkBZjOSumpMTdmUj8WQZUCh6","https://drive.google.com/drive/folders/1fi7dC6Z7HkBZjOSumpMTdmUj8WQZUCh6")</f>
        <v>https://drive.google.com/drive/folders/1fi7dC6Z7HkBZjOSumpMTdmUj8WQZUCh6</v>
      </c>
      <c r="C241" s="1" t="str">
        <f t="shared" ref="C241:C244" si="122">HYPERLINK("https://drive.google.com/drive/folders/1fi7dC6Z7HkBZjOSumpMTdmUj8WQZUCh6","Cómo cultivar cannabis a partir de semillas")</f>
        <v>Cómo cultivar cannabis a partir de semillas</v>
      </c>
    </row>
    <row r="242">
      <c r="A242" s="1" t="str">
        <f>HYPERLINK("https://drive.google.com/drive/folders/1fi7dC6Z7HkBZjOSumpMTdmUj8WQZUCh6","como cultivar cannabis")</f>
        <v>como cultivar cannabis</v>
      </c>
      <c r="B242" s="1" t="str">
        <f t="shared" si="121"/>
        <v>https://drive.google.com/drive/folders/1fi7dC6Z7HkBZjOSumpMTdmUj8WQZUCh6</v>
      </c>
      <c r="C242" s="1" t="str">
        <f t="shared" si="122"/>
        <v>Cómo cultivar cannabis a partir de semillas</v>
      </c>
    </row>
    <row r="243">
      <c r="A243" s="1" t="str">
        <f>HYPERLINK("https://drive.google.com/drive/folders/1fi7dC6Z7HkBZjOSumpMTdmUj8WQZUCh6","Cómo cultivar cannabis al aire libre")</f>
        <v>Cómo cultivar cannabis al aire libre</v>
      </c>
      <c r="B243" s="1" t="str">
        <f t="shared" si="121"/>
        <v>https://drive.google.com/drive/folders/1fi7dC6Z7HkBZjOSumpMTdmUj8WQZUCh6</v>
      </c>
      <c r="C243" s="1" t="str">
        <f t="shared" si="122"/>
        <v>Cómo cultivar cannabis a partir de semillas</v>
      </c>
    </row>
    <row r="244">
      <c r="A244" s="1" t="str">
        <f>HYPERLINK("https://drive.google.com/drive/folders/1fi7dC6Z7HkBZjOSumpMTdmUj8WQZUCh6","cuánto tiempo lleva cultivar cannabis")</f>
        <v>cuánto tiempo lleva cultivar cannabis</v>
      </c>
      <c r="B244" s="1" t="str">
        <f t="shared" si="121"/>
        <v>https://drive.google.com/drive/folders/1fi7dC6Z7HkBZjOSumpMTdmUj8WQZUCh6</v>
      </c>
      <c r="C244" s="1" t="str">
        <f t="shared" si="122"/>
        <v>Cómo cultivar cannabis a partir de semillas</v>
      </c>
    </row>
    <row r="245">
      <c r="A245" s="1" t="str">
        <f>HYPERLINK("https://drive.google.com/drive/folders/11lQF1ngiwyy9x6A1QCx-kkPoCG4lKQba","Cómo cultivar cannabis en interiores")</f>
        <v>Cómo cultivar cannabis en interiores</v>
      </c>
      <c r="B245" s="1" t="str">
        <f t="shared" ref="B245:B248" si="123">HYPERLINK("https://drive.google.com/drive/folders/11lQF1ngiwyy9x6A1QCx-kkPoCG4lKQba","https://drive.google.com/drive/folders/11lQF1ngiwyy9x6A1QCx-kkPoCG4lKQba")</f>
        <v>https://drive.google.com/drive/folders/11lQF1ngiwyy9x6A1QCx-kkPoCG4lKQba</v>
      </c>
      <c r="C245" s="1" t="str">
        <f t="shared" ref="C245:C248" si="124">HYPERLINK("https://drive.google.com/drive/folders/11lQF1ngiwyy9x6A1QCx-kkPoCG4lKQba","Cómo cultivar cannabis a partir de semillas")</f>
        <v>Cómo cultivar cannabis a partir de semillas</v>
      </c>
    </row>
    <row r="246">
      <c r="A246" s="1" t="str">
        <f>HYPERLINK("https://drive.google.com/drive/folders/11lQF1ngiwyy9x6A1QCx-kkPoCG4lKQba","como cultivar cannabis")</f>
        <v>como cultivar cannabis</v>
      </c>
      <c r="B246" s="1" t="str">
        <f t="shared" si="123"/>
        <v>https://drive.google.com/drive/folders/11lQF1ngiwyy9x6A1QCx-kkPoCG4lKQba</v>
      </c>
      <c r="C246" s="1" t="str">
        <f t="shared" si="124"/>
        <v>Cómo cultivar cannabis a partir de semillas</v>
      </c>
    </row>
    <row r="247">
      <c r="A247" s="1" t="str">
        <f>HYPERLINK("https://drive.google.com/drive/folders/11lQF1ngiwyy9x6A1QCx-kkPoCG4lKQba","Cómo cultivar cannabis al aire libre")</f>
        <v>Cómo cultivar cannabis al aire libre</v>
      </c>
      <c r="B247" s="1" t="str">
        <f t="shared" si="123"/>
        <v>https://drive.google.com/drive/folders/11lQF1ngiwyy9x6A1QCx-kkPoCG4lKQba</v>
      </c>
      <c r="C247" s="1" t="str">
        <f t="shared" si="124"/>
        <v>Cómo cultivar cannabis a partir de semillas</v>
      </c>
    </row>
    <row r="248">
      <c r="A248" s="1" t="str">
        <f>HYPERLINK("https://drive.google.com/drive/folders/11lQF1ngiwyy9x6A1QCx-kkPoCG4lKQba","cuánto tiempo lleva cultivar cannabis")</f>
        <v>cuánto tiempo lleva cultivar cannabis</v>
      </c>
      <c r="B248" s="1" t="str">
        <f t="shared" si="123"/>
        <v>https://drive.google.com/drive/folders/11lQF1ngiwyy9x6A1QCx-kkPoCG4lKQba</v>
      </c>
      <c r="C248" s="1" t="str">
        <f t="shared" si="124"/>
        <v>Cómo cultivar cannabis a partir de semillas</v>
      </c>
    </row>
    <row r="249">
      <c r="A249" s="1" t="str">
        <f>HYPERLINK("https://docs.google.com/spreadsheets/d/1VSuzQmbT109bT7HY48XcOpyVb80n-WW-T12n8HPjGVo","Cómo cultivar cannabis en interiores")</f>
        <v>Cómo cultivar cannabis en interiores</v>
      </c>
      <c r="B249" s="1" t="str">
        <f t="shared" ref="B249:B252" si="125">HYPERLINK("https://docs.google.com/spreadsheets/d/1VSuzQmbT109bT7HY48XcOpyVb80n-WW-T12n8HPjGVo","https://docs.google.com/spreadsheets/d/1VSuzQmbT109bT7HY48XcOpyVb80n-WW-T12n8HPjGVo")</f>
        <v>https://docs.google.com/spreadsheets/d/1VSuzQmbT109bT7HY48XcOpyVb80n-WW-T12n8HPjGVo</v>
      </c>
      <c r="C249" s="1" t="str">
        <f t="shared" ref="C249:C252" si="126">HYPERLINK("https://docs.google.com/spreadsheets/d/1VSuzQmbT109bT7HY48XcOpyVb80n-WW-T12n8HPjGVo","Cómo cultivar cannabis a partir de semillas")</f>
        <v>Cómo cultivar cannabis a partir de semillas</v>
      </c>
    </row>
    <row r="250">
      <c r="A250" s="1" t="str">
        <f>HYPERLINK("https://docs.google.com/spreadsheets/d/1VSuzQmbT109bT7HY48XcOpyVb80n-WW-T12n8HPjGVo","como cultivar cannabis")</f>
        <v>como cultivar cannabis</v>
      </c>
      <c r="B250" s="1" t="str">
        <f t="shared" si="125"/>
        <v>https://docs.google.com/spreadsheets/d/1VSuzQmbT109bT7HY48XcOpyVb80n-WW-T12n8HPjGVo</v>
      </c>
      <c r="C250" s="1" t="str">
        <f t="shared" si="126"/>
        <v>Cómo cultivar cannabis a partir de semillas</v>
      </c>
    </row>
    <row r="251">
      <c r="A251" s="1" t="str">
        <f>HYPERLINK("https://docs.google.com/spreadsheets/d/1VSuzQmbT109bT7HY48XcOpyVb80n-WW-T12n8HPjGVo","Cómo cultivar cannabis al aire libre")</f>
        <v>Cómo cultivar cannabis al aire libre</v>
      </c>
      <c r="B251" s="1" t="str">
        <f t="shared" si="125"/>
        <v>https://docs.google.com/spreadsheets/d/1VSuzQmbT109bT7HY48XcOpyVb80n-WW-T12n8HPjGVo</v>
      </c>
      <c r="C251" s="1" t="str">
        <f t="shared" si="126"/>
        <v>Cómo cultivar cannabis a partir de semillas</v>
      </c>
    </row>
    <row r="252">
      <c r="A252" s="1" t="str">
        <f>HYPERLINK("https://docs.google.com/spreadsheets/d/1VSuzQmbT109bT7HY48XcOpyVb80n-WW-T12n8HPjGVo","cuánto tiempo lleva cultivar cannabis")</f>
        <v>cuánto tiempo lleva cultivar cannabis</v>
      </c>
      <c r="B252" s="1" t="str">
        <f t="shared" si="125"/>
        <v>https://docs.google.com/spreadsheets/d/1VSuzQmbT109bT7HY48XcOpyVb80n-WW-T12n8HPjGVo</v>
      </c>
      <c r="C252" s="1" t="str">
        <f t="shared" si="126"/>
        <v>Cómo cultivar cannabis a partir de semillas</v>
      </c>
    </row>
    <row r="253">
      <c r="A253" s="1" t="str">
        <f>HYPERLINK("https://docs.google.com/spreadsheets/d/10UCVmOYzmQE43SRjHXaSGYL0X-J_2PowylsXqnvhrEU","Cómo cultivar cannabis en interiores")</f>
        <v>Cómo cultivar cannabis en interiores</v>
      </c>
      <c r="B253" s="1" t="str">
        <f t="shared" ref="B253:B256" si="127">HYPERLINK("https://docs.google.com/spreadsheets/d/10UCVmOYzmQE43SRjHXaSGYL0X-J_2PowylsXqnvhrEU","https://docs.google.com/spreadsheets/d/10UCVmOYzmQE43SRjHXaSGYL0X-J_2PowylsXqnvhrEU")</f>
        <v>https://docs.google.com/spreadsheets/d/10UCVmOYzmQE43SRjHXaSGYL0X-J_2PowylsXqnvhrEU</v>
      </c>
      <c r="C253" s="1" t="str">
        <f t="shared" ref="C253:C256" si="128">HYPERLINK("https://docs.google.com/spreadsheets/d/10UCVmOYzmQE43SRjHXaSGYL0X-J_2PowylsXqnvhrEU","Cómo cultivar cannabis a partir de semillas")</f>
        <v>Cómo cultivar cannabis a partir de semillas</v>
      </c>
    </row>
    <row r="254">
      <c r="A254" s="1" t="str">
        <f>HYPERLINK("https://docs.google.com/spreadsheets/d/10UCVmOYzmQE43SRjHXaSGYL0X-J_2PowylsXqnvhrEU","como cultivar cannabis")</f>
        <v>como cultivar cannabis</v>
      </c>
      <c r="B254" s="1" t="str">
        <f t="shared" si="127"/>
        <v>https://docs.google.com/spreadsheets/d/10UCVmOYzmQE43SRjHXaSGYL0X-J_2PowylsXqnvhrEU</v>
      </c>
      <c r="C254" s="1" t="str">
        <f t="shared" si="128"/>
        <v>Cómo cultivar cannabis a partir de semillas</v>
      </c>
    </row>
    <row r="255">
      <c r="A255" s="1" t="str">
        <f>HYPERLINK("https://docs.google.com/spreadsheets/d/10UCVmOYzmQE43SRjHXaSGYL0X-J_2PowylsXqnvhrEU","Cómo cultivar cannabis al aire libre")</f>
        <v>Cómo cultivar cannabis al aire libre</v>
      </c>
      <c r="B255" s="1" t="str">
        <f t="shared" si="127"/>
        <v>https://docs.google.com/spreadsheets/d/10UCVmOYzmQE43SRjHXaSGYL0X-J_2PowylsXqnvhrEU</v>
      </c>
      <c r="C255" s="1" t="str">
        <f t="shared" si="128"/>
        <v>Cómo cultivar cannabis a partir de semillas</v>
      </c>
    </row>
    <row r="256">
      <c r="A256" s="1" t="str">
        <f>HYPERLINK("https://docs.google.com/spreadsheets/d/10UCVmOYzmQE43SRjHXaSGYL0X-J_2PowylsXqnvhrEU","cuánto tiempo lleva cultivar cannabis")</f>
        <v>cuánto tiempo lleva cultivar cannabis</v>
      </c>
      <c r="B256" s="1" t="str">
        <f t="shared" si="127"/>
        <v>https://docs.google.com/spreadsheets/d/10UCVmOYzmQE43SRjHXaSGYL0X-J_2PowylsXqnvhrEU</v>
      </c>
      <c r="C256" s="1" t="str">
        <f t="shared" si="128"/>
        <v>Cómo cultivar cannabis a partir de semillas</v>
      </c>
    </row>
    <row r="257">
      <c r="A257" s="1" t="str">
        <f>HYPERLINK("https://drive.google.com/drive/folders/1n4BM3D_bDW4nHCyqCCLhwQ6DnVlhw33p","Cómo cultivar cannabis en interiores")</f>
        <v>Cómo cultivar cannabis en interiores</v>
      </c>
      <c r="B257" s="1" t="str">
        <f t="shared" ref="B257:B260" si="129">HYPERLINK("https://drive.google.com/drive/folders/1n4BM3D_bDW4nHCyqCCLhwQ6DnVlhw33p","https://drive.google.com/drive/folders/1n4BM3D_bDW4nHCyqCCLhwQ6DnVlhw33p")</f>
        <v>https://drive.google.com/drive/folders/1n4BM3D_bDW4nHCyqCCLhwQ6DnVlhw33p</v>
      </c>
      <c r="C257" s="1" t="str">
        <f t="shared" ref="C257:C260" si="130">HYPERLINK("https://drive.google.com/drive/folders/1n4BM3D_bDW4nHCyqCCLhwQ6DnVlhw33p","Cómo cultivar cannabis a partir de semillas")</f>
        <v>Cómo cultivar cannabis a partir de semillas</v>
      </c>
    </row>
    <row r="258">
      <c r="A258" s="1" t="str">
        <f>HYPERLINK("https://drive.google.com/drive/folders/1n4BM3D_bDW4nHCyqCCLhwQ6DnVlhw33p","como cultivar cannabis")</f>
        <v>como cultivar cannabis</v>
      </c>
      <c r="B258" s="1" t="str">
        <f t="shared" si="129"/>
        <v>https://drive.google.com/drive/folders/1n4BM3D_bDW4nHCyqCCLhwQ6DnVlhw33p</v>
      </c>
      <c r="C258" s="1" t="str">
        <f t="shared" si="130"/>
        <v>Cómo cultivar cannabis a partir de semillas</v>
      </c>
    </row>
    <row r="259">
      <c r="A259" s="1" t="str">
        <f>HYPERLINK("https://drive.google.com/drive/folders/1n4BM3D_bDW4nHCyqCCLhwQ6DnVlhw33p","Cómo cultivar cannabis al aire libre")</f>
        <v>Cómo cultivar cannabis al aire libre</v>
      </c>
      <c r="B259" s="1" t="str">
        <f t="shared" si="129"/>
        <v>https://drive.google.com/drive/folders/1n4BM3D_bDW4nHCyqCCLhwQ6DnVlhw33p</v>
      </c>
      <c r="C259" s="1" t="str">
        <f t="shared" si="130"/>
        <v>Cómo cultivar cannabis a partir de semillas</v>
      </c>
    </row>
    <row r="260">
      <c r="A260" s="1" t="str">
        <f>HYPERLINK("https://drive.google.com/drive/folders/1n4BM3D_bDW4nHCyqCCLhwQ6DnVlhw33p","cuánto tiempo lleva cultivar cannabis")</f>
        <v>cuánto tiempo lleva cultivar cannabis</v>
      </c>
      <c r="B260" s="1" t="str">
        <f t="shared" si="129"/>
        <v>https://drive.google.com/drive/folders/1n4BM3D_bDW4nHCyqCCLhwQ6DnVlhw33p</v>
      </c>
      <c r="C260" s="1" t="str">
        <f t="shared" si="130"/>
        <v>Cómo cultivar cannabis a partir de semillas</v>
      </c>
    </row>
    <row r="261">
      <c r="A261" s="1" t="str">
        <f>HYPERLINK("https://drive.google.com/drive/folders/1tzn8VjzUAi0djBfK6_dfVx0PSyvBJaxf","Cómo cultivar cannabis en interiores")</f>
        <v>Cómo cultivar cannabis en interiores</v>
      </c>
      <c r="B261" s="1" t="str">
        <f t="shared" ref="B261:B264" si="131">HYPERLINK("https://drive.google.com/drive/folders/1tzn8VjzUAi0djBfK6_dfVx0PSyvBJaxf","https://drive.google.com/drive/folders/1tzn8VjzUAi0djBfK6_dfVx0PSyvBJaxf")</f>
        <v>https://drive.google.com/drive/folders/1tzn8VjzUAi0djBfK6_dfVx0PSyvBJaxf</v>
      </c>
      <c r="C261" s="1" t="str">
        <f t="shared" ref="C261:C264" si="132">HYPERLINK("https://drive.google.com/drive/folders/1tzn8VjzUAi0djBfK6_dfVx0PSyvBJaxf","Cómo cultivar cannabis a partir de semillas")</f>
        <v>Cómo cultivar cannabis a partir de semillas</v>
      </c>
    </row>
    <row r="262">
      <c r="A262" s="1" t="str">
        <f>HYPERLINK("https://drive.google.com/drive/folders/1tzn8VjzUAi0djBfK6_dfVx0PSyvBJaxf","como cultivar cannabis")</f>
        <v>como cultivar cannabis</v>
      </c>
      <c r="B262" s="1" t="str">
        <f t="shared" si="131"/>
        <v>https://drive.google.com/drive/folders/1tzn8VjzUAi0djBfK6_dfVx0PSyvBJaxf</v>
      </c>
      <c r="C262" s="1" t="str">
        <f t="shared" si="132"/>
        <v>Cómo cultivar cannabis a partir de semillas</v>
      </c>
    </row>
    <row r="263">
      <c r="A263" s="1" t="str">
        <f>HYPERLINK("https://drive.google.com/drive/folders/1tzn8VjzUAi0djBfK6_dfVx0PSyvBJaxf","Cómo cultivar cannabis al aire libre")</f>
        <v>Cómo cultivar cannabis al aire libre</v>
      </c>
      <c r="B263" s="1" t="str">
        <f t="shared" si="131"/>
        <v>https://drive.google.com/drive/folders/1tzn8VjzUAi0djBfK6_dfVx0PSyvBJaxf</v>
      </c>
      <c r="C263" s="1" t="str">
        <f t="shared" si="132"/>
        <v>Cómo cultivar cannabis a partir de semillas</v>
      </c>
    </row>
    <row r="264">
      <c r="A264" s="1" t="str">
        <f>HYPERLINK("https://drive.google.com/drive/folders/1tzn8VjzUAi0djBfK6_dfVx0PSyvBJaxf","cuánto tiempo lleva cultivar cannabis")</f>
        <v>cuánto tiempo lleva cultivar cannabis</v>
      </c>
      <c r="B264" s="1" t="str">
        <f t="shared" si="131"/>
        <v>https://drive.google.com/drive/folders/1tzn8VjzUAi0djBfK6_dfVx0PSyvBJaxf</v>
      </c>
      <c r="C264" s="1" t="str">
        <f t="shared" si="132"/>
        <v>Cómo cultivar cannabis a partir de semillas</v>
      </c>
    </row>
    <row r="265">
      <c r="A265" s="1" t="str">
        <f>HYPERLINK("https://docs.google.com/spreadsheets/d/1Vl7bz63IAPc5fgWC2bDOFI6FAI3ysOqnEYVr7KCSAXk","Cómo cultivar cannabis en interiores")</f>
        <v>Cómo cultivar cannabis en interiores</v>
      </c>
      <c r="B265" s="1" t="str">
        <f t="shared" ref="B265:B268" si="133">HYPERLINK("https://docs.google.com/spreadsheets/d/1Vl7bz63IAPc5fgWC2bDOFI6FAI3ysOqnEYVr7KCSAXk","https://docs.google.com/spreadsheets/d/1Vl7bz63IAPc5fgWC2bDOFI6FAI3ysOqnEYVr7KCSAXk")</f>
        <v>https://docs.google.com/spreadsheets/d/1Vl7bz63IAPc5fgWC2bDOFI6FAI3ysOqnEYVr7KCSAXk</v>
      </c>
      <c r="C265" s="1" t="str">
        <f t="shared" ref="C265:C268" si="134">HYPERLINK("https://docs.google.com/spreadsheets/d/1Vl7bz63IAPc5fgWC2bDOFI6FAI3ysOqnEYVr7KCSAXk","Cómo cultivar cannabis a partir de semillas")</f>
        <v>Cómo cultivar cannabis a partir de semillas</v>
      </c>
    </row>
    <row r="266">
      <c r="A266" s="1" t="str">
        <f>HYPERLINK("https://docs.google.com/spreadsheets/d/1Vl7bz63IAPc5fgWC2bDOFI6FAI3ysOqnEYVr7KCSAXk","como cultivar cannabis")</f>
        <v>como cultivar cannabis</v>
      </c>
      <c r="B266" s="1" t="str">
        <f t="shared" si="133"/>
        <v>https://docs.google.com/spreadsheets/d/1Vl7bz63IAPc5fgWC2bDOFI6FAI3ysOqnEYVr7KCSAXk</v>
      </c>
      <c r="C266" s="1" t="str">
        <f t="shared" si="134"/>
        <v>Cómo cultivar cannabis a partir de semillas</v>
      </c>
    </row>
    <row r="267">
      <c r="A267" s="1" t="str">
        <f>HYPERLINK("https://docs.google.com/spreadsheets/d/1Vl7bz63IAPc5fgWC2bDOFI6FAI3ysOqnEYVr7KCSAXk","Cómo cultivar cannabis al aire libre")</f>
        <v>Cómo cultivar cannabis al aire libre</v>
      </c>
      <c r="B267" s="1" t="str">
        <f t="shared" si="133"/>
        <v>https://docs.google.com/spreadsheets/d/1Vl7bz63IAPc5fgWC2bDOFI6FAI3ysOqnEYVr7KCSAXk</v>
      </c>
      <c r="C267" s="1" t="str">
        <f t="shared" si="134"/>
        <v>Cómo cultivar cannabis a partir de semillas</v>
      </c>
    </row>
    <row r="268">
      <c r="A268" s="1" t="str">
        <f>HYPERLINK("https://docs.google.com/spreadsheets/d/1Vl7bz63IAPc5fgWC2bDOFI6FAI3ysOqnEYVr7KCSAXk","cuánto tiempo lleva cultivar cannabis")</f>
        <v>cuánto tiempo lleva cultivar cannabis</v>
      </c>
      <c r="B268" s="1" t="str">
        <f t="shared" si="133"/>
        <v>https://docs.google.com/spreadsheets/d/1Vl7bz63IAPc5fgWC2bDOFI6FAI3ysOqnEYVr7KCSAXk</v>
      </c>
      <c r="C268" s="1" t="str">
        <f t="shared" si="134"/>
        <v>Cómo cultivar cannabis a partir de semillas</v>
      </c>
    </row>
    <row r="269">
      <c r="A269" s="1" t="str">
        <f>HYPERLINK("https://drive.google.com/drive/folders/1lM2gk-Mj-AEBGBjZlkiMyK8YnX0Wj2AS","Cómo cultivar cannabis en interiores")</f>
        <v>Cómo cultivar cannabis en interiores</v>
      </c>
      <c r="B269" s="1" t="str">
        <f t="shared" ref="B269:B272" si="135">HYPERLINK("https://drive.google.com/drive/folders/1lM2gk-Mj-AEBGBjZlkiMyK8YnX0Wj2AS","https://drive.google.com/drive/folders/1lM2gk-Mj-AEBGBjZlkiMyK8YnX0Wj2AS")</f>
        <v>https://drive.google.com/drive/folders/1lM2gk-Mj-AEBGBjZlkiMyK8YnX0Wj2AS</v>
      </c>
      <c r="C269" s="1" t="str">
        <f t="shared" ref="C269:C272" si="136">HYPERLINK("https://drive.google.com/drive/folders/1lM2gk-Mj-AEBGBjZlkiMyK8YnX0Wj2AS","Cómo cultivar cannabis a partir de semillas")</f>
        <v>Cómo cultivar cannabis a partir de semillas</v>
      </c>
    </row>
    <row r="270">
      <c r="A270" s="1" t="str">
        <f>HYPERLINK("https://drive.google.com/drive/folders/1lM2gk-Mj-AEBGBjZlkiMyK8YnX0Wj2AS","como cultivar cannabis")</f>
        <v>como cultivar cannabis</v>
      </c>
      <c r="B270" s="1" t="str">
        <f t="shared" si="135"/>
        <v>https://drive.google.com/drive/folders/1lM2gk-Mj-AEBGBjZlkiMyK8YnX0Wj2AS</v>
      </c>
      <c r="C270" s="1" t="str">
        <f t="shared" si="136"/>
        <v>Cómo cultivar cannabis a partir de semillas</v>
      </c>
    </row>
    <row r="271">
      <c r="A271" s="1" t="str">
        <f>HYPERLINK("https://drive.google.com/drive/folders/1lM2gk-Mj-AEBGBjZlkiMyK8YnX0Wj2AS","Cómo cultivar cannabis al aire libre")</f>
        <v>Cómo cultivar cannabis al aire libre</v>
      </c>
      <c r="B271" s="1" t="str">
        <f t="shared" si="135"/>
        <v>https://drive.google.com/drive/folders/1lM2gk-Mj-AEBGBjZlkiMyK8YnX0Wj2AS</v>
      </c>
      <c r="C271" s="1" t="str">
        <f t="shared" si="136"/>
        <v>Cómo cultivar cannabis a partir de semillas</v>
      </c>
    </row>
    <row r="272">
      <c r="A272" s="1" t="str">
        <f>HYPERLINK("https://drive.google.com/drive/folders/1lM2gk-Mj-AEBGBjZlkiMyK8YnX0Wj2AS","cuánto tiempo lleva cultivar cannabis")</f>
        <v>cuánto tiempo lleva cultivar cannabis</v>
      </c>
      <c r="B272" s="1" t="str">
        <f t="shared" si="135"/>
        <v>https://drive.google.com/drive/folders/1lM2gk-Mj-AEBGBjZlkiMyK8YnX0Wj2AS</v>
      </c>
      <c r="C272" s="1" t="str">
        <f t="shared" si="136"/>
        <v>Cómo cultivar cannabis a partir de semillas</v>
      </c>
    </row>
    <row r="273">
      <c r="A273" s="1" t="str">
        <f>HYPERLINK("https://docs.google.com/spreadsheets/d/1hWImXWllkBmYlaQ2FwOVoS8I45FYZSEdCC5gi5X80k4","Cómo cultivar cannabis en interiores")</f>
        <v>Cómo cultivar cannabis en interiores</v>
      </c>
      <c r="B273" s="1" t="str">
        <f t="shared" ref="B273:B276" si="137">HYPERLINK("https://docs.google.com/spreadsheets/d/1hWImXWllkBmYlaQ2FwOVoS8I45FYZSEdCC5gi5X80k4","https://docs.google.com/spreadsheets/d/1hWImXWllkBmYlaQ2FwOVoS8I45FYZSEdCC5gi5X80k4")</f>
        <v>https://docs.google.com/spreadsheets/d/1hWImXWllkBmYlaQ2FwOVoS8I45FYZSEdCC5gi5X80k4</v>
      </c>
      <c r="C273" s="1" t="str">
        <f t="shared" ref="C273:C276" si="138">HYPERLINK("https://docs.google.com/spreadsheets/d/1hWImXWllkBmYlaQ2FwOVoS8I45FYZSEdCC5gi5X80k4","Cómo cultivar cannabis a partir de semillas")</f>
        <v>Cómo cultivar cannabis a partir de semillas</v>
      </c>
    </row>
    <row r="274">
      <c r="A274" s="1" t="str">
        <f>HYPERLINK("https://docs.google.com/spreadsheets/d/1hWImXWllkBmYlaQ2FwOVoS8I45FYZSEdCC5gi5X80k4","como cultivar cannabis")</f>
        <v>como cultivar cannabis</v>
      </c>
      <c r="B274" s="1" t="str">
        <f t="shared" si="137"/>
        <v>https://docs.google.com/spreadsheets/d/1hWImXWllkBmYlaQ2FwOVoS8I45FYZSEdCC5gi5X80k4</v>
      </c>
      <c r="C274" s="1" t="str">
        <f t="shared" si="138"/>
        <v>Cómo cultivar cannabis a partir de semillas</v>
      </c>
    </row>
    <row r="275">
      <c r="A275" s="1" t="str">
        <f>HYPERLINK("https://docs.google.com/spreadsheets/d/1hWImXWllkBmYlaQ2FwOVoS8I45FYZSEdCC5gi5X80k4","Cómo cultivar cannabis al aire libre")</f>
        <v>Cómo cultivar cannabis al aire libre</v>
      </c>
      <c r="B275" s="1" t="str">
        <f t="shared" si="137"/>
        <v>https://docs.google.com/spreadsheets/d/1hWImXWllkBmYlaQ2FwOVoS8I45FYZSEdCC5gi5X80k4</v>
      </c>
      <c r="C275" s="1" t="str">
        <f t="shared" si="138"/>
        <v>Cómo cultivar cannabis a partir de semillas</v>
      </c>
    </row>
    <row r="276">
      <c r="A276" s="1" t="str">
        <f>HYPERLINK("https://docs.google.com/spreadsheets/d/1hWImXWllkBmYlaQ2FwOVoS8I45FYZSEdCC5gi5X80k4","cuánto tiempo lleva cultivar cannabis")</f>
        <v>cuánto tiempo lleva cultivar cannabis</v>
      </c>
      <c r="B276" s="1" t="str">
        <f t="shared" si="137"/>
        <v>https://docs.google.com/spreadsheets/d/1hWImXWllkBmYlaQ2FwOVoS8I45FYZSEdCC5gi5X80k4</v>
      </c>
      <c r="C276" s="1" t="str">
        <f t="shared" si="138"/>
        <v>Cómo cultivar cannabis a partir de semillas</v>
      </c>
    </row>
    <row r="277">
      <c r="A277" s="1" t="str">
        <f>HYPERLINK("https://drive.google.com/drive/folders/1X99kufqyf8kTaknvxYVmPfCgBCwKoi2v","Cómo cultivar cannabis en interiores")</f>
        <v>Cómo cultivar cannabis en interiores</v>
      </c>
      <c r="B277" s="1" t="str">
        <f t="shared" ref="B277:B280" si="139">HYPERLINK("https://drive.google.com/drive/folders/1X99kufqyf8kTaknvxYVmPfCgBCwKoi2v","https://drive.google.com/drive/folders/1X99kufqyf8kTaknvxYVmPfCgBCwKoi2v")</f>
        <v>https://drive.google.com/drive/folders/1X99kufqyf8kTaknvxYVmPfCgBCwKoi2v</v>
      </c>
      <c r="C277" s="1" t="str">
        <f t="shared" ref="C277:C280" si="140">HYPERLINK("https://drive.google.com/drive/folders/1X99kufqyf8kTaknvxYVmPfCgBCwKoi2v","Cómo cultivar cannabis a partir de semillas")</f>
        <v>Cómo cultivar cannabis a partir de semillas</v>
      </c>
    </row>
    <row r="278">
      <c r="A278" s="1" t="str">
        <f>HYPERLINK("https://drive.google.com/drive/folders/1X99kufqyf8kTaknvxYVmPfCgBCwKoi2v","como cultivar cannabis")</f>
        <v>como cultivar cannabis</v>
      </c>
      <c r="B278" s="1" t="str">
        <f t="shared" si="139"/>
        <v>https://drive.google.com/drive/folders/1X99kufqyf8kTaknvxYVmPfCgBCwKoi2v</v>
      </c>
      <c r="C278" s="1" t="str">
        <f t="shared" si="140"/>
        <v>Cómo cultivar cannabis a partir de semillas</v>
      </c>
    </row>
    <row r="279">
      <c r="A279" s="1" t="str">
        <f>HYPERLINK("https://drive.google.com/drive/folders/1X99kufqyf8kTaknvxYVmPfCgBCwKoi2v","Cómo cultivar cannabis al aire libre")</f>
        <v>Cómo cultivar cannabis al aire libre</v>
      </c>
      <c r="B279" s="1" t="str">
        <f t="shared" si="139"/>
        <v>https://drive.google.com/drive/folders/1X99kufqyf8kTaknvxYVmPfCgBCwKoi2v</v>
      </c>
      <c r="C279" s="1" t="str">
        <f t="shared" si="140"/>
        <v>Cómo cultivar cannabis a partir de semillas</v>
      </c>
    </row>
    <row r="280">
      <c r="A280" s="1" t="str">
        <f>HYPERLINK("https://drive.google.com/drive/folders/1X99kufqyf8kTaknvxYVmPfCgBCwKoi2v","cuánto tiempo lleva cultivar cannabis")</f>
        <v>cuánto tiempo lleva cultivar cannabis</v>
      </c>
      <c r="B280" s="1" t="str">
        <f t="shared" si="139"/>
        <v>https://drive.google.com/drive/folders/1X99kufqyf8kTaknvxYVmPfCgBCwKoi2v</v>
      </c>
      <c r="C280" s="1" t="str">
        <f t="shared" si="140"/>
        <v>Cómo cultivar cannabis a partir de semillas</v>
      </c>
    </row>
    <row r="281">
      <c r="A281" s="1" t="str">
        <f>HYPERLINK("https://docs.google.com/spreadsheets/d/1oXxx9TnAHNp-lmNflX-R9sPARokp6GOsXhB8tYiLDR4","Cómo cultivar cannabis en interiores")</f>
        <v>Cómo cultivar cannabis en interiores</v>
      </c>
      <c r="B281" s="1" t="str">
        <f t="shared" ref="B281:B284" si="141">HYPERLINK("https://docs.google.com/spreadsheets/d/1oXxx9TnAHNp-lmNflX-R9sPARokp6GOsXhB8tYiLDR4","https://docs.google.com/spreadsheets/d/1oXxx9TnAHNp-lmNflX-R9sPARokp6GOsXhB8tYiLDR4")</f>
        <v>https://docs.google.com/spreadsheets/d/1oXxx9TnAHNp-lmNflX-R9sPARokp6GOsXhB8tYiLDR4</v>
      </c>
      <c r="C281" s="1" t="str">
        <f t="shared" ref="C281:C284" si="142">HYPERLINK("https://docs.google.com/spreadsheets/d/1oXxx9TnAHNp-lmNflX-R9sPARokp6GOsXhB8tYiLDR4","Cómo cultivar cannabis a partir de semillas")</f>
        <v>Cómo cultivar cannabis a partir de semillas</v>
      </c>
    </row>
    <row r="282">
      <c r="A282" s="1" t="str">
        <f>HYPERLINK("https://docs.google.com/spreadsheets/d/1oXxx9TnAHNp-lmNflX-R9sPARokp6GOsXhB8tYiLDR4","como cultivar cannabis")</f>
        <v>como cultivar cannabis</v>
      </c>
      <c r="B282" s="1" t="str">
        <f t="shared" si="141"/>
        <v>https://docs.google.com/spreadsheets/d/1oXxx9TnAHNp-lmNflX-R9sPARokp6GOsXhB8tYiLDR4</v>
      </c>
      <c r="C282" s="1" t="str">
        <f t="shared" si="142"/>
        <v>Cómo cultivar cannabis a partir de semillas</v>
      </c>
    </row>
    <row r="283">
      <c r="A283" s="1" t="str">
        <f>HYPERLINK("https://docs.google.com/spreadsheets/d/1oXxx9TnAHNp-lmNflX-R9sPARokp6GOsXhB8tYiLDR4","Cómo cultivar cannabis al aire libre")</f>
        <v>Cómo cultivar cannabis al aire libre</v>
      </c>
      <c r="B283" s="1" t="str">
        <f t="shared" si="141"/>
        <v>https://docs.google.com/spreadsheets/d/1oXxx9TnAHNp-lmNflX-R9sPARokp6GOsXhB8tYiLDR4</v>
      </c>
      <c r="C283" s="1" t="str">
        <f t="shared" si="142"/>
        <v>Cómo cultivar cannabis a partir de semillas</v>
      </c>
    </row>
    <row r="284">
      <c r="A284" s="1" t="str">
        <f>HYPERLINK("https://docs.google.com/spreadsheets/d/1oXxx9TnAHNp-lmNflX-R9sPARokp6GOsXhB8tYiLDR4","cuánto tiempo lleva cultivar cannabis")</f>
        <v>cuánto tiempo lleva cultivar cannabis</v>
      </c>
      <c r="B284" s="1" t="str">
        <f t="shared" si="141"/>
        <v>https://docs.google.com/spreadsheets/d/1oXxx9TnAHNp-lmNflX-R9sPARokp6GOsXhB8tYiLDR4</v>
      </c>
      <c r="C284" s="1" t="str">
        <f t="shared" si="142"/>
        <v>Cómo cultivar cannabis a partir de semillas</v>
      </c>
    </row>
    <row r="285">
      <c r="A285" s="1" t="str">
        <f>HYPERLINK("https://docs.google.com/spreadsheets/d/1LiMsHSPCGJwoSUkqI2x7IVCle9uoL-TDLDL5CbC7Eg0","Cómo cultivar cannabis en interiores")</f>
        <v>Cómo cultivar cannabis en interiores</v>
      </c>
      <c r="B285" s="1" t="str">
        <f t="shared" ref="B285:B288" si="143">HYPERLINK("https://docs.google.com/spreadsheets/d/1LiMsHSPCGJwoSUkqI2x7IVCle9uoL-TDLDL5CbC7Eg0","https://docs.google.com/spreadsheets/d/1LiMsHSPCGJwoSUkqI2x7IVCle9uoL-TDLDL5CbC7Eg0")</f>
        <v>https://docs.google.com/spreadsheets/d/1LiMsHSPCGJwoSUkqI2x7IVCle9uoL-TDLDL5CbC7Eg0</v>
      </c>
      <c r="C285" s="1" t="str">
        <f t="shared" ref="C285:C288" si="144">HYPERLINK("https://docs.google.com/spreadsheets/d/1LiMsHSPCGJwoSUkqI2x7IVCle9uoL-TDLDL5CbC7Eg0","Cómo cultivar cannabis a partir de semillas")</f>
        <v>Cómo cultivar cannabis a partir de semillas</v>
      </c>
    </row>
    <row r="286">
      <c r="A286" s="1" t="str">
        <f>HYPERLINK("https://docs.google.com/spreadsheets/d/1LiMsHSPCGJwoSUkqI2x7IVCle9uoL-TDLDL5CbC7Eg0","como cultivar cannabis")</f>
        <v>como cultivar cannabis</v>
      </c>
      <c r="B286" s="1" t="str">
        <f t="shared" si="143"/>
        <v>https://docs.google.com/spreadsheets/d/1LiMsHSPCGJwoSUkqI2x7IVCle9uoL-TDLDL5CbC7Eg0</v>
      </c>
      <c r="C286" s="1" t="str">
        <f t="shared" si="144"/>
        <v>Cómo cultivar cannabis a partir de semillas</v>
      </c>
    </row>
    <row r="287">
      <c r="A287" s="1" t="str">
        <f>HYPERLINK("https://docs.google.com/spreadsheets/d/1LiMsHSPCGJwoSUkqI2x7IVCle9uoL-TDLDL5CbC7Eg0","Cómo cultivar cannabis al aire libre")</f>
        <v>Cómo cultivar cannabis al aire libre</v>
      </c>
      <c r="B287" s="1" t="str">
        <f t="shared" si="143"/>
        <v>https://docs.google.com/spreadsheets/d/1LiMsHSPCGJwoSUkqI2x7IVCle9uoL-TDLDL5CbC7Eg0</v>
      </c>
      <c r="C287" s="1" t="str">
        <f t="shared" si="144"/>
        <v>Cómo cultivar cannabis a partir de semillas</v>
      </c>
    </row>
    <row r="288">
      <c r="A288" s="1" t="str">
        <f>HYPERLINK("https://docs.google.com/spreadsheets/d/1LiMsHSPCGJwoSUkqI2x7IVCle9uoL-TDLDL5CbC7Eg0","cuánto tiempo lleva cultivar cannabis")</f>
        <v>cuánto tiempo lleva cultivar cannabis</v>
      </c>
      <c r="B288" s="1" t="str">
        <f t="shared" si="143"/>
        <v>https://docs.google.com/spreadsheets/d/1LiMsHSPCGJwoSUkqI2x7IVCle9uoL-TDLDL5CbC7Eg0</v>
      </c>
      <c r="C288" s="1" t="str">
        <f t="shared" si="144"/>
        <v>Cómo cultivar cannabis a partir de semillas</v>
      </c>
    </row>
    <row r="289">
      <c r="A289" s="1" t="str">
        <f>HYPERLINK("https://drive.google.com/drive/folders/1n9k3HOwo3OqtOQ_cpUAu6kAXea6kI3O_","Cómo cultivar cannabis en interiores")</f>
        <v>Cómo cultivar cannabis en interiores</v>
      </c>
      <c r="B289" s="1" t="str">
        <f t="shared" ref="B289:B292" si="145">HYPERLINK("https://drive.google.com/drive/folders/1n9k3HOwo3OqtOQ_cpUAu6kAXea6kI3O_","https://drive.google.com/drive/folders/1n9k3HOwo3OqtOQ_cpUAu6kAXea6kI3O_")</f>
        <v>https://drive.google.com/drive/folders/1n9k3HOwo3OqtOQ_cpUAu6kAXea6kI3O_</v>
      </c>
      <c r="C289" s="1" t="str">
        <f t="shared" ref="C289:C292" si="146">HYPERLINK("https://drive.google.com/drive/folders/1n9k3HOwo3OqtOQ_cpUAu6kAXea6kI3O_","Cómo cultivar cannabis a partir de semillas")</f>
        <v>Cómo cultivar cannabis a partir de semillas</v>
      </c>
    </row>
    <row r="290">
      <c r="A290" s="1" t="str">
        <f>HYPERLINK("https://drive.google.com/drive/folders/1n9k3HOwo3OqtOQ_cpUAu6kAXea6kI3O_","como cultivar cannabis")</f>
        <v>como cultivar cannabis</v>
      </c>
      <c r="B290" s="1" t="str">
        <f t="shared" si="145"/>
        <v>https://drive.google.com/drive/folders/1n9k3HOwo3OqtOQ_cpUAu6kAXea6kI3O_</v>
      </c>
      <c r="C290" s="1" t="str">
        <f t="shared" si="146"/>
        <v>Cómo cultivar cannabis a partir de semillas</v>
      </c>
    </row>
    <row r="291">
      <c r="A291" s="1" t="str">
        <f>HYPERLINK("https://drive.google.com/drive/folders/1n9k3HOwo3OqtOQ_cpUAu6kAXea6kI3O_","Cómo cultivar cannabis al aire libre")</f>
        <v>Cómo cultivar cannabis al aire libre</v>
      </c>
      <c r="B291" s="1" t="str">
        <f t="shared" si="145"/>
        <v>https://drive.google.com/drive/folders/1n9k3HOwo3OqtOQ_cpUAu6kAXea6kI3O_</v>
      </c>
      <c r="C291" s="1" t="str">
        <f t="shared" si="146"/>
        <v>Cómo cultivar cannabis a partir de semillas</v>
      </c>
    </row>
    <row r="292">
      <c r="A292" s="1" t="str">
        <f>HYPERLINK("https://drive.google.com/drive/folders/1n9k3HOwo3OqtOQ_cpUAu6kAXea6kI3O_","cuánto tiempo lleva cultivar cannabis")</f>
        <v>cuánto tiempo lleva cultivar cannabis</v>
      </c>
      <c r="B292" s="1" t="str">
        <f t="shared" si="145"/>
        <v>https://drive.google.com/drive/folders/1n9k3HOwo3OqtOQ_cpUAu6kAXea6kI3O_</v>
      </c>
      <c r="C292" s="1" t="str">
        <f t="shared" si="146"/>
        <v>Cómo cultivar cannabis a partir de semillas</v>
      </c>
    </row>
    <row r="293">
      <c r="A293" s="1" t="str">
        <f>HYPERLINK("https://docs.google.com/spreadsheets/d/1F4U7QuMu1DwUNX-J8iTBt44jQuiicfo9-xyExrpFJd4","Cómo cultivar cannabis en interiores")</f>
        <v>Cómo cultivar cannabis en interiores</v>
      </c>
      <c r="B293" s="1" t="str">
        <f t="shared" ref="B293:B296" si="147">HYPERLINK("https://docs.google.com/spreadsheets/d/1F4U7QuMu1DwUNX-J8iTBt44jQuiicfo9-xyExrpFJd4","https://docs.google.com/spreadsheets/d/1F4U7QuMu1DwUNX-J8iTBt44jQuiicfo9-xyExrpFJd4")</f>
        <v>https://docs.google.com/spreadsheets/d/1F4U7QuMu1DwUNX-J8iTBt44jQuiicfo9-xyExrpFJd4</v>
      </c>
      <c r="C293" s="1" t="str">
        <f t="shared" ref="C293:C296" si="148">HYPERLINK("https://docs.google.com/spreadsheets/d/1F4U7QuMu1DwUNX-J8iTBt44jQuiicfo9-xyExrpFJd4","Cómo cultivar cannabis a partir de semillas")</f>
        <v>Cómo cultivar cannabis a partir de semillas</v>
      </c>
    </row>
    <row r="294">
      <c r="A294" s="1" t="str">
        <f>HYPERLINK("https://docs.google.com/spreadsheets/d/1F4U7QuMu1DwUNX-J8iTBt44jQuiicfo9-xyExrpFJd4","como cultivar cannabis")</f>
        <v>como cultivar cannabis</v>
      </c>
      <c r="B294" s="1" t="str">
        <f t="shared" si="147"/>
        <v>https://docs.google.com/spreadsheets/d/1F4U7QuMu1DwUNX-J8iTBt44jQuiicfo9-xyExrpFJd4</v>
      </c>
      <c r="C294" s="1" t="str">
        <f t="shared" si="148"/>
        <v>Cómo cultivar cannabis a partir de semillas</v>
      </c>
    </row>
    <row r="295">
      <c r="A295" s="1" t="str">
        <f>HYPERLINK("https://docs.google.com/spreadsheets/d/1F4U7QuMu1DwUNX-J8iTBt44jQuiicfo9-xyExrpFJd4","Cómo cultivar cannabis al aire libre")</f>
        <v>Cómo cultivar cannabis al aire libre</v>
      </c>
      <c r="B295" s="1" t="str">
        <f t="shared" si="147"/>
        <v>https://docs.google.com/spreadsheets/d/1F4U7QuMu1DwUNX-J8iTBt44jQuiicfo9-xyExrpFJd4</v>
      </c>
      <c r="C295" s="1" t="str">
        <f t="shared" si="148"/>
        <v>Cómo cultivar cannabis a partir de semillas</v>
      </c>
    </row>
    <row r="296">
      <c r="A296" s="1" t="str">
        <f>HYPERLINK("https://docs.google.com/spreadsheets/d/1F4U7QuMu1DwUNX-J8iTBt44jQuiicfo9-xyExrpFJd4","cuánto tiempo lleva cultivar cannabis")</f>
        <v>cuánto tiempo lleva cultivar cannabis</v>
      </c>
      <c r="B296" s="1" t="str">
        <f t="shared" si="147"/>
        <v>https://docs.google.com/spreadsheets/d/1F4U7QuMu1DwUNX-J8iTBt44jQuiicfo9-xyExrpFJd4</v>
      </c>
      <c r="C296" s="1" t="str">
        <f t="shared" si="148"/>
        <v>Cómo cultivar cannabis a partir de semillas</v>
      </c>
    </row>
    <row r="297">
      <c r="A297" s="1" t="str">
        <f>HYPERLINK("https://docs.google.com/spreadsheets/d/1ETubZaCSLzjhW7tz4nEKr3iFC_IyCdJDduzEpiPnsTY","Cómo cultivar cannabis en interiores")</f>
        <v>Cómo cultivar cannabis en interiores</v>
      </c>
      <c r="B297" s="1" t="str">
        <f t="shared" ref="B297:B300" si="149">HYPERLINK("https://docs.google.com/spreadsheets/d/1ETubZaCSLzjhW7tz4nEKr3iFC_IyCdJDduzEpiPnsTY","https://docs.google.com/spreadsheets/d/1ETubZaCSLzjhW7tz4nEKr3iFC_IyCdJDduzEpiPnsTY")</f>
        <v>https://docs.google.com/spreadsheets/d/1ETubZaCSLzjhW7tz4nEKr3iFC_IyCdJDduzEpiPnsTY</v>
      </c>
      <c r="C297" s="1" t="str">
        <f t="shared" ref="C297:C300" si="150">HYPERLINK("https://docs.google.com/spreadsheets/d/1ETubZaCSLzjhW7tz4nEKr3iFC_IyCdJDduzEpiPnsTY","Cómo cultivar cannabis a partir de semillas")</f>
        <v>Cómo cultivar cannabis a partir de semillas</v>
      </c>
    </row>
    <row r="298">
      <c r="A298" s="1" t="str">
        <f>HYPERLINK("https://docs.google.com/spreadsheets/d/1ETubZaCSLzjhW7tz4nEKr3iFC_IyCdJDduzEpiPnsTY","como cultivar cannabis")</f>
        <v>como cultivar cannabis</v>
      </c>
      <c r="B298" s="1" t="str">
        <f t="shared" si="149"/>
        <v>https://docs.google.com/spreadsheets/d/1ETubZaCSLzjhW7tz4nEKr3iFC_IyCdJDduzEpiPnsTY</v>
      </c>
      <c r="C298" s="1" t="str">
        <f t="shared" si="150"/>
        <v>Cómo cultivar cannabis a partir de semillas</v>
      </c>
    </row>
    <row r="299">
      <c r="A299" s="1" t="str">
        <f>HYPERLINK("https://docs.google.com/spreadsheets/d/1ETubZaCSLzjhW7tz4nEKr3iFC_IyCdJDduzEpiPnsTY","Cómo cultivar cannabis al aire libre")</f>
        <v>Cómo cultivar cannabis al aire libre</v>
      </c>
      <c r="B299" s="1" t="str">
        <f t="shared" si="149"/>
        <v>https://docs.google.com/spreadsheets/d/1ETubZaCSLzjhW7tz4nEKr3iFC_IyCdJDduzEpiPnsTY</v>
      </c>
      <c r="C299" s="1" t="str">
        <f t="shared" si="150"/>
        <v>Cómo cultivar cannabis a partir de semillas</v>
      </c>
    </row>
    <row r="300">
      <c r="A300" s="1" t="str">
        <f>HYPERLINK("https://docs.google.com/spreadsheets/d/1ETubZaCSLzjhW7tz4nEKr3iFC_IyCdJDduzEpiPnsTY","cuánto tiempo lleva cultivar cannabis")</f>
        <v>cuánto tiempo lleva cultivar cannabis</v>
      </c>
      <c r="B300" s="1" t="str">
        <f t="shared" si="149"/>
        <v>https://docs.google.com/spreadsheets/d/1ETubZaCSLzjhW7tz4nEKr3iFC_IyCdJDduzEpiPnsTY</v>
      </c>
      <c r="C300" s="1" t="str">
        <f t="shared" si="150"/>
        <v>Cómo cultivar cannabis a partir de semillas</v>
      </c>
    </row>
    <row r="301">
      <c r="A301" s="1" t="str">
        <f>HYPERLINK("https://drive.google.com/drive/folders/1u2goSXi-LHi-87MGQrLN7rnhVWxAIMyw","Cómo cultivar cannabis en interiores")</f>
        <v>Cómo cultivar cannabis en interiores</v>
      </c>
      <c r="B301" s="1" t="str">
        <f t="shared" ref="B301:B304" si="151">HYPERLINK("https://drive.google.com/drive/folders/1u2goSXi-LHi-87MGQrLN7rnhVWxAIMyw","https://drive.google.com/drive/folders/1u2goSXi-LHi-87MGQrLN7rnhVWxAIMyw")</f>
        <v>https://drive.google.com/drive/folders/1u2goSXi-LHi-87MGQrLN7rnhVWxAIMyw</v>
      </c>
      <c r="C301" s="1" t="str">
        <f t="shared" ref="C301:C304" si="152">HYPERLINK("https://drive.google.com/drive/folders/1u2goSXi-LHi-87MGQrLN7rnhVWxAIMyw","Cómo cultivar cannabis a partir de semillas")</f>
        <v>Cómo cultivar cannabis a partir de semillas</v>
      </c>
    </row>
    <row r="302">
      <c r="A302" s="1" t="str">
        <f>HYPERLINK("https://drive.google.com/drive/folders/1u2goSXi-LHi-87MGQrLN7rnhVWxAIMyw","como cultivar cannabis")</f>
        <v>como cultivar cannabis</v>
      </c>
      <c r="B302" s="1" t="str">
        <f t="shared" si="151"/>
        <v>https://drive.google.com/drive/folders/1u2goSXi-LHi-87MGQrLN7rnhVWxAIMyw</v>
      </c>
      <c r="C302" s="1" t="str">
        <f t="shared" si="152"/>
        <v>Cómo cultivar cannabis a partir de semillas</v>
      </c>
    </row>
    <row r="303">
      <c r="A303" s="1" t="str">
        <f>HYPERLINK("https://drive.google.com/drive/folders/1u2goSXi-LHi-87MGQrLN7rnhVWxAIMyw","Cómo cultivar cannabis al aire libre")</f>
        <v>Cómo cultivar cannabis al aire libre</v>
      </c>
      <c r="B303" s="1" t="str">
        <f t="shared" si="151"/>
        <v>https://drive.google.com/drive/folders/1u2goSXi-LHi-87MGQrLN7rnhVWxAIMyw</v>
      </c>
      <c r="C303" s="1" t="str">
        <f t="shared" si="152"/>
        <v>Cómo cultivar cannabis a partir de semillas</v>
      </c>
    </row>
    <row r="304">
      <c r="A304" s="1" t="str">
        <f>HYPERLINK("https://drive.google.com/drive/folders/1u2goSXi-LHi-87MGQrLN7rnhVWxAIMyw","cuánto tiempo lleva cultivar cannabis")</f>
        <v>cuánto tiempo lleva cultivar cannabis</v>
      </c>
      <c r="B304" s="1" t="str">
        <f t="shared" si="151"/>
        <v>https://drive.google.com/drive/folders/1u2goSXi-LHi-87MGQrLN7rnhVWxAIMyw</v>
      </c>
      <c r="C304" s="1" t="str">
        <f t="shared" si="152"/>
        <v>Cómo cultivar cannabis a partir de semillas</v>
      </c>
    </row>
    <row r="305">
      <c r="A305" s="1" t="str">
        <f>HYPERLINK("https://drive.google.com/drive/folders/1N8YGDHxXeLqGllpAV5zjJkb-lGunhNiw","Cómo cultivar cannabis en interiores")</f>
        <v>Cómo cultivar cannabis en interiores</v>
      </c>
      <c r="B305" s="1" t="str">
        <f t="shared" ref="B305:B308" si="153">HYPERLINK("https://drive.google.com/drive/folders/1N8YGDHxXeLqGllpAV5zjJkb-lGunhNiw","https://drive.google.com/drive/folders/1N8YGDHxXeLqGllpAV5zjJkb-lGunhNiw")</f>
        <v>https://drive.google.com/drive/folders/1N8YGDHxXeLqGllpAV5zjJkb-lGunhNiw</v>
      </c>
      <c r="C305" s="1" t="str">
        <f t="shared" ref="C305:C308" si="154">HYPERLINK("https://drive.google.com/drive/folders/1N8YGDHxXeLqGllpAV5zjJkb-lGunhNiw","Cómo cultivar cannabis a partir de semillas")</f>
        <v>Cómo cultivar cannabis a partir de semillas</v>
      </c>
    </row>
    <row r="306">
      <c r="A306" s="1" t="str">
        <f>HYPERLINK("https://drive.google.com/drive/folders/1N8YGDHxXeLqGllpAV5zjJkb-lGunhNiw","como cultivar cannabis")</f>
        <v>como cultivar cannabis</v>
      </c>
      <c r="B306" s="1" t="str">
        <f t="shared" si="153"/>
        <v>https://drive.google.com/drive/folders/1N8YGDHxXeLqGllpAV5zjJkb-lGunhNiw</v>
      </c>
      <c r="C306" s="1" t="str">
        <f t="shared" si="154"/>
        <v>Cómo cultivar cannabis a partir de semillas</v>
      </c>
    </row>
    <row r="307">
      <c r="A307" s="1" t="str">
        <f>HYPERLINK("https://drive.google.com/drive/folders/1N8YGDHxXeLqGllpAV5zjJkb-lGunhNiw","Cómo cultivar cannabis al aire libre")</f>
        <v>Cómo cultivar cannabis al aire libre</v>
      </c>
      <c r="B307" s="1" t="str">
        <f t="shared" si="153"/>
        <v>https://drive.google.com/drive/folders/1N8YGDHxXeLqGllpAV5zjJkb-lGunhNiw</v>
      </c>
      <c r="C307" s="1" t="str">
        <f t="shared" si="154"/>
        <v>Cómo cultivar cannabis a partir de semillas</v>
      </c>
    </row>
    <row r="308">
      <c r="A308" s="1" t="str">
        <f>HYPERLINK("https://drive.google.com/drive/folders/1N8YGDHxXeLqGllpAV5zjJkb-lGunhNiw","cuánto tiempo lleva cultivar cannabis")</f>
        <v>cuánto tiempo lleva cultivar cannabis</v>
      </c>
      <c r="B308" s="1" t="str">
        <f t="shared" si="153"/>
        <v>https://drive.google.com/drive/folders/1N8YGDHxXeLqGllpAV5zjJkb-lGunhNiw</v>
      </c>
      <c r="C308" s="1" t="str">
        <f t="shared" si="154"/>
        <v>Cómo cultivar cannabis a partir de semillas</v>
      </c>
    </row>
    <row r="309">
      <c r="A309" s="1" t="str">
        <f>HYPERLINK("https://drive.google.com/drive/folders/1hnfCxX_hQ7g3wFrUizq2ca4dmrDIV-Tc","Cómo cultivar cannabis en interiores")</f>
        <v>Cómo cultivar cannabis en interiores</v>
      </c>
      <c r="B309" s="1" t="str">
        <f t="shared" ref="B309:B312" si="155">HYPERLINK("https://drive.google.com/drive/folders/1hnfCxX_hQ7g3wFrUizq2ca4dmrDIV-Tc","https://drive.google.com/drive/folders/1hnfCxX_hQ7g3wFrUizq2ca4dmrDIV-Tc")</f>
        <v>https://drive.google.com/drive/folders/1hnfCxX_hQ7g3wFrUizq2ca4dmrDIV-Tc</v>
      </c>
      <c r="C309" s="1" t="str">
        <f t="shared" ref="C309:C312" si="156">HYPERLINK("https://drive.google.com/drive/folders/1hnfCxX_hQ7g3wFrUizq2ca4dmrDIV-Tc","Cómo cultivar cannabis a partir de semillas")</f>
        <v>Cómo cultivar cannabis a partir de semillas</v>
      </c>
    </row>
    <row r="310">
      <c r="A310" s="1" t="str">
        <f>HYPERLINK("https://drive.google.com/drive/folders/1hnfCxX_hQ7g3wFrUizq2ca4dmrDIV-Tc","como cultivar cannabis")</f>
        <v>como cultivar cannabis</v>
      </c>
      <c r="B310" s="1" t="str">
        <f t="shared" si="155"/>
        <v>https://drive.google.com/drive/folders/1hnfCxX_hQ7g3wFrUizq2ca4dmrDIV-Tc</v>
      </c>
      <c r="C310" s="1" t="str">
        <f t="shared" si="156"/>
        <v>Cómo cultivar cannabis a partir de semillas</v>
      </c>
    </row>
    <row r="311">
      <c r="A311" s="1" t="str">
        <f>HYPERLINK("https://drive.google.com/drive/folders/1hnfCxX_hQ7g3wFrUizq2ca4dmrDIV-Tc","Cómo cultivar cannabis al aire libre")</f>
        <v>Cómo cultivar cannabis al aire libre</v>
      </c>
      <c r="B311" s="1" t="str">
        <f t="shared" si="155"/>
        <v>https://drive.google.com/drive/folders/1hnfCxX_hQ7g3wFrUizq2ca4dmrDIV-Tc</v>
      </c>
      <c r="C311" s="1" t="str">
        <f t="shared" si="156"/>
        <v>Cómo cultivar cannabis a partir de semillas</v>
      </c>
    </row>
    <row r="312">
      <c r="A312" s="1" t="str">
        <f>HYPERLINK("https://drive.google.com/drive/folders/1hnfCxX_hQ7g3wFrUizq2ca4dmrDIV-Tc","cuánto tiempo lleva cultivar cannabis")</f>
        <v>cuánto tiempo lleva cultivar cannabis</v>
      </c>
      <c r="B312" s="1" t="str">
        <f t="shared" si="155"/>
        <v>https://drive.google.com/drive/folders/1hnfCxX_hQ7g3wFrUizq2ca4dmrDIV-Tc</v>
      </c>
      <c r="C312" s="1" t="str">
        <f t="shared" si="156"/>
        <v>Cómo cultivar cannabis a partir de semillas</v>
      </c>
    </row>
    <row r="313">
      <c r="A313" s="1" t="str">
        <f>HYPERLINK("https://drive.google.com/drive/folders/1qLhxESwv46amgXTBaR1kTB8J8dmTwDbN","Cómo cultivar cannabis en interiores")</f>
        <v>Cómo cultivar cannabis en interiores</v>
      </c>
      <c r="B313" s="1" t="str">
        <f t="shared" ref="B313:B316" si="157">HYPERLINK("https://drive.google.com/drive/folders/1qLhxESwv46amgXTBaR1kTB8J8dmTwDbN","https://drive.google.com/drive/folders/1qLhxESwv46amgXTBaR1kTB8J8dmTwDbN")</f>
        <v>https://drive.google.com/drive/folders/1qLhxESwv46amgXTBaR1kTB8J8dmTwDbN</v>
      </c>
      <c r="C313" s="1" t="str">
        <f t="shared" ref="C313:C316" si="158">HYPERLINK("https://drive.google.com/drive/folders/1qLhxESwv46amgXTBaR1kTB8J8dmTwDbN","Cómo cultivar cannabis a partir de semillas")</f>
        <v>Cómo cultivar cannabis a partir de semillas</v>
      </c>
    </row>
    <row r="314">
      <c r="A314" s="1" t="str">
        <f>HYPERLINK("https://drive.google.com/drive/folders/1qLhxESwv46amgXTBaR1kTB8J8dmTwDbN","como cultivar cannabis")</f>
        <v>como cultivar cannabis</v>
      </c>
      <c r="B314" s="1" t="str">
        <f t="shared" si="157"/>
        <v>https://drive.google.com/drive/folders/1qLhxESwv46amgXTBaR1kTB8J8dmTwDbN</v>
      </c>
      <c r="C314" s="1" t="str">
        <f t="shared" si="158"/>
        <v>Cómo cultivar cannabis a partir de semillas</v>
      </c>
    </row>
    <row r="315">
      <c r="A315" s="1" t="str">
        <f>HYPERLINK("https://drive.google.com/drive/folders/1qLhxESwv46amgXTBaR1kTB8J8dmTwDbN","Cómo cultivar cannabis al aire libre")</f>
        <v>Cómo cultivar cannabis al aire libre</v>
      </c>
      <c r="B315" s="1" t="str">
        <f t="shared" si="157"/>
        <v>https://drive.google.com/drive/folders/1qLhxESwv46amgXTBaR1kTB8J8dmTwDbN</v>
      </c>
      <c r="C315" s="1" t="str">
        <f t="shared" si="158"/>
        <v>Cómo cultivar cannabis a partir de semillas</v>
      </c>
    </row>
    <row r="316">
      <c r="A316" s="1" t="str">
        <f>HYPERLINK("https://drive.google.com/drive/folders/1qLhxESwv46amgXTBaR1kTB8J8dmTwDbN","cuánto tiempo lleva cultivar cannabis")</f>
        <v>cuánto tiempo lleva cultivar cannabis</v>
      </c>
      <c r="B316" s="1" t="str">
        <f t="shared" si="157"/>
        <v>https://drive.google.com/drive/folders/1qLhxESwv46amgXTBaR1kTB8J8dmTwDbN</v>
      </c>
      <c r="C316" s="1" t="str">
        <f t="shared" si="158"/>
        <v>Cómo cultivar cannabis a partir de semillas</v>
      </c>
    </row>
    <row r="317">
      <c r="A317" s="1" t="str">
        <f>HYPERLINK("https://drive.google.com/drive/folders/1jDYAS_cL0edhnyWBWKcdHQG1EeHUXB5K","Cómo cultivar cannabis en interiores")</f>
        <v>Cómo cultivar cannabis en interiores</v>
      </c>
      <c r="B317" s="1" t="str">
        <f t="shared" ref="B317:B320" si="159">HYPERLINK("https://drive.google.com/drive/folders/1jDYAS_cL0edhnyWBWKcdHQG1EeHUXB5K","https://drive.google.com/drive/folders/1jDYAS_cL0edhnyWBWKcdHQG1EeHUXB5K")</f>
        <v>https://drive.google.com/drive/folders/1jDYAS_cL0edhnyWBWKcdHQG1EeHUXB5K</v>
      </c>
      <c r="C317" s="1" t="str">
        <f t="shared" ref="C317:C320" si="160">HYPERLINK("https://drive.google.com/drive/folders/1jDYAS_cL0edhnyWBWKcdHQG1EeHUXB5K","Cómo cultivar cannabis a partir de semillas")</f>
        <v>Cómo cultivar cannabis a partir de semillas</v>
      </c>
    </row>
    <row r="318">
      <c r="A318" s="1" t="str">
        <f>HYPERLINK("https://drive.google.com/drive/folders/1jDYAS_cL0edhnyWBWKcdHQG1EeHUXB5K","como cultivar cannabis")</f>
        <v>como cultivar cannabis</v>
      </c>
      <c r="B318" s="1" t="str">
        <f t="shared" si="159"/>
        <v>https://drive.google.com/drive/folders/1jDYAS_cL0edhnyWBWKcdHQG1EeHUXB5K</v>
      </c>
      <c r="C318" s="1" t="str">
        <f t="shared" si="160"/>
        <v>Cómo cultivar cannabis a partir de semillas</v>
      </c>
    </row>
    <row r="319">
      <c r="A319" s="1" t="str">
        <f>HYPERLINK("https://drive.google.com/drive/folders/1jDYAS_cL0edhnyWBWKcdHQG1EeHUXB5K","Cómo cultivar cannabis al aire libre")</f>
        <v>Cómo cultivar cannabis al aire libre</v>
      </c>
      <c r="B319" s="1" t="str">
        <f t="shared" si="159"/>
        <v>https://drive.google.com/drive/folders/1jDYAS_cL0edhnyWBWKcdHQG1EeHUXB5K</v>
      </c>
      <c r="C319" s="1" t="str">
        <f t="shared" si="160"/>
        <v>Cómo cultivar cannabis a partir de semillas</v>
      </c>
    </row>
    <row r="320">
      <c r="A320" s="1" t="str">
        <f>HYPERLINK("https://drive.google.com/drive/folders/1jDYAS_cL0edhnyWBWKcdHQG1EeHUXB5K","cuánto tiempo lleva cultivar cannabis")</f>
        <v>cuánto tiempo lleva cultivar cannabis</v>
      </c>
      <c r="B320" s="1" t="str">
        <f t="shared" si="159"/>
        <v>https://drive.google.com/drive/folders/1jDYAS_cL0edhnyWBWKcdHQG1EeHUXB5K</v>
      </c>
      <c r="C320" s="1" t="str">
        <f t="shared" si="160"/>
        <v>Cómo cultivar cannabis a partir de semillas</v>
      </c>
    </row>
    <row r="321">
      <c r="A321" s="1" t="str">
        <f>HYPERLINK("https://docs.google.com/spreadsheets/d/17BKj86mdhpnXMi-zM6KV-LaM7ZpTym07IgwPY9efQXg","Cómo cultivar cannabis en interiores")</f>
        <v>Cómo cultivar cannabis en interiores</v>
      </c>
      <c r="B321" s="1" t="str">
        <f t="shared" ref="B321:B324" si="161">HYPERLINK("https://docs.google.com/spreadsheets/d/17BKj86mdhpnXMi-zM6KV-LaM7ZpTym07IgwPY9efQXg","https://docs.google.com/spreadsheets/d/17BKj86mdhpnXMi-zM6KV-LaM7ZpTym07IgwPY9efQXg")</f>
        <v>https://docs.google.com/spreadsheets/d/17BKj86mdhpnXMi-zM6KV-LaM7ZpTym07IgwPY9efQXg</v>
      </c>
      <c r="C321" s="1" t="str">
        <f t="shared" ref="C321:C324" si="162">HYPERLINK("https://docs.google.com/spreadsheets/d/17BKj86mdhpnXMi-zM6KV-LaM7ZpTym07IgwPY9efQXg","Cómo cultivar cannabis a partir de semillas")</f>
        <v>Cómo cultivar cannabis a partir de semillas</v>
      </c>
    </row>
    <row r="322">
      <c r="A322" s="1" t="str">
        <f>HYPERLINK("https://docs.google.com/spreadsheets/d/17BKj86mdhpnXMi-zM6KV-LaM7ZpTym07IgwPY9efQXg","como cultivar cannabis")</f>
        <v>como cultivar cannabis</v>
      </c>
      <c r="B322" s="1" t="str">
        <f t="shared" si="161"/>
        <v>https://docs.google.com/spreadsheets/d/17BKj86mdhpnXMi-zM6KV-LaM7ZpTym07IgwPY9efQXg</v>
      </c>
      <c r="C322" s="1" t="str">
        <f t="shared" si="162"/>
        <v>Cómo cultivar cannabis a partir de semillas</v>
      </c>
    </row>
    <row r="323">
      <c r="A323" s="1" t="str">
        <f>HYPERLINK("https://docs.google.com/spreadsheets/d/17BKj86mdhpnXMi-zM6KV-LaM7ZpTym07IgwPY9efQXg","Cómo cultivar cannabis al aire libre")</f>
        <v>Cómo cultivar cannabis al aire libre</v>
      </c>
      <c r="B323" s="1" t="str">
        <f t="shared" si="161"/>
        <v>https://docs.google.com/spreadsheets/d/17BKj86mdhpnXMi-zM6KV-LaM7ZpTym07IgwPY9efQXg</v>
      </c>
      <c r="C323" s="1" t="str">
        <f t="shared" si="162"/>
        <v>Cómo cultivar cannabis a partir de semillas</v>
      </c>
    </row>
    <row r="324">
      <c r="A324" s="1" t="str">
        <f>HYPERLINK("https://docs.google.com/spreadsheets/d/17BKj86mdhpnXMi-zM6KV-LaM7ZpTym07IgwPY9efQXg","cuánto tiempo lleva cultivar cannabis")</f>
        <v>cuánto tiempo lleva cultivar cannabis</v>
      </c>
      <c r="B324" s="1" t="str">
        <f t="shared" si="161"/>
        <v>https://docs.google.com/spreadsheets/d/17BKj86mdhpnXMi-zM6KV-LaM7ZpTym07IgwPY9efQXg</v>
      </c>
      <c r="C324" s="1" t="str">
        <f t="shared" si="162"/>
        <v>Cómo cultivar cannabis a partir de semillas</v>
      </c>
    </row>
    <row r="325">
      <c r="A325" s="1" t="str">
        <f>HYPERLINK("https://docs.google.com/spreadsheets/d/1i_xgiutRWYlN_j6PkGzCSdefhANejPRhfDd2yikLojY","Cómo cultivar cannabis en interiores")</f>
        <v>Cómo cultivar cannabis en interiores</v>
      </c>
      <c r="B325" s="1" t="str">
        <f t="shared" ref="B325:B328" si="163">HYPERLINK("https://docs.google.com/spreadsheets/d/1i_xgiutRWYlN_j6PkGzCSdefhANejPRhfDd2yikLojY","https://docs.google.com/spreadsheets/d/1i_xgiutRWYlN_j6PkGzCSdefhANejPRhfDd2yikLojY")</f>
        <v>https://docs.google.com/spreadsheets/d/1i_xgiutRWYlN_j6PkGzCSdefhANejPRhfDd2yikLojY</v>
      </c>
      <c r="C325" s="1" t="str">
        <f t="shared" ref="C325:C328" si="164">HYPERLINK("https://docs.google.com/spreadsheets/d/1i_xgiutRWYlN_j6PkGzCSdefhANejPRhfDd2yikLojY","Cómo cultivar cannabis a partir de semillas")</f>
        <v>Cómo cultivar cannabis a partir de semillas</v>
      </c>
    </row>
    <row r="326">
      <c r="A326" s="1" t="str">
        <f>HYPERLINK("https://docs.google.com/spreadsheets/d/1i_xgiutRWYlN_j6PkGzCSdefhANejPRhfDd2yikLojY","como cultivar cannabis")</f>
        <v>como cultivar cannabis</v>
      </c>
      <c r="B326" s="1" t="str">
        <f t="shared" si="163"/>
        <v>https://docs.google.com/spreadsheets/d/1i_xgiutRWYlN_j6PkGzCSdefhANejPRhfDd2yikLojY</v>
      </c>
      <c r="C326" s="1" t="str">
        <f t="shared" si="164"/>
        <v>Cómo cultivar cannabis a partir de semillas</v>
      </c>
    </row>
    <row r="327">
      <c r="A327" s="1" t="str">
        <f>HYPERLINK("https://docs.google.com/spreadsheets/d/1i_xgiutRWYlN_j6PkGzCSdefhANejPRhfDd2yikLojY","Cómo cultivar cannabis al aire libre")</f>
        <v>Cómo cultivar cannabis al aire libre</v>
      </c>
      <c r="B327" s="1" t="str">
        <f t="shared" si="163"/>
        <v>https://docs.google.com/spreadsheets/d/1i_xgiutRWYlN_j6PkGzCSdefhANejPRhfDd2yikLojY</v>
      </c>
      <c r="C327" s="1" t="str">
        <f t="shared" si="164"/>
        <v>Cómo cultivar cannabis a partir de semillas</v>
      </c>
    </row>
    <row r="328">
      <c r="A328" s="1" t="str">
        <f>HYPERLINK("https://docs.google.com/spreadsheets/d/1i_xgiutRWYlN_j6PkGzCSdefhANejPRhfDd2yikLojY","cuánto tiempo lleva cultivar cannabis")</f>
        <v>cuánto tiempo lleva cultivar cannabis</v>
      </c>
      <c r="B328" s="1" t="str">
        <f t="shared" si="163"/>
        <v>https://docs.google.com/spreadsheets/d/1i_xgiutRWYlN_j6PkGzCSdefhANejPRhfDd2yikLojY</v>
      </c>
      <c r="C328" s="1" t="str">
        <f t="shared" si="164"/>
        <v>Cómo cultivar cannabis a partir de semillas</v>
      </c>
    </row>
    <row r="329">
      <c r="A329" s="1" t="str">
        <f>HYPERLINK("https://drive.google.com/drive/folders/1n_ZfdxWNss7t87-FB_6puLABH_H7olOh","Cómo cultivar cannabis en interiores")</f>
        <v>Cómo cultivar cannabis en interiores</v>
      </c>
      <c r="B329" s="1" t="str">
        <f t="shared" ref="B329:B332" si="165">HYPERLINK("https://drive.google.com/drive/folders/1n_ZfdxWNss7t87-FB_6puLABH_H7olOh","https://drive.google.com/drive/folders/1n_ZfdxWNss7t87-FB_6puLABH_H7olOh")</f>
        <v>https://drive.google.com/drive/folders/1n_ZfdxWNss7t87-FB_6puLABH_H7olOh</v>
      </c>
      <c r="C329" s="1" t="str">
        <f t="shared" ref="C329:C332" si="166">HYPERLINK("https://drive.google.com/drive/folders/1n_ZfdxWNss7t87-FB_6puLABH_H7olOh","Cómo cultivar cannabis a partir de semillas")</f>
        <v>Cómo cultivar cannabis a partir de semillas</v>
      </c>
    </row>
    <row r="330">
      <c r="A330" s="1" t="str">
        <f>HYPERLINK("https://drive.google.com/drive/folders/1n_ZfdxWNss7t87-FB_6puLABH_H7olOh","como cultivar cannabis")</f>
        <v>como cultivar cannabis</v>
      </c>
      <c r="B330" s="1" t="str">
        <f t="shared" si="165"/>
        <v>https://drive.google.com/drive/folders/1n_ZfdxWNss7t87-FB_6puLABH_H7olOh</v>
      </c>
      <c r="C330" s="1" t="str">
        <f t="shared" si="166"/>
        <v>Cómo cultivar cannabis a partir de semillas</v>
      </c>
    </row>
    <row r="331">
      <c r="A331" s="1" t="str">
        <f>HYPERLINK("https://drive.google.com/drive/folders/1n_ZfdxWNss7t87-FB_6puLABH_H7olOh","Cómo cultivar cannabis al aire libre")</f>
        <v>Cómo cultivar cannabis al aire libre</v>
      </c>
      <c r="B331" s="1" t="str">
        <f t="shared" si="165"/>
        <v>https://drive.google.com/drive/folders/1n_ZfdxWNss7t87-FB_6puLABH_H7olOh</v>
      </c>
      <c r="C331" s="1" t="str">
        <f t="shared" si="166"/>
        <v>Cómo cultivar cannabis a partir de semillas</v>
      </c>
    </row>
    <row r="332">
      <c r="A332" s="1" t="str">
        <f>HYPERLINK("https://drive.google.com/drive/folders/1n_ZfdxWNss7t87-FB_6puLABH_H7olOh","cuánto tiempo lleva cultivar cannabis")</f>
        <v>cuánto tiempo lleva cultivar cannabis</v>
      </c>
      <c r="B332" s="1" t="str">
        <f t="shared" si="165"/>
        <v>https://drive.google.com/drive/folders/1n_ZfdxWNss7t87-FB_6puLABH_H7olOh</v>
      </c>
      <c r="C332" s="1" t="str">
        <f t="shared" si="166"/>
        <v>Cómo cultivar cannabis a partir de semillas</v>
      </c>
    </row>
    <row r="333">
      <c r="A333" s="1" t="str">
        <f>HYPERLINK("https://drive.google.com/drive/folders/1gekeJUqR5k6CS6FjaeQLJpIbi8czc_Vu","Cómo cultivar cannabis en interiores")</f>
        <v>Cómo cultivar cannabis en interiores</v>
      </c>
      <c r="B333" s="1" t="str">
        <f t="shared" ref="B333:B336" si="167">HYPERLINK("https://drive.google.com/drive/folders/1gekeJUqR5k6CS6FjaeQLJpIbi8czc_Vu","https://drive.google.com/drive/folders/1gekeJUqR5k6CS6FjaeQLJpIbi8czc_Vu")</f>
        <v>https://drive.google.com/drive/folders/1gekeJUqR5k6CS6FjaeQLJpIbi8czc_Vu</v>
      </c>
      <c r="C333" s="1" t="str">
        <f t="shared" ref="C333:C336" si="168">HYPERLINK("https://drive.google.com/drive/folders/1gekeJUqR5k6CS6FjaeQLJpIbi8czc_Vu","Cómo cultivar cannabis a partir de semillas")</f>
        <v>Cómo cultivar cannabis a partir de semillas</v>
      </c>
    </row>
    <row r="334">
      <c r="A334" s="1" t="str">
        <f>HYPERLINK("https://drive.google.com/drive/folders/1gekeJUqR5k6CS6FjaeQLJpIbi8czc_Vu","como cultivar cannabis")</f>
        <v>como cultivar cannabis</v>
      </c>
      <c r="B334" s="1" t="str">
        <f t="shared" si="167"/>
        <v>https://drive.google.com/drive/folders/1gekeJUqR5k6CS6FjaeQLJpIbi8czc_Vu</v>
      </c>
      <c r="C334" s="1" t="str">
        <f t="shared" si="168"/>
        <v>Cómo cultivar cannabis a partir de semillas</v>
      </c>
    </row>
    <row r="335">
      <c r="A335" s="1" t="str">
        <f>HYPERLINK("https://drive.google.com/drive/folders/1gekeJUqR5k6CS6FjaeQLJpIbi8czc_Vu","Cómo cultivar cannabis al aire libre")</f>
        <v>Cómo cultivar cannabis al aire libre</v>
      </c>
      <c r="B335" s="1" t="str">
        <f t="shared" si="167"/>
        <v>https://drive.google.com/drive/folders/1gekeJUqR5k6CS6FjaeQLJpIbi8czc_Vu</v>
      </c>
      <c r="C335" s="1" t="str">
        <f t="shared" si="168"/>
        <v>Cómo cultivar cannabis a partir de semillas</v>
      </c>
    </row>
    <row r="336">
      <c r="A336" s="1" t="str">
        <f>HYPERLINK("https://drive.google.com/drive/folders/1gekeJUqR5k6CS6FjaeQLJpIbi8czc_Vu","cuánto tiempo lleva cultivar cannabis")</f>
        <v>cuánto tiempo lleva cultivar cannabis</v>
      </c>
      <c r="B336" s="1" t="str">
        <f t="shared" si="167"/>
        <v>https://drive.google.com/drive/folders/1gekeJUqR5k6CS6FjaeQLJpIbi8czc_Vu</v>
      </c>
      <c r="C336" s="1" t="str">
        <f t="shared" si="168"/>
        <v>Cómo cultivar cannabis a partir de semillas</v>
      </c>
    </row>
    <row r="337">
      <c r="A337" s="1" t="str">
        <f>HYPERLINK("https://docs.google.com/spreadsheets/d/1Bl4SDLibosPPJupCRGlgkk7p2S0Wv0l9iM9xf8cwvn4","Cómo cultivar cannabis en interiores")</f>
        <v>Cómo cultivar cannabis en interiores</v>
      </c>
      <c r="B337" s="1" t="str">
        <f t="shared" ref="B337:B340" si="169">HYPERLINK("https://docs.google.com/spreadsheets/d/1Bl4SDLibosPPJupCRGlgkk7p2S0Wv0l9iM9xf8cwvn4","https://docs.google.com/spreadsheets/d/1Bl4SDLibosPPJupCRGlgkk7p2S0Wv0l9iM9xf8cwvn4")</f>
        <v>https://docs.google.com/spreadsheets/d/1Bl4SDLibosPPJupCRGlgkk7p2S0Wv0l9iM9xf8cwvn4</v>
      </c>
      <c r="C337" s="1" t="str">
        <f t="shared" ref="C337:C340" si="170">HYPERLINK("https://docs.google.com/spreadsheets/d/1Bl4SDLibosPPJupCRGlgkk7p2S0Wv0l9iM9xf8cwvn4","Cómo cultivar cannabis a partir de semillas")</f>
        <v>Cómo cultivar cannabis a partir de semillas</v>
      </c>
    </row>
    <row r="338">
      <c r="A338" s="1" t="str">
        <f>HYPERLINK("https://docs.google.com/spreadsheets/d/1Bl4SDLibosPPJupCRGlgkk7p2S0Wv0l9iM9xf8cwvn4","como cultivar cannabis")</f>
        <v>como cultivar cannabis</v>
      </c>
      <c r="B338" s="1" t="str">
        <f t="shared" si="169"/>
        <v>https://docs.google.com/spreadsheets/d/1Bl4SDLibosPPJupCRGlgkk7p2S0Wv0l9iM9xf8cwvn4</v>
      </c>
      <c r="C338" s="1" t="str">
        <f t="shared" si="170"/>
        <v>Cómo cultivar cannabis a partir de semillas</v>
      </c>
    </row>
    <row r="339">
      <c r="A339" s="1" t="str">
        <f>HYPERLINK("https://docs.google.com/spreadsheets/d/1Bl4SDLibosPPJupCRGlgkk7p2S0Wv0l9iM9xf8cwvn4","Cómo cultivar cannabis al aire libre")</f>
        <v>Cómo cultivar cannabis al aire libre</v>
      </c>
      <c r="B339" s="1" t="str">
        <f t="shared" si="169"/>
        <v>https://docs.google.com/spreadsheets/d/1Bl4SDLibosPPJupCRGlgkk7p2S0Wv0l9iM9xf8cwvn4</v>
      </c>
      <c r="C339" s="1" t="str">
        <f t="shared" si="170"/>
        <v>Cómo cultivar cannabis a partir de semillas</v>
      </c>
    </row>
    <row r="340">
      <c r="A340" s="1" t="str">
        <f>HYPERLINK("https://docs.google.com/spreadsheets/d/1Bl4SDLibosPPJupCRGlgkk7p2S0Wv0l9iM9xf8cwvn4","cuánto tiempo lleva cultivar cannabis")</f>
        <v>cuánto tiempo lleva cultivar cannabis</v>
      </c>
      <c r="B340" s="1" t="str">
        <f t="shared" si="169"/>
        <v>https://docs.google.com/spreadsheets/d/1Bl4SDLibosPPJupCRGlgkk7p2S0Wv0l9iM9xf8cwvn4</v>
      </c>
      <c r="C340" s="1" t="str">
        <f t="shared" si="170"/>
        <v>Cómo cultivar cannabis a partir de semillas</v>
      </c>
    </row>
    <row r="341">
      <c r="A341" s="1" t="str">
        <f>HYPERLINK("https://drive.google.com/drive/folders/14EnhcA1uFewyjvvxeW5UEEb90wyMpxgr","Cómo cultivar cannabis en interiores")</f>
        <v>Cómo cultivar cannabis en interiores</v>
      </c>
      <c r="B341" s="1" t="str">
        <f t="shared" ref="B341:B344" si="171">HYPERLINK("https://drive.google.com/drive/folders/14EnhcA1uFewyjvvxeW5UEEb90wyMpxgr","https://drive.google.com/drive/folders/14EnhcA1uFewyjvvxeW5UEEb90wyMpxgr")</f>
        <v>https://drive.google.com/drive/folders/14EnhcA1uFewyjvvxeW5UEEb90wyMpxgr</v>
      </c>
      <c r="C341" s="1" t="str">
        <f t="shared" ref="C341:C344" si="172">HYPERLINK("https://drive.google.com/drive/folders/14EnhcA1uFewyjvvxeW5UEEb90wyMpxgr","Cómo cultivar cannabis a partir de semillas")</f>
        <v>Cómo cultivar cannabis a partir de semillas</v>
      </c>
    </row>
    <row r="342">
      <c r="A342" s="1" t="str">
        <f>HYPERLINK("https://drive.google.com/drive/folders/14EnhcA1uFewyjvvxeW5UEEb90wyMpxgr","como cultivar cannabis")</f>
        <v>como cultivar cannabis</v>
      </c>
      <c r="B342" s="1" t="str">
        <f t="shared" si="171"/>
        <v>https://drive.google.com/drive/folders/14EnhcA1uFewyjvvxeW5UEEb90wyMpxgr</v>
      </c>
      <c r="C342" s="1" t="str">
        <f t="shared" si="172"/>
        <v>Cómo cultivar cannabis a partir de semillas</v>
      </c>
    </row>
    <row r="343">
      <c r="A343" s="1" t="str">
        <f>HYPERLINK("https://drive.google.com/drive/folders/14EnhcA1uFewyjvvxeW5UEEb90wyMpxgr","Cómo cultivar cannabis al aire libre")</f>
        <v>Cómo cultivar cannabis al aire libre</v>
      </c>
      <c r="B343" s="1" t="str">
        <f t="shared" si="171"/>
        <v>https://drive.google.com/drive/folders/14EnhcA1uFewyjvvxeW5UEEb90wyMpxgr</v>
      </c>
      <c r="C343" s="1" t="str">
        <f t="shared" si="172"/>
        <v>Cómo cultivar cannabis a partir de semillas</v>
      </c>
    </row>
    <row r="344">
      <c r="A344" s="1" t="str">
        <f>HYPERLINK("https://drive.google.com/drive/folders/14EnhcA1uFewyjvvxeW5UEEb90wyMpxgr","cuánto tiempo lleva cultivar cannabis")</f>
        <v>cuánto tiempo lleva cultivar cannabis</v>
      </c>
      <c r="B344" s="1" t="str">
        <f t="shared" si="171"/>
        <v>https://drive.google.com/drive/folders/14EnhcA1uFewyjvvxeW5UEEb90wyMpxgr</v>
      </c>
      <c r="C344" s="1" t="str">
        <f t="shared" si="172"/>
        <v>Cómo cultivar cannabis a partir de semillas</v>
      </c>
    </row>
    <row r="345">
      <c r="A345" s="1" t="str">
        <f>HYPERLINK("https://drive.google.com/drive/folders/18IgfS03vX29s07cweQRKyt_SZbFutMfJ","Cómo cultivar cannabis en interiores")</f>
        <v>Cómo cultivar cannabis en interiores</v>
      </c>
      <c r="B345" s="1" t="str">
        <f t="shared" ref="B345:B348" si="173">HYPERLINK("https://drive.google.com/drive/folders/18IgfS03vX29s07cweQRKyt_SZbFutMfJ","https://drive.google.com/drive/folders/18IgfS03vX29s07cweQRKyt_SZbFutMfJ")</f>
        <v>https://drive.google.com/drive/folders/18IgfS03vX29s07cweQRKyt_SZbFutMfJ</v>
      </c>
      <c r="C345" s="1" t="str">
        <f t="shared" ref="C345:C348" si="174">HYPERLINK("https://drive.google.com/drive/folders/18IgfS03vX29s07cweQRKyt_SZbFutMfJ","Cómo cultivar cannabis a partir de semillas")</f>
        <v>Cómo cultivar cannabis a partir de semillas</v>
      </c>
    </row>
    <row r="346">
      <c r="A346" s="1" t="str">
        <f>HYPERLINK("https://drive.google.com/drive/folders/18IgfS03vX29s07cweQRKyt_SZbFutMfJ","como cultivar cannabis")</f>
        <v>como cultivar cannabis</v>
      </c>
      <c r="B346" s="1" t="str">
        <f t="shared" si="173"/>
        <v>https://drive.google.com/drive/folders/18IgfS03vX29s07cweQRKyt_SZbFutMfJ</v>
      </c>
      <c r="C346" s="1" t="str">
        <f t="shared" si="174"/>
        <v>Cómo cultivar cannabis a partir de semillas</v>
      </c>
    </row>
    <row r="347">
      <c r="A347" s="1" t="str">
        <f>HYPERLINK("https://drive.google.com/drive/folders/18IgfS03vX29s07cweQRKyt_SZbFutMfJ","Cómo cultivar cannabis al aire libre")</f>
        <v>Cómo cultivar cannabis al aire libre</v>
      </c>
      <c r="B347" s="1" t="str">
        <f t="shared" si="173"/>
        <v>https://drive.google.com/drive/folders/18IgfS03vX29s07cweQRKyt_SZbFutMfJ</v>
      </c>
      <c r="C347" s="1" t="str">
        <f t="shared" si="174"/>
        <v>Cómo cultivar cannabis a partir de semillas</v>
      </c>
    </row>
    <row r="348">
      <c r="A348" s="1" t="str">
        <f>HYPERLINK("https://drive.google.com/drive/folders/18IgfS03vX29s07cweQRKyt_SZbFutMfJ","cuánto tiempo lleva cultivar cannabis")</f>
        <v>cuánto tiempo lleva cultivar cannabis</v>
      </c>
      <c r="B348" s="1" t="str">
        <f t="shared" si="173"/>
        <v>https://drive.google.com/drive/folders/18IgfS03vX29s07cweQRKyt_SZbFutMfJ</v>
      </c>
      <c r="C348" s="1" t="str">
        <f t="shared" si="174"/>
        <v>Cómo cultivar cannabis a partir de semillas</v>
      </c>
    </row>
    <row r="349">
      <c r="A349" s="1" t="str">
        <f>HYPERLINK("https://drive.google.com/drive/folders/1LqAMoKJKd5qEkOgVY96vnLp7dDc_g2d1","Cómo cultivar cannabis en interiores")</f>
        <v>Cómo cultivar cannabis en interiores</v>
      </c>
      <c r="B349" s="1" t="str">
        <f t="shared" ref="B349:B352" si="175">HYPERLINK("https://drive.google.com/drive/folders/1LqAMoKJKd5qEkOgVY96vnLp7dDc_g2d1","https://drive.google.com/drive/folders/1LqAMoKJKd5qEkOgVY96vnLp7dDc_g2d1")</f>
        <v>https://drive.google.com/drive/folders/1LqAMoKJKd5qEkOgVY96vnLp7dDc_g2d1</v>
      </c>
      <c r="C349" s="1" t="str">
        <f t="shared" ref="C349:C352" si="176">HYPERLINK("https://drive.google.com/drive/folders/1LqAMoKJKd5qEkOgVY96vnLp7dDc_g2d1","Cómo cultivar cannabis a partir de semillas")</f>
        <v>Cómo cultivar cannabis a partir de semillas</v>
      </c>
    </row>
    <row r="350">
      <c r="A350" s="1" t="str">
        <f>HYPERLINK("https://drive.google.com/drive/folders/1LqAMoKJKd5qEkOgVY96vnLp7dDc_g2d1","como cultivar cannabis")</f>
        <v>como cultivar cannabis</v>
      </c>
      <c r="B350" s="1" t="str">
        <f t="shared" si="175"/>
        <v>https://drive.google.com/drive/folders/1LqAMoKJKd5qEkOgVY96vnLp7dDc_g2d1</v>
      </c>
      <c r="C350" s="1" t="str">
        <f t="shared" si="176"/>
        <v>Cómo cultivar cannabis a partir de semillas</v>
      </c>
    </row>
    <row r="351">
      <c r="A351" s="1" t="str">
        <f>HYPERLINK("https://drive.google.com/drive/folders/1LqAMoKJKd5qEkOgVY96vnLp7dDc_g2d1","Cómo cultivar cannabis al aire libre")</f>
        <v>Cómo cultivar cannabis al aire libre</v>
      </c>
      <c r="B351" s="1" t="str">
        <f t="shared" si="175"/>
        <v>https://drive.google.com/drive/folders/1LqAMoKJKd5qEkOgVY96vnLp7dDc_g2d1</v>
      </c>
      <c r="C351" s="1" t="str">
        <f t="shared" si="176"/>
        <v>Cómo cultivar cannabis a partir de semillas</v>
      </c>
    </row>
    <row r="352">
      <c r="A352" s="1" t="str">
        <f>HYPERLINK("https://drive.google.com/drive/folders/1LqAMoKJKd5qEkOgVY96vnLp7dDc_g2d1","cuánto tiempo lleva cultivar cannabis")</f>
        <v>cuánto tiempo lleva cultivar cannabis</v>
      </c>
      <c r="B352" s="1" t="str">
        <f t="shared" si="175"/>
        <v>https://drive.google.com/drive/folders/1LqAMoKJKd5qEkOgVY96vnLp7dDc_g2d1</v>
      </c>
      <c r="C352" s="1" t="str">
        <f t="shared" si="176"/>
        <v>Cómo cultivar cannabis a partir de semillas</v>
      </c>
    </row>
    <row r="353">
      <c r="A353" s="1" t="str">
        <f>HYPERLINK("https://drive.google.com/drive/folders/1-6IDdleC8hN6r-LGDe0shRNl_kl0BAMh","Cómo cultivar cannabis en interiores")</f>
        <v>Cómo cultivar cannabis en interiores</v>
      </c>
      <c r="B353" s="1" t="str">
        <f t="shared" ref="B353:B356" si="177">HYPERLINK("https://drive.google.com/drive/folders/1-6IDdleC8hN6r-LGDe0shRNl_kl0BAMh","https://drive.google.com/drive/folders/1-6IDdleC8hN6r-LGDe0shRNl_kl0BAMh")</f>
        <v>https://drive.google.com/drive/folders/1-6IDdleC8hN6r-LGDe0shRNl_kl0BAMh</v>
      </c>
      <c r="C353" s="1" t="str">
        <f t="shared" ref="C353:C356" si="178">HYPERLINK("https://drive.google.com/drive/folders/1-6IDdleC8hN6r-LGDe0shRNl_kl0BAMh","Cómo cultivar cannabis a partir de semillas")</f>
        <v>Cómo cultivar cannabis a partir de semillas</v>
      </c>
    </row>
    <row r="354">
      <c r="A354" s="1" t="str">
        <f>HYPERLINK("https://drive.google.com/drive/folders/1-6IDdleC8hN6r-LGDe0shRNl_kl0BAMh","como cultivar cannabis")</f>
        <v>como cultivar cannabis</v>
      </c>
      <c r="B354" s="1" t="str">
        <f t="shared" si="177"/>
        <v>https://drive.google.com/drive/folders/1-6IDdleC8hN6r-LGDe0shRNl_kl0BAMh</v>
      </c>
      <c r="C354" s="1" t="str">
        <f t="shared" si="178"/>
        <v>Cómo cultivar cannabis a partir de semillas</v>
      </c>
    </row>
    <row r="355">
      <c r="A355" s="1" t="str">
        <f>HYPERLINK("https://drive.google.com/drive/folders/1-6IDdleC8hN6r-LGDe0shRNl_kl0BAMh","Cómo cultivar cannabis al aire libre")</f>
        <v>Cómo cultivar cannabis al aire libre</v>
      </c>
      <c r="B355" s="1" t="str">
        <f t="shared" si="177"/>
        <v>https://drive.google.com/drive/folders/1-6IDdleC8hN6r-LGDe0shRNl_kl0BAMh</v>
      </c>
      <c r="C355" s="1" t="str">
        <f t="shared" si="178"/>
        <v>Cómo cultivar cannabis a partir de semillas</v>
      </c>
    </row>
    <row r="356">
      <c r="A356" s="1" t="str">
        <f>HYPERLINK("https://drive.google.com/drive/folders/1-6IDdleC8hN6r-LGDe0shRNl_kl0BAMh","cuánto tiempo lleva cultivar cannabis")</f>
        <v>cuánto tiempo lleva cultivar cannabis</v>
      </c>
      <c r="B356" s="1" t="str">
        <f t="shared" si="177"/>
        <v>https://drive.google.com/drive/folders/1-6IDdleC8hN6r-LGDe0shRNl_kl0BAMh</v>
      </c>
      <c r="C356" s="1" t="str">
        <f t="shared" si="178"/>
        <v>Cómo cultivar cannabis a partir de semillas</v>
      </c>
    </row>
    <row r="357">
      <c r="A357" s="1" t="str">
        <f>HYPERLINK("https://docs.google.com/spreadsheets/d/1BehgM6htZK18Gwy3fYOT6UrbF1Dr3PEieCvLdVqNTZE","Cómo cultivar cannabis en interiores")</f>
        <v>Cómo cultivar cannabis en interiores</v>
      </c>
      <c r="B357" s="1" t="str">
        <f t="shared" ref="B357:B360" si="179">HYPERLINK("https://docs.google.com/spreadsheets/d/1BehgM6htZK18Gwy3fYOT6UrbF1Dr3PEieCvLdVqNTZE","https://docs.google.com/spreadsheets/d/1BehgM6htZK18Gwy3fYOT6UrbF1Dr3PEieCvLdVqNTZE")</f>
        <v>https://docs.google.com/spreadsheets/d/1BehgM6htZK18Gwy3fYOT6UrbF1Dr3PEieCvLdVqNTZE</v>
      </c>
      <c r="C357" s="1" t="str">
        <f t="shared" ref="C357:C360" si="180">HYPERLINK("https://docs.google.com/spreadsheets/d/1BehgM6htZK18Gwy3fYOT6UrbF1Dr3PEieCvLdVqNTZE","Cómo cultivar cannabis a partir de semillas")</f>
        <v>Cómo cultivar cannabis a partir de semillas</v>
      </c>
    </row>
    <row r="358">
      <c r="A358" s="1" t="str">
        <f>HYPERLINK("https://docs.google.com/spreadsheets/d/1BehgM6htZK18Gwy3fYOT6UrbF1Dr3PEieCvLdVqNTZE","como cultivar cannabis")</f>
        <v>como cultivar cannabis</v>
      </c>
      <c r="B358" s="1" t="str">
        <f t="shared" si="179"/>
        <v>https://docs.google.com/spreadsheets/d/1BehgM6htZK18Gwy3fYOT6UrbF1Dr3PEieCvLdVqNTZE</v>
      </c>
      <c r="C358" s="1" t="str">
        <f t="shared" si="180"/>
        <v>Cómo cultivar cannabis a partir de semillas</v>
      </c>
    </row>
    <row r="359">
      <c r="A359" s="1" t="str">
        <f>HYPERLINK("https://docs.google.com/spreadsheets/d/1BehgM6htZK18Gwy3fYOT6UrbF1Dr3PEieCvLdVqNTZE","Cómo cultivar cannabis al aire libre")</f>
        <v>Cómo cultivar cannabis al aire libre</v>
      </c>
      <c r="B359" s="1" t="str">
        <f t="shared" si="179"/>
        <v>https://docs.google.com/spreadsheets/d/1BehgM6htZK18Gwy3fYOT6UrbF1Dr3PEieCvLdVqNTZE</v>
      </c>
      <c r="C359" s="1" t="str">
        <f t="shared" si="180"/>
        <v>Cómo cultivar cannabis a partir de semillas</v>
      </c>
    </row>
    <row r="360">
      <c r="A360" s="1" t="str">
        <f>HYPERLINK("https://docs.google.com/spreadsheets/d/1BehgM6htZK18Gwy3fYOT6UrbF1Dr3PEieCvLdVqNTZE","cuánto tiempo lleva cultivar cannabis")</f>
        <v>cuánto tiempo lleva cultivar cannabis</v>
      </c>
      <c r="B360" s="1" t="str">
        <f t="shared" si="179"/>
        <v>https://docs.google.com/spreadsheets/d/1BehgM6htZK18Gwy3fYOT6UrbF1Dr3PEieCvLdVqNTZE</v>
      </c>
      <c r="C360" s="1" t="str">
        <f t="shared" si="180"/>
        <v>Cómo cultivar cannabis a partir de semillas</v>
      </c>
    </row>
    <row r="361">
      <c r="A361" s="1" t="str">
        <f>HYPERLINK("https://drive.google.com/drive/folders/1MlUJMQEunLFO344WCOBkzzxXyCRQRB4l","Cómo cultivar cannabis en interiores")</f>
        <v>Cómo cultivar cannabis en interiores</v>
      </c>
      <c r="B361" s="1" t="str">
        <f t="shared" ref="B361:B364" si="181">HYPERLINK("https://drive.google.com/drive/folders/1MlUJMQEunLFO344WCOBkzzxXyCRQRB4l","https://drive.google.com/drive/folders/1MlUJMQEunLFO344WCOBkzzxXyCRQRB4l")</f>
        <v>https://drive.google.com/drive/folders/1MlUJMQEunLFO344WCOBkzzxXyCRQRB4l</v>
      </c>
      <c r="C361" s="1" t="str">
        <f t="shared" ref="C361:C364" si="182">HYPERLINK("https://drive.google.com/drive/folders/1MlUJMQEunLFO344WCOBkzzxXyCRQRB4l","Cómo cultivar cannabis a partir de semillas")</f>
        <v>Cómo cultivar cannabis a partir de semillas</v>
      </c>
    </row>
    <row r="362">
      <c r="A362" s="1" t="str">
        <f>HYPERLINK("https://drive.google.com/drive/folders/1MlUJMQEunLFO344WCOBkzzxXyCRQRB4l","como cultivar cannabis")</f>
        <v>como cultivar cannabis</v>
      </c>
      <c r="B362" s="1" t="str">
        <f t="shared" si="181"/>
        <v>https://drive.google.com/drive/folders/1MlUJMQEunLFO344WCOBkzzxXyCRQRB4l</v>
      </c>
      <c r="C362" s="1" t="str">
        <f t="shared" si="182"/>
        <v>Cómo cultivar cannabis a partir de semillas</v>
      </c>
    </row>
    <row r="363">
      <c r="A363" s="1" t="str">
        <f>HYPERLINK("https://drive.google.com/drive/folders/1MlUJMQEunLFO344WCOBkzzxXyCRQRB4l","Cómo cultivar cannabis al aire libre")</f>
        <v>Cómo cultivar cannabis al aire libre</v>
      </c>
      <c r="B363" s="1" t="str">
        <f t="shared" si="181"/>
        <v>https://drive.google.com/drive/folders/1MlUJMQEunLFO344WCOBkzzxXyCRQRB4l</v>
      </c>
      <c r="C363" s="1" t="str">
        <f t="shared" si="182"/>
        <v>Cómo cultivar cannabis a partir de semillas</v>
      </c>
    </row>
    <row r="364">
      <c r="A364" s="1" t="str">
        <f>HYPERLINK("https://drive.google.com/drive/folders/1MlUJMQEunLFO344WCOBkzzxXyCRQRB4l","cuánto tiempo lleva cultivar cannabis")</f>
        <v>cuánto tiempo lleva cultivar cannabis</v>
      </c>
      <c r="B364" s="1" t="str">
        <f t="shared" si="181"/>
        <v>https://drive.google.com/drive/folders/1MlUJMQEunLFO344WCOBkzzxXyCRQRB4l</v>
      </c>
      <c r="C364" s="1" t="str">
        <f t="shared" si="182"/>
        <v>Cómo cultivar cannabis a partir de semillas</v>
      </c>
    </row>
    <row r="365">
      <c r="A365" s="1" t="str">
        <f>HYPERLINK("https://docs.google.com/spreadsheets/d/1OO2SWIx1iN_wFCDcxVjqkbeOdQf5JrE9jf6xQRyiAqU","Cómo cultivar cannabis en interiores")</f>
        <v>Cómo cultivar cannabis en interiores</v>
      </c>
      <c r="B365" s="1" t="str">
        <f t="shared" ref="B365:B368" si="183">HYPERLINK("https://docs.google.com/spreadsheets/d/1OO2SWIx1iN_wFCDcxVjqkbeOdQf5JrE9jf6xQRyiAqU","https://docs.google.com/spreadsheets/d/1OO2SWIx1iN_wFCDcxVjqkbeOdQf5JrE9jf6xQRyiAqU")</f>
        <v>https://docs.google.com/spreadsheets/d/1OO2SWIx1iN_wFCDcxVjqkbeOdQf5JrE9jf6xQRyiAqU</v>
      </c>
      <c r="C365" s="1" t="str">
        <f t="shared" ref="C365:C368" si="184">HYPERLINK("https://docs.google.com/spreadsheets/d/1OO2SWIx1iN_wFCDcxVjqkbeOdQf5JrE9jf6xQRyiAqU","Cómo cultivar cannabis a partir de semillas")</f>
        <v>Cómo cultivar cannabis a partir de semillas</v>
      </c>
    </row>
    <row r="366">
      <c r="A366" s="1" t="str">
        <f>HYPERLINK("https://docs.google.com/spreadsheets/d/1OO2SWIx1iN_wFCDcxVjqkbeOdQf5JrE9jf6xQRyiAqU","como cultivar cannabis")</f>
        <v>como cultivar cannabis</v>
      </c>
      <c r="B366" s="1" t="str">
        <f t="shared" si="183"/>
        <v>https://docs.google.com/spreadsheets/d/1OO2SWIx1iN_wFCDcxVjqkbeOdQf5JrE9jf6xQRyiAqU</v>
      </c>
      <c r="C366" s="1" t="str">
        <f t="shared" si="184"/>
        <v>Cómo cultivar cannabis a partir de semillas</v>
      </c>
    </row>
    <row r="367">
      <c r="A367" s="1" t="str">
        <f>HYPERLINK("https://docs.google.com/spreadsheets/d/1OO2SWIx1iN_wFCDcxVjqkbeOdQf5JrE9jf6xQRyiAqU","Cómo cultivar cannabis al aire libre")</f>
        <v>Cómo cultivar cannabis al aire libre</v>
      </c>
      <c r="B367" s="1" t="str">
        <f t="shared" si="183"/>
        <v>https://docs.google.com/spreadsheets/d/1OO2SWIx1iN_wFCDcxVjqkbeOdQf5JrE9jf6xQRyiAqU</v>
      </c>
      <c r="C367" s="1" t="str">
        <f t="shared" si="184"/>
        <v>Cómo cultivar cannabis a partir de semillas</v>
      </c>
    </row>
    <row r="368">
      <c r="A368" s="1" t="str">
        <f>HYPERLINK("https://docs.google.com/spreadsheets/d/1OO2SWIx1iN_wFCDcxVjqkbeOdQf5JrE9jf6xQRyiAqU","cuánto tiempo lleva cultivar cannabis")</f>
        <v>cuánto tiempo lleva cultivar cannabis</v>
      </c>
      <c r="B368" s="1" t="str">
        <f t="shared" si="183"/>
        <v>https://docs.google.com/spreadsheets/d/1OO2SWIx1iN_wFCDcxVjqkbeOdQf5JrE9jf6xQRyiAqU</v>
      </c>
      <c r="C368" s="1" t="str">
        <f t="shared" si="184"/>
        <v>Cómo cultivar cannabis a partir de semillas</v>
      </c>
    </row>
    <row r="369">
      <c r="A369" s="1" t="str">
        <f>HYPERLINK("https://docs.google.com/spreadsheets/d/1pvODJfTMUkmvMa3ixg6l3aS5aciYRGlem0QxfoMxnxI","Cómo cultivar cannabis en interiores")</f>
        <v>Cómo cultivar cannabis en interiores</v>
      </c>
      <c r="B369" s="1" t="str">
        <f t="shared" ref="B369:B372" si="185">HYPERLINK("https://docs.google.com/spreadsheets/d/1pvODJfTMUkmvMa3ixg6l3aS5aciYRGlem0QxfoMxnxI","https://docs.google.com/spreadsheets/d/1pvODJfTMUkmvMa3ixg6l3aS5aciYRGlem0QxfoMxnxI")</f>
        <v>https://docs.google.com/spreadsheets/d/1pvODJfTMUkmvMa3ixg6l3aS5aciYRGlem0QxfoMxnxI</v>
      </c>
      <c r="C369" s="1" t="str">
        <f t="shared" ref="C369:C372" si="186">HYPERLINK("https://docs.google.com/spreadsheets/d/1pvODJfTMUkmvMa3ixg6l3aS5aciYRGlem0QxfoMxnxI","Cómo cultivar cannabis a partir de semillas")</f>
        <v>Cómo cultivar cannabis a partir de semillas</v>
      </c>
    </row>
    <row r="370">
      <c r="A370" s="1" t="str">
        <f>HYPERLINK("https://docs.google.com/spreadsheets/d/1pvODJfTMUkmvMa3ixg6l3aS5aciYRGlem0QxfoMxnxI","como cultivar cannabis")</f>
        <v>como cultivar cannabis</v>
      </c>
      <c r="B370" s="1" t="str">
        <f t="shared" si="185"/>
        <v>https://docs.google.com/spreadsheets/d/1pvODJfTMUkmvMa3ixg6l3aS5aciYRGlem0QxfoMxnxI</v>
      </c>
      <c r="C370" s="1" t="str">
        <f t="shared" si="186"/>
        <v>Cómo cultivar cannabis a partir de semillas</v>
      </c>
    </row>
    <row r="371">
      <c r="A371" s="1" t="str">
        <f>HYPERLINK("https://docs.google.com/spreadsheets/d/1pvODJfTMUkmvMa3ixg6l3aS5aciYRGlem0QxfoMxnxI","Cómo cultivar cannabis al aire libre")</f>
        <v>Cómo cultivar cannabis al aire libre</v>
      </c>
      <c r="B371" s="1" t="str">
        <f t="shared" si="185"/>
        <v>https://docs.google.com/spreadsheets/d/1pvODJfTMUkmvMa3ixg6l3aS5aciYRGlem0QxfoMxnxI</v>
      </c>
      <c r="C371" s="1" t="str">
        <f t="shared" si="186"/>
        <v>Cómo cultivar cannabis a partir de semillas</v>
      </c>
    </row>
    <row r="372">
      <c r="A372" s="1" t="str">
        <f>HYPERLINK("https://docs.google.com/spreadsheets/d/1pvODJfTMUkmvMa3ixg6l3aS5aciYRGlem0QxfoMxnxI","cuánto tiempo lleva cultivar cannabis")</f>
        <v>cuánto tiempo lleva cultivar cannabis</v>
      </c>
      <c r="B372" s="1" t="str">
        <f t="shared" si="185"/>
        <v>https://docs.google.com/spreadsheets/d/1pvODJfTMUkmvMa3ixg6l3aS5aciYRGlem0QxfoMxnxI</v>
      </c>
      <c r="C372" s="1" t="str">
        <f t="shared" si="186"/>
        <v>Cómo cultivar cannabis a partir de semillas</v>
      </c>
    </row>
    <row r="373">
      <c r="A373" s="1" t="str">
        <f>HYPERLINK("https://drive.google.com/drive/folders/1zhtk2GtskElO8yp4pv916LSZy-6cth5Y","Cómo cultivar cannabis en interiores")</f>
        <v>Cómo cultivar cannabis en interiores</v>
      </c>
      <c r="B373" s="1" t="str">
        <f t="shared" ref="B373:B376" si="187">HYPERLINK("https://drive.google.com/drive/folders/1zhtk2GtskElO8yp4pv916LSZy-6cth5Y","https://drive.google.com/drive/folders/1zhtk2GtskElO8yp4pv916LSZy-6cth5Y")</f>
        <v>https://drive.google.com/drive/folders/1zhtk2GtskElO8yp4pv916LSZy-6cth5Y</v>
      </c>
      <c r="C373" s="1" t="str">
        <f t="shared" ref="C373:C376" si="188">HYPERLINK("https://drive.google.com/drive/folders/1zhtk2GtskElO8yp4pv916LSZy-6cth5Y","Cómo cultivar cannabis a partir de semillas")</f>
        <v>Cómo cultivar cannabis a partir de semillas</v>
      </c>
    </row>
    <row r="374">
      <c r="A374" s="1" t="str">
        <f>HYPERLINK("https://drive.google.com/drive/folders/1zhtk2GtskElO8yp4pv916LSZy-6cth5Y","como cultivar cannabis")</f>
        <v>como cultivar cannabis</v>
      </c>
      <c r="B374" s="1" t="str">
        <f t="shared" si="187"/>
        <v>https://drive.google.com/drive/folders/1zhtk2GtskElO8yp4pv916LSZy-6cth5Y</v>
      </c>
      <c r="C374" s="1" t="str">
        <f t="shared" si="188"/>
        <v>Cómo cultivar cannabis a partir de semillas</v>
      </c>
    </row>
    <row r="375">
      <c r="A375" s="1" t="str">
        <f>HYPERLINK("https://drive.google.com/drive/folders/1zhtk2GtskElO8yp4pv916LSZy-6cth5Y","Cómo cultivar cannabis al aire libre")</f>
        <v>Cómo cultivar cannabis al aire libre</v>
      </c>
      <c r="B375" s="1" t="str">
        <f t="shared" si="187"/>
        <v>https://drive.google.com/drive/folders/1zhtk2GtskElO8yp4pv916LSZy-6cth5Y</v>
      </c>
      <c r="C375" s="1" t="str">
        <f t="shared" si="188"/>
        <v>Cómo cultivar cannabis a partir de semillas</v>
      </c>
    </row>
    <row r="376">
      <c r="A376" s="1" t="str">
        <f>HYPERLINK("https://drive.google.com/drive/folders/1zhtk2GtskElO8yp4pv916LSZy-6cth5Y","cuánto tiempo lleva cultivar cannabis")</f>
        <v>cuánto tiempo lleva cultivar cannabis</v>
      </c>
      <c r="B376" s="1" t="str">
        <f t="shared" si="187"/>
        <v>https://drive.google.com/drive/folders/1zhtk2GtskElO8yp4pv916LSZy-6cth5Y</v>
      </c>
      <c r="C376" s="1" t="str">
        <f t="shared" si="188"/>
        <v>Cómo cultivar cannabis a partir de semillas</v>
      </c>
    </row>
    <row r="377">
      <c r="A377" s="1" t="str">
        <f>HYPERLINK("https://docs.google.com/spreadsheets/d/1nImIqShIIlm9HrOEJjR-NgycWWKTyWUKyRDSK8TmVl0","Cómo cultivar cannabis en interiores")</f>
        <v>Cómo cultivar cannabis en interiores</v>
      </c>
      <c r="B377" s="1" t="str">
        <f t="shared" ref="B377:B380" si="189">HYPERLINK("https://docs.google.com/spreadsheets/d/1nImIqShIIlm9HrOEJjR-NgycWWKTyWUKyRDSK8TmVl0","https://docs.google.com/spreadsheets/d/1nImIqShIIlm9HrOEJjR-NgycWWKTyWUKyRDSK8TmVl0")</f>
        <v>https://docs.google.com/spreadsheets/d/1nImIqShIIlm9HrOEJjR-NgycWWKTyWUKyRDSK8TmVl0</v>
      </c>
      <c r="C377" s="1" t="str">
        <f t="shared" ref="C377:C380" si="190">HYPERLINK("https://docs.google.com/spreadsheets/d/1nImIqShIIlm9HrOEJjR-NgycWWKTyWUKyRDSK8TmVl0","Cómo cultivar cannabis a partir de semillas")</f>
        <v>Cómo cultivar cannabis a partir de semillas</v>
      </c>
    </row>
    <row r="378">
      <c r="A378" s="1" t="str">
        <f>HYPERLINK("https://docs.google.com/spreadsheets/d/1nImIqShIIlm9HrOEJjR-NgycWWKTyWUKyRDSK8TmVl0","como cultivar cannabis")</f>
        <v>como cultivar cannabis</v>
      </c>
      <c r="B378" s="1" t="str">
        <f t="shared" si="189"/>
        <v>https://docs.google.com/spreadsheets/d/1nImIqShIIlm9HrOEJjR-NgycWWKTyWUKyRDSK8TmVl0</v>
      </c>
      <c r="C378" s="1" t="str">
        <f t="shared" si="190"/>
        <v>Cómo cultivar cannabis a partir de semillas</v>
      </c>
    </row>
    <row r="379">
      <c r="A379" s="1" t="str">
        <f>HYPERLINK("https://docs.google.com/spreadsheets/d/1nImIqShIIlm9HrOEJjR-NgycWWKTyWUKyRDSK8TmVl0","Cómo cultivar cannabis al aire libre")</f>
        <v>Cómo cultivar cannabis al aire libre</v>
      </c>
      <c r="B379" s="1" t="str">
        <f t="shared" si="189"/>
        <v>https://docs.google.com/spreadsheets/d/1nImIqShIIlm9HrOEJjR-NgycWWKTyWUKyRDSK8TmVl0</v>
      </c>
      <c r="C379" s="1" t="str">
        <f t="shared" si="190"/>
        <v>Cómo cultivar cannabis a partir de semillas</v>
      </c>
    </row>
    <row r="380">
      <c r="A380" s="1" t="str">
        <f>HYPERLINK("https://docs.google.com/spreadsheets/d/1nImIqShIIlm9HrOEJjR-NgycWWKTyWUKyRDSK8TmVl0","cuánto tiempo lleva cultivar cannabis")</f>
        <v>cuánto tiempo lleva cultivar cannabis</v>
      </c>
      <c r="B380" s="1" t="str">
        <f t="shared" si="189"/>
        <v>https://docs.google.com/spreadsheets/d/1nImIqShIIlm9HrOEJjR-NgycWWKTyWUKyRDSK8TmVl0</v>
      </c>
      <c r="C380" s="1" t="str">
        <f t="shared" si="190"/>
        <v>Cómo cultivar cannabis a partir de semillas</v>
      </c>
    </row>
    <row r="381">
      <c r="A381" s="1" t="str">
        <f>HYPERLINK("https://docs.google.com/spreadsheets/d/1cStMd07x_7l22LH7tTfM5ilxeekaOMhBcwtvgWdLRfQ","Cómo cultivar cannabis en interiores")</f>
        <v>Cómo cultivar cannabis en interiores</v>
      </c>
      <c r="B381" s="1" t="str">
        <f t="shared" ref="B381:B384" si="191">HYPERLINK("https://docs.google.com/spreadsheets/d/1cStMd07x_7l22LH7tTfM5ilxeekaOMhBcwtvgWdLRfQ","https://docs.google.com/spreadsheets/d/1cStMd07x_7l22LH7tTfM5ilxeekaOMhBcwtvgWdLRfQ")</f>
        <v>https://docs.google.com/spreadsheets/d/1cStMd07x_7l22LH7tTfM5ilxeekaOMhBcwtvgWdLRfQ</v>
      </c>
      <c r="C381" s="1" t="str">
        <f t="shared" ref="C381:C384" si="192">HYPERLINK("https://docs.google.com/spreadsheets/d/1cStMd07x_7l22LH7tTfM5ilxeekaOMhBcwtvgWdLRfQ","Cómo cultivar cannabis a partir de semillas")</f>
        <v>Cómo cultivar cannabis a partir de semillas</v>
      </c>
    </row>
    <row r="382">
      <c r="A382" s="1" t="str">
        <f>HYPERLINK("https://docs.google.com/spreadsheets/d/1cStMd07x_7l22LH7tTfM5ilxeekaOMhBcwtvgWdLRfQ","como cultivar cannabis")</f>
        <v>como cultivar cannabis</v>
      </c>
      <c r="B382" s="1" t="str">
        <f t="shared" si="191"/>
        <v>https://docs.google.com/spreadsheets/d/1cStMd07x_7l22LH7tTfM5ilxeekaOMhBcwtvgWdLRfQ</v>
      </c>
      <c r="C382" s="1" t="str">
        <f t="shared" si="192"/>
        <v>Cómo cultivar cannabis a partir de semillas</v>
      </c>
    </row>
    <row r="383">
      <c r="A383" s="1" t="str">
        <f>HYPERLINK("https://docs.google.com/spreadsheets/d/1cStMd07x_7l22LH7tTfM5ilxeekaOMhBcwtvgWdLRfQ","Cómo cultivar cannabis al aire libre")</f>
        <v>Cómo cultivar cannabis al aire libre</v>
      </c>
      <c r="B383" s="1" t="str">
        <f t="shared" si="191"/>
        <v>https://docs.google.com/spreadsheets/d/1cStMd07x_7l22LH7tTfM5ilxeekaOMhBcwtvgWdLRfQ</v>
      </c>
      <c r="C383" s="1" t="str">
        <f t="shared" si="192"/>
        <v>Cómo cultivar cannabis a partir de semillas</v>
      </c>
    </row>
    <row r="384">
      <c r="A384" s="1" t="str">
        <f>HYPERLINK("https://docs.google.com/spreadsheets/d/1cStMd07x_7l22LH7tTfM5ilxeekaOMhBcwtvgWdLRfQ","cuánto tiempo lleva cultivar cannabis")</f>
        <v>cuánto tiempo lleva cultivar cannabis</v>
      </c>
      <c r="B384" s="1" t="str">
        <f t="shared" si="191"/>
        <v>https://docs.google.com/spreadsheets/d/1cStMd07x_7l22LH7tTfM5ilxeekaOMhBcwtvgWdLRfQ</v>
      </c>
      <c r="C384" s="1" t="str">
        <f t="shared" si="192"/>
        <v>Cómo cultivar cannabis a partir de semillas</v>
      </c>
    </row>
    <row r="385">
      <c r="A385" s="1" t="str">
        <f>HYPERLINK("https://docs.google.com/spreadsheets/d/1Dtx1WNHggdxxCbZ6RUOTIUZBeQixNF9_SUYqhdyJx3s","Cómo cultivar cannabis en interiores")</f>
        <v>Cómo cultivar cannabis en interiores</v>
      </c>
      <c r="B385" s="1" t="str">
        <f t="shared" ref="B385:B388" si="193">HYPERLINK("https://docs.google.com/spreadsheets/d/1Dtx1WNHggdxxCbZ6RUOTIUZBeQixNF9_SUYqhdyJx3s","https://docs.google.com/spreadsheets/d/1Dtx1WNHggdxxCbZ6RUOTIUZBeQixNF9_SUYqhdyJx3s")</f>
        <v>https://docs.google.com/spreadsheets/d/1Dtx1WNHggdxxCbZ6RUOTIUZBeQixNF9_SUYqhdyJx3s</v>
      </c>
      <c r="C385" s="1" t="str">
        <f t="shared" ref="C385:C388" si="194">HYPERLINK("https://docs.google.com/spreadsheets/d/1Dtx1WNHggdxxCbZ6RUOTIUZBeQixNF9_SUYqhdyJx3s","Cómo cultivar cannabis a partir de semillas")</f>
        <v>Cómo cultivar cannabis a partir de semillas</v>
      </c>
    </row>
    <row r="386">
      <c r="A386" s="1" t="str">
        <f>HYPERLINK("https://docs.google.com/spreadsheets/d/1Dtx1WNHggdxxCbZ6RUOTIUZBeQixNF9_SUYqhdyJx3s","como cultivar cannabis")</f>
        <v>como cultivar cannabis</v>
      </c>
      <c r="B386" s="1" t="str">
        <f t="shared" si="193"/>
        <v>https://docs.google.com/spreadsheets/d/1Dtx1WNHggdxxCbZ6RUOTIUZBeQixNF9_SUYqhdyJx3s</v>
      </c>
      <c r="C386" s="1" t="str">
        <f t="shared" si="194"/>
        <v>Cómo cultivar cannabis a partir de semillas</v>
      </c>
    </row>
    <row r="387">
      <c r="A387" s="1" t="str">
        <f>HYPERLINK("https://docs.google.com/spreadsheets/d/1Dtx1WNHggdxxCbZ6RUOTIUZBeQixNF9_SUYqhdyJx3s","Cómo cultivar cannabis al aire libre")</f>
        <v>Cómo cultivar cannabis al aire libre</v>
      </c>
      <c r="B387" s="1" t="str">
        <f t="shared" si="193"/>
        <v>https://docs.google.com/spreadsheets/d/1Dtx1WNHggdxxCbZ6RUOTIUZBeQixNF9_SUYqhdyJx3s</v>
      </c>
      <c r="C387" s="1" t="str">
        <f t="shared" si="194"/>
        <v>Cómo cultivar cannabis a partir de semillas</v>
      </c>
    </row>
    <row r="388">
      <c r="A388" s="1" t="str">
        <f>HYPERLINK("https://docs.google.com/spreadsheets/d/1Dtx1WNHggdxxCbZ6RUOTIUZBeQixNF9_SUYqhdyJx3s","cuánto tiempo lleva cultivar cannabis")</f>
        <v>cuánto tiempo lleva cultivar cannabis</v>
      </c>
      <c r="B388" s="1" t="str">
        <f t="shared" si="193"/>
        <v>https://docs.google.com/spreadsheets/d/1Dtx1WNHggdxxCbZ6RUOTIUZBeQixNF9_SUYqhdyJx3s</v>
      </c>
      <c r="C388" s="1" t="str">
        <f t="shared" si="194"/>
        <v>Cómo cultivar cannabis a partir de semillas</v>
      </c>
    </row>
    <row r="389">
      <c r="A389" s="1" t="str">
        <f>HYPERLINK("https://drive.google.com/drive/folders/1x25ScMAK4d8rtyyNlXrBXWwkrPIVkZgm","Cómo cultivar cannabis en interiores")</f>
        <v>Cómo cultivar cannabis en interiores</v>
      </c>
      <c r="B389" s="1" t="str">
        <f t="shared" ref="B389:B392" si="195">HYPERLINK("https://drive.google.com/drive/folders/1x25ScMAK4d8rtyyNlXrBXWwkrPIVkZgm","https://drive.google.com/drive/folders/1x25ScMAK4d8rtyyNlXrBXWwkrPIVkZgm")</f>
        <v>https://drive.google.com/drive/folders/1x25ScMAK4d8rtyyNlXrBXWwkrPIVkZgm</v>
      </c>
      <c r="C389" s="1" t="str">
        <f t="shared" ref="C389:C392" si="196">HYPERLINK("https://drive.google.com/drive/folders/1x25ScMAK4d8rtyyNlXrBXWwkrPIVkZgm","Cómo cultivar cannabis a partir de semillas")</f>
        <v>Cómo cultivar cannabis a partir de semillas</v>
      </c>
    </row>
    <row r="390">
      <c r="A390" s="1" t="str">
        <f>HYPERLINK("https://drive.google.com/drive/folders/1x25ScMAK4d8rtyyNlXrBXWwkrPIVkZgm","como cultivar cannabis")</f>
        <v>como cultivar cannabis</v>
      </c>
      <c r="B390" s="1" t="str">
        <f t="shared" si="195"/>
        <v>https://drive.google.com/drive/folders/1x25ScMAK4d8rtyyNlXrBXWwkrPIVkZgm</v>
      </c>
      <c r="C390" s="1" t="str">
        <f t="shared" si="196"/>
        <v>Cómo cultivar cannabis a partir de semillas</v>
      </c>
    </row>
    <row r="391">
      <c r="A391" s="1" t="str">
        <f>HYPERLINK("https://drive.google.com/drive/folders/1x25ScMAK4d8rtyyNlXrBXWwkrPIVkZgm","Cómo cultivar cannabis al aire libre")</f>
        <v>Cómo cultivar cannabis al aire libre</v>
      </c>
      <c r="B391" s="1" t="str">
        <f t="shared" si="195"/>
        <v>https://drive.google.com/drive/folders/1x25ScMAK4d8rtyyNlXrBXWwkrPIVkZgm</v>
      </c>
      <c r="C391" s="1" t="str">
        <f t="shared" si="196"/>
        <v>Cómo cultivar cannabis a partir de semillas</v>
      </c>
    </row>
    <row r="392">
      <c r="A392" s="1" t="str">
        <f>HYPERLINK("https://drive.google.com/drive/folders/1x25ScMAK4d8rtyyNlXrBXWwkrPIVkZgm","cuánto tiempo lleva cultivar cannabis")</f>
        <v>cuánto tiempo lleva cultivar cannabis</v>
      </c>
      <c r="B392" s="1" t="str">
        <f t="shared" si="195"/>
        <v>https://drive.google.com/drive/folders/1x25ScMAK4d8rtyyNlXrBXWwkrPIVkZgm</v>
      </c>
      <c r="C392" s="1" t="str">
        <f t="shared" si="196"/>
        <v>Cómo cultivar cannabis a partir de semillas</v>
      </c>
    </row>
    <row r="393">
      <c r="A393" s="1" t="str">
        <f>HYPERLINK("https://drive.google.com/drive/folders/1eKf6R8NLBS9ofe_JH4-2p1aQMpEGV6ND","Cómo cultivar cannabis en interiores")</f>
        <v>Cómo cultivar cannabis en interiores</v>
      </c>
      <c r="B393" s="1" t="str">
        <f t="shared" ref="B393:B396" si="197">HYPERLINK("https://drive.google.com/drive/folders/1eKf6R8NLBS9ofe_JH4-2p1aQMpEGV6ND","https://drive.google.com/drive/folders/1eKf6R8NLBS9ofe_JH4-2p1aQMpEGV6ND")</f>
        <v>https://drive.google.com/drive/folders/1eKf6R8NLBS9ofe_JH4-2p1aQMpEGV6ND</v>
      </c>
      <c r="C393" s="1" t="str">
        <f t="shared" ref="C393:C396" si="198">HYPERLINK("https://drive.google.com/drive/folders/1eKf6R8NLBS9ofe_JH4-2p1aQMpEGV6ND","Cómo cultivar cannabis a partir de semillas")</f>
        <v>Cómo cultivar cannabis a partir de semillas</v>
      </c>
    </row>
    <row r="394">
      <c r="A394" s="1" t="str">
        <f>HYPERLINK("https://drive.google.com/drive/folders/1eKf6R8NLBS9ofe_JH4-2p1aQMpEGV6ND","como cultivar cannabis")</f>
        <v>como cultivar cannabis</v>
      </c>
      <c r="B394" s="1" t="str">
        <f t="shared" si="197"/>
        <v>https://drive.google.com/drive/folders/1eKf6R8NLBS9ofe_JH4-2p1aQMpEGV6ND</v>
      </c>
      <c r="C394" s="1" t="str">
        <f t="shared" si="198"/>
        <v>Cómo cultivar cannabis a partir de semillas</v>
      </c>
    </row>
    <row r="395">
      <c r="A395" s="1" t="str">
        <f>HYPERLINK("https://drive.google.com/drive/folders/1eKf6R8NLBS9ofe_JH4-2p1aQMpEGV6ND","Cómo cultivar cannabis al aire libre")</f>
        <v>Cómo cultivar cannabis al aire libre</v>
      </c>
      <c r="B395" s="1" t="str">
        <f t="shared" si="197"/>
        <v>https://drive.google.com/drive/folders/1eKf6R8NLBS9ofe_JH4-2p1aQMpEGV6ND</v>
      </c>
      <c r="C395" s="1" t="str">
        <f t="shared" si="198"/>
        <v>Cómo cultivar cannabis a partir de semillas</v>
      </c>
    </row>
    <row r="396">
      <c r="A396" s="1" t="str">
        <f>HYPERLINK("https://drive.google.com/drive/folders/1eKf6R8NLBS9ofe_JH4-2p1aQMpEGV6ND","cuánto tiempo lleva cultivar cannabis")</f>
        <v>cuánto tiempo lleva cultivar cannabis</v>
      </c>
      <c r="B396" s="1" t="str">
        <f t="shared" si="197"/>
        <v>https://drive.google.com/drive/folders/1eKf6R8NLBS9ofe_JH4-2p1aQMpEGV6ND</v>
      </c>
      <c r="C396" s="1" t="str">
        <f t="shared" si="198"/>
        <v>Cómo cultivar cannabis a partir de semillas</v>
      </c>
    </row>
    <row r="397">
      <c r="A397" s="1" t="str">
        <f>HYPERLINK("https://docs.google.com/spreadsheets/d/1rpCVeyh5ClbwGydn7gfjmGxTaZlZ4HM5_Gr2oTLPoN4","Cómo cultivar cannabis en interiores")</f>
        <v>Cómo cultivar cannabis en interiores</v>
      </c>
      <c r="B397" s="1" t="str">
        <f t="shared" ref="B397:B400" si="199">HYPERLINK("https://docs.google.com/spreadsheets/d/1rpCVeyh5ClbwGydn7gfjmGxTaZlZ4HM5_Gr2oTLPoN4","https://docs.google.com/spreadsheets/d/1rpCVeyh5ClbwGydn7gfjmGxTaZlZ4HM5_Gr2oTLPoN4")</f>
        <v>https://docs.google.com/spreadsheets/d/1rpCVeyh5ClbwGydn7gfjmGxTaZlZ4HM5_Gr2oTLPoN4</v>
      </c>
      <c r="C397" s="1" t="str">
        <f t="shared" ref="C397:C400" si="200">HYPERLINK("https://docs.google.com/spreadsheets/d/1rpCVeyh5ClbwGydn7gfjmGxTaZlZ4HM5_Gr2oTLPoN4","Cómo cultivar cannabis a partir de semillas")</f>
        <v>Cómo cultivar cannabis a partir de semillas</v>
      </c>
    </row>
    <row r="398">
      <c r="A398" s="1" t="str">
        <f>HYPERLINK("https://docs.google.com/spreadsheets/d/1rpCVeyh5ClbwGydn7gfjmGxTaZlZ4HM5_Gr2oTLPoN4","como cultivar cannabis")</f>
        <v>como cultivar cannabis</v>
      </c>
      <c r="B398" s="1" t="str">
        <f t="shared" si="199"/>
        <v>https://docs.google.com/spreadsheets/d/1rpCVeyh5ClbwGydn7gfjmGxTaZlZ4HM5_Gr2oTLPoN4</v>
      </c>
      <c r="C398" s="1" t="str">
        <f t="shared" si="200"/>
        <v>Cómo cultivar cannabis a partir de semillas</v>
      </c>
    </row>
    <row r="399">
      <c r="A399" s="1" t="str">
        <f>HYPERLINK("https://docs.google.com/spreadsheets/d/1rpCVeyh5ClbwGydn7gfjmGxTaZlZ4HM5_Gr2oTLPoN4","Cómo cultivar cannabis al aire libre")</f>
        <v>Cómo cultivar cannabis al aire libre</v>
      </c>
      <c r="B399" s="1" t="str">
        <f t="shared" si="199"/>
        <v>https://docs.google.com/spreadsheets/d/1rpCVeyh5ClbwGydn7gfjmGxTaZlZ4HM5_Gr2oTLPoN4</v>
      </c>
      <c r="C399" s="1" t="str">
        <f t="shared" si="200"/>
        <v>Cómo cultivar cannabis a partir de semillas</v>
      </c>
    </row>
    <row r="400">
      <c r="A400" s="1" t="str">
        <f>HYPERLINK("https://docs.google.com/spreadsheets/d/1rpCVeyh5ClbwGydn7gfjmGxTaZlZ4HM5_Gr2oTLPoN4","cuánto tiempo lleva cultivar cannabis")</f>
        <v>cuánto tiempo lleva cultivar cannabis</v>
      </c>
      <c r="B400" s="1" t="str">
        <f t="shared" si="199"/>
        <v>https://docs.google.com/spreadsheets/d/1rpCVeyh5ClbwGydn7gfjmGxTaZlZ4HM5_Gr2oTLPoN4</v>
      </c>
      <c r="C400" s="1" t="str">
        <f t="shared" si="200"/>
        <v>Cómo cultivar cannabis a partir de semillas</v>
      </c>
    </row>
    <row r="401">
      <c r="A401" s="1" t="str">
        <f>HYPERLINK("https://drive.google.com/drive/folders/1hC69LeE58uHIO1eEQd1HPZozDvou_2Vx","Cómo cultivar cannabis en interiores")</f>
        <v>Cómo cultivar cannabis en interiores</v>
      </c>
      <c r="B401" s="1" t="str">
        <f t="shared" ref="B401:B404" si="201">HYPERLINK("https://drive.google.com/drive/folders/1hC69LeE58uHIO1eEQd1HPZozDvou_2Vx","https://drive.google.com/drive/folders/1hC69LeE58uHIO1eEQd1HPZozDvou_2Vx")</f>
        <v>https://drive.google.com/drive/folders/1hC69LeE58uHIO1eEQd1HPZozDvou_2Vx</v>
      </c>
      <c r="C401" s="1" t="str">
        <f t="shared" ref="C401:C404" si="202">HYPERLINK("https://drive.google.com/drive/folders/1hC69LeE58uHIO1eEQd1HPZozDvou_2Vx","Cómo cultivar cannabis a partir de semillas")</f>
        <v>Cómo cultivar cannabis a partir de semillas</v>
      </c>
    </row>
    <row r="402">
      <c r="A402" s="1" t="str">
        <f>HYPERLINK("https://drive.google.com/drive/folders/1hC69LeE58uHIO1eEQd1HPZozDvou_2Vx","como cultivar cannabis")</f>
        <v>como cultivar cannabis</v>
      </c>
      <c r="B402" s="1" t="str">
        <f t="shared" si="201"/>
        <v>https://drive.google.com/drive/folders/1hC69LeE58uHIO1eEQd1HPZozDvou_2Vx</v>
      </c>
      <c r="C402" s="1" t="str">
        <f t="shared" si="202"/>
        <v>Cómo cultivar cannabis a partir de semillas</v>
      </c>
    </row>
    <row r="403">
      <c r="A403" s="1" t="str">
        <f>HYPERLINK("https://drive.google.com/drive/folders/1hC69LeE58uHIO1eEQd1HPZozDvou_2Vx","Cómo cultivar cannabis al aire libre")</f>
        <v>Cómo cultivar cannabis al aire libre</v>
      </c>
      <c r="B403" s="1" t="str">
        <f t="shared" si="201"/>
        <v>https://drive.google.com/drive/folders/1hC69LeE58uHIO1eEQd1HPZozDvou_2Vx</v>
      </c>
      <c r="C403" s="1" t="str">
        <f t="shared" si="202"/>
        <v>Cómo cultivar cannabis a partir de semillas</v>
      </c>
    </row>
    <row r="404">
      <c r="A404" s="1" t="str">
        <f>HYPERLINK("https://drive.google.com/drive/folders/1hC69LeE58uHIO1eEQd1HPZozDvou_2Vx","cuánto tiempo lleva cultivar cannabis")</f>
        <v>cuánto tiempo lleva cultivar cannabis</v>
      </c>
      <c r="B404" s="1" t="str">
        <f t="shared" si="201"/>
        <v>https://drive.google.com/drive/folders/1hC69LeE58uHIO1eEQd1HPZozDvou_2Vx</v>
      </c>
      <c r="C404" s="1" t="str">
        <f t="shared" si="202"/>
        <v>Cómo cultivar cannabis a partir de semillas</v>
      </c>
    </row>
    <row r="405">
      <c r="A405" s="1" t="str">
        <f>HYPERLINK("https://drive.google.com/drive/folders/1Ah8axVjr36YFbp3qS6POozbKfTArFYfE","Cómo cultivar cannabis en interiores")</f>
        <v>Cómo cultivar cannabis en interiores</v>
      </c>
      <c r="B405" s="1" t="str">
        <f t="shared" ref="B405:B408" si="203">HYPERLINK("https://drive.google.com/drive/folders/1Ah8axVjr36YFbp3qS6POozbKfTArFYfE","https://drive.google.com/drive/folders/1Ah8axVjr36YFbp3qS6POozbKfTArFYfE")</f>
        <v>https://drive.google.com/drive/folders/1Ah8axVjr36YFbp3qS6POozbKfTArFYfE</v>
      </c>
      <c r="C405" s="1" t="str">
        <f t="shared" ref="C405:C408" si="204">HYPERLINK("https://drive.google.com/drive/folders/1Ah8axVjr36YFbp3qS6POozbKfTArFYfE","Cómo cultivar cannabis a partir de semillas")</f>
        <v>Cómo cultivar cannabis a partir de semillas</v>
      </c>
    </row>
    <row r="406">
      <c r="A406" s="1" t="str">
        <f>HYPERLINK("https://drive.google.com/drive/folders/1Ah8axVjr36YFbp3qS6POozbKfTArFYfE","como cultivar cannabis")</f>
        <v>como cultivar cannabis</v>
      </c>
      <c r="B406" s="1" t="str">
        <f t="shared" si="203"/>
        <v>https://drive.google.com/drive/folders/1Ah8axVjr36YFbp3qS6POozbKfTArFYfE</v>
      </c>
      <c r="C406" s="1" t="str">
        <f t="shared" si="204"/>
        <v>Cómo cultivar cannabis a partir de semillas</v>
      </c>
    </row>
    <row r="407">
      <c r="A407" s="1" t="str">
        <f>HYPERLINK("https://drive.google.com/drive/folders/1Ah8axVjr36YFbp3qS6POozbKfTArFYfE","Cómo cultivar cannabis al aire libre")</f>
        <v>Cómo cultivar cannabis al aire libre</v>
      </c>
      <c r="B407" s="1" t="str">
        <f t="shared" si="203"/>
        <v>https://drive.google.com/drive/folders/1Ah8axVjr36YFbp3qS6POozbKfTArFYfE</v>
      </c>
      <c r="C407" s="1" t="str">
        <f t="shared" si="204"/>
        <v>Cómo cultivar cannabis a partir de semillas</v>
      </c>
    </row>
    <row r="408">
      <c r="A408" s="1" t="str">
        <f>HYPERLINK("https://drive.google.com/drive/folders/1Ah8axVjr36YFbp3qS6POozbKfTArFYfE","cuánto tiempo lleva cultivar cannabis")</f>
        <v>cuánto tiempo lleva cultivar cannabis</v>
      </c>
      <c r="B408" s="1" t="str">
        <f t="shared" si="203"/>
        <v>https://drive.google.com/drive/folders/1Ah8axVjr36YFbp3qS6POozbKfTArFYfE</v>
      </c>
      <c r="C408" s="1" t="str">
        <f t="shared" si="204"/>
        <v>Cómo cultivar cannabis a partir de semillas</v>
      </c>
    </row>
    <row r="409">
      <c r="A409" s="1" t="str">
        <f>HYPERLINK("https://drive.google.com/drive/folders/1CRNIIaQwRoaFEw5lbo5pENqCCcJlHnBn","Cómo cultivar cannabis en interiores")</f>
        <v>Cómo cultivar cannabis en interiores</v>
      </c>
      <c r="B409" s="1" t="str">
        <f t="shared" ref="B409:B412" si="205">HYPERLINK("https://drive.google.com/drive/folders/1CRNIIaQwRoaFEw5lbo5pENqCCcJlHnBn","https://drive.google.com/drive/folders/1CRNIIaQwRoaFEw5lbo5pENqCCcJlHnBn")</f>
        <v>https://drive.google.com/drive/folders/1CRNIIaQwRoaFEw5lbo5pENqCCcJlHnBn</v>
      </c>
      <c r="C409" s="1" t="str">
        <f t="shared" ref="C409:C412" si="206">HYPERLINK("https://drive.google.com/drive/folders/1CRNIIaQwRoaFEw5lbo5pENqCCcJlHnBn","Cómo cultivar cannabis a partir de semillas")</f>
        <v>Cómo cultivar cannabis a partir de semillas</v>
      </c>
    </row>
    <row r="410">
      <c r="A410" s="1" t="str">
        <f>HYPERLINK("https://drive.google.com/drive/folders/1CRNIIaQwRoaFEw5lbo5pENqCCcJlHnBn","como cultivar cannabis")</f>
        <v>como cultivar cannabis</v>
      </c>
      <c r="B410" s="1" t="str">
        <f t="shared" si="205"/>
        <v>https://drive.google.com/drive/folders/1CRNIIaQwRoaFEw5lbo5pENqCCcJlHnBn</v>
      </c>
      <c r="C410" s="1" t="str">
        <f t="shared" si="206"/>
        <v>Cómo cultivar cannabis a partir de semillas</v>
      </c>
    </row>
    <row r="411">
      <c r="A411" s="1" t="str">
        <f>HYPERLINK("https://drive.google.com/drive/folders/1CRNIIaQwRoaFEw5lbo5pENqCCcJlHnBn","Cómo cultivar cannabis al aire libre")</f>
        <v>Cómo cultivar cannabis al aire libre</v>
      </c>
      <c r="B411" s="1" t="str">
        <f t="shared" si="205"/>
        <v>https://drive.google.com/drive/folders/1CRNIIaQwRoaFEw5lbo5pENqCCcJlHnBn</v>
      </c>
      <c r="C411" s="1" t="str">
        <f t="shared" si="206"/>
        <v>Cómo cultivar cannabis a partir de semillas</v>
      </c>
    </row>
    <row r="412">
      <c r="A412" s="1" t="str">
        <f>HYPERLINK("https://drive.google.com/drive/folders/1CRNIIaQwRoaFEw5lbo5pENqCCcJlHnBn","cuánto tiempo lleva cultivar cannabis")</f>
        <v>cuánto tiempo lleva cultivar cannabis</v>
      </c>
      <c r="B412" s="1" t="str">
        <f t="shared" si="205"/>
        <v>https://drive.google.com/drive/folders/1CRNIIaQwRoaFEw5lbo5pENqCCcJlHnBn</v>
      </c>
      <c r="C412" s="1" t="str">
        <f t="shared" si="206"/>
        <v>Cómo cultivar cannabis a partir de semillas</v>
      </c>
    </row>
    <row r="413">
      <c r="A413" s="1" t="str">
        <f>HYPERLINK("https://docs.google.com/spreadsheets/d/1hRH4iSpoou7WWxI22DMOmXK-tTzEO9fdimq67qjRkoE","Cómo cultivar cannabis en interiores")</f>
        <v>Cómo cultivar cannabis en interiores</v>
      </c>
      <c r="B413" s="1" t="str">
        <f t="shared" ref="B413:B416" si="207">HYPERLINK("https://docs.google.com/spreadsheets/d/1hRH4iSpoou7WWxI22DMOmXK-tTzEO9fdimq67qjRkoE","https://docs.google.com/spreadsheets/d/1hRH4iSpoou7WWxI22DMOmXK-tTzEO9fdimq67qjRkoE")</f>
        <v>https://docs.google.com/spreadsheets/d/1hRH4iSpoou7WWxI22DMOmXK-tTzEO9fdimq67qjRkoE</v>
      </c>
      <c r="C413" s="1" t="str">
        <f t="shared" ref="C413:C416" si="208">HYPERLINK("https://docs.google.com/spreadsheets/d/1hRH4iSpoou7WWxI22DMOmXK-tTzEO9fdimq67qjRkoE","Cómo cultivar cannabis a partir de semillas")</f>
        <v>Cómo cultivar cannabis a partir de semillas</v>
      </c>
    </row>
    <row r="414">
      <c r="A414" s="1" t="str">
        <f>HYPERLINK("https://docs.google.com/spreadsheets/d/1hRH4iSpoou7WWxI22DMOmXK-tTzEO9fdimq67qjRkoE","como cultivar cannabis")</f>
        <v>como cultivar cannabis</v>
      </c>
      <c r="B414" s="1" t="str">
        <f t="shared" si="207"/>
        <v>https://docs.google.com/spreadsheets/d/1hRH4iSpoou7WWxI22DMOmXK-tTzEO9fdimq67qjRkoE</v>
      </c>
      <c r="C414" s="1" t="str">
        <f t="shared" si="208"/>
        <v>Cómo cultivar cannabis a partir de semillas</v>
      </c>
    </row>
    <row r="415">
      <c r="A415" s="1" t="str">
        <f>HYPERLINK("https://docs.google.com/spreadsheets/d/1hRH4iSpoou7WWxI22DMOmXK-tTzEO9fdimq67qjRkoE","Cómo cultivar cannabis al aire libre")</f>
        <v>Cómo cultivar cannabis al aire libre</v>
      </c>
      <c r="B415" s="1" t="str">
        <f t="shared" si="207"/>
        <v>https://docs.google.com/spreadsheets/d/1hRH4iSpoou7WWxI22DMOmXK-tTzEO9fdimq67qjRkoE</v>
      </c>
      <c r="C415" s="1" t="str">
        <f t="shared" si="208"/>
        <v>Cómo cultivar cannabis a partir de semillas</v>
      </c>
    </row>
    <row r="416">
      <c r="A416" s="1" t="str">
        <f>HYPERLINK("https://docs.google.com/spreadsheets/d/1hRH4iSpoou7WWxI22DMOmXK-tTzEO9fdimq67qjRkoE","cuánto tiempo lleva cultivar cannabis")</f>
        <v>cuánto tiempo lleva cultivar cannabis</v>
      </c>
      <c r="B416" s="1" t="str">
        <f t="shared" si="207"/>
        <v>https://docs.google.com/spreadsheets/d/1hRH4iSpoou7WWxI22DMOmXK-tTzEO9fdimq67qjRkoE</v>
      </c>
      <c r="C416" s="1" t="str">
        <f t="shared" si="208"/>
        <v>Cómo cultivar cannabis a partir de semillas</v>
      </c>
    </row>
    <row r="417">
      <c r="A417" s="1" t="str">
        <f>HYPERLINK("https://docs.google.com/spreadsheets/d/1wmNE_5_UYAsl1D0kJfb3ZdTwqezP-S_0o3kTGHcOaNA","Cómo cultivar cannabis en interiores")</f>
        <v>Cómo cultivar cannabis en interiores</v>
      </c>
      <c r="B417" s="1" t="str">
        <f t="shared" ref="B417:B420" si="209">HYPERLINK("https://docs.google.com/spreadsheets/d/1wmNE_5_UYAsl1D0kJfb3ZdTwqezP-S_0o3kTGHcOaNA","https://docs.google.com/spreadsheets/d/1wmNE_5_UYAsl1D0kJfb3ZdTwqezP-S_0o3kTGHcOaNA")</f>
        <v>https://docs.google.com/spreadsheets/d/1wmNE_5_UYAsl1D0kJfb3ZdTwqezP-S_0o3kTGHcOaNA</v>
      </c>
      <c r="C417" s="1" t="str">
        <f t="shared" ref="C417:C420" si="210">HYPERLINK("https://docs.google.com/spreadsheets/d/1wmNE_5_UYAsl1D0kJfb3ZdTwqezP-S_0o3kTGHcOaNA","Cómo cultivar cannabis a partir de semillas")</f>
        <v>Cómo cultivar cannabis a partir de semillas</v>
      </c>
    </row>
    <row r="418">
      <c r="A418" s="1" t="str">
        <f>HYPERLINK("https://docs.google.com/spreadsheets/d/1wmNE_5_UYAsl1D0kJfb3ZdTwqezP-S_0o3kTGHcOaNA","como cultivar cannabis")</f>
        <v>como cultivar cannabis</v>
      </c>
      <c r="B418" s="1" t="str">
        <f t="shared" si="209"/>
        <v>https://docs.google.com/spreadsheets/d/1wmNE_5_UYAsl1D0kJfb3ZdTwqezP-S_0o3kTGHcOaNA</v>
      </c>
      <c r="C418" s="1" t="str">
        <f t="shared" si="210"/>
        <v>Cómo cultivar cannabis a partir de semillas</v>
      </c>
    </row>
    <row r="419">
      <c r="A419" s="1" t="str">
        <f>HYPERLINK("https://docs.google.com/spreadsheets/d/1wmNE_5_UYAsl1D0kJfb3ZdTwqezP-S_0o3kTGHcOaNA","Cómo cultivar cannabis al aire libre")</f>
        <v>Cómo cultivar cannabis al aire libre</v>
      </c>
      <c r="B419" s="1" t="str">
        <f t="shared" si="209"/>
        <v>https://docs.google.com/spreadsheets/d/1wmNE_5_UYAsl1D0kJfb3ZdTwqezP-S_0o3kTGHcOaNA</v>
      </c>
      <c r="C419" s="1" t="str">
        <f t="shared" si="210"/>
        <v>Cómo cultivar cannabis a partir de semillas</v>
      </c>
    </row>
    <row r="420">
      <c r="A420" s="1" t="str">
        <f>HYPERLINK("https://docs.google.com/spreadsheets/d/1wmNE_5_UYAsl1D0kJfb3ZdTwqezP-S_0o3kTGHcOaNA","cuánto tiempo lleva cultivar cannabis")</f>
        <v>cuánto tiempo lleva cultivar cannabis</v>
      </c>
      <c r="B420" s="1" t="str">
        <f t="shared" si="209"/>
        <v>https://docs.google.com/spreadsheets/d/1wmNE_5_UYAsl1D0kJfb3ZdTwqezP-S_0o3kTGHcOaNA</v>
      </c>
      <c r="C420" s="1" t="str">
        <f t="shared" si="210"/>
        <v>Cómo cultivar cannabis a partir de semillas</v>
      </c>
    </row>
    <row r="421">
      <c r="A421" s="1" t="str">
        <f>HYPERLINK("https://docs.google.com/spreadsheets/d/1eER5ZFCvA3JiG_PDgHOMELk2DYMcLvngo07NcK9aUwQ","Cómo cultivar cannabis en interiores")</f>
        <v>Cómo cultivar cannabis en interiores</v>
      </c>
      <c r="B421" s="1" t="str">
        <f t="shared" ref="B421:B424" si="211">HYPERLINK("https://docs.google.com/spreadsheets/d/1eER5ZFCvA3JiG_PDgHOMELk2DYMcLvngo07NcK9aUwQ","https://docs.google.com/spreadsheets/d/1eER5ZFCvA3JiG_PDgHOMELk2DYMcLvngo07NcK9aUwQ")</f>
        <v>https://docs.google.com/spreadsheets/d/1eER5ZFCvA3JiG_PDgHOMELk2DYMcLvngo07NcK9aUwQ</v>
      </c>
      <c r="C421" s="1" t="str">
        <f t="shared" ref="C421:C424" si="212">HYPERLINK("https://docs.google.com/spreadsheets/d/1eER5ZFCvA3JiG_PDgHOMELk2DYMcLvngo07NcK9aUwQ","Cómo cultivar cannabis a partir de semillas")</f>
        <v>Cómo cultivar cannabis a partir de semillas</v>
      </c>
    </row>
    <row r="422">
      <c r="A422" s="1" t="str">
        <f>HYPERLINK("https://docs.google.com/spreadsheets/d/1eER5ZFCvA3JiG_PDgHOMELk2DYMcLvngo07NcK9aUwQ","como cultivar cannabis")</f>
        <v>como cultivar cannabis</v>
      </c>
      <c r="B422" s="1" t="str">
        <f t="shared" si="211"/>
        <v>https://docs.google.com/spreadsheets/d/1eER5ZFCvA3JiG_PDgHOMELk2DYMcLvngo07NcK9aUwQ</v>
      </c>
      <c r="C422" s="1" t="str">
        <f t="shared" si="212"/>
        <v>Cómo cultivar cannabis a partir de semillas</v>
      </c>
    </row>
    <row r="423">
      <c r="A423" s="1" t="str">
        <f>HYPERLINK("https://docs.google.com/spreadsheets/d/1eER5ZFCvA3JiG_PDgHOMELk2DYMcLvngo07NcK9aUwQ","Cómo cultivar cannabis al aire libre")</f>
        <v>Cómo cultivar cannabis al aire libre</v>
      </c>
      <c r="B423" s="1" t="str">
        <f t="shared" si="211"/>
        <v>https://docs.google.com/spreadsheets/d/1eER5ZFCvA3JiG_PDgHOMELk2DYMcLvngo07NcK9aUwQ</v>
      </c>
      <c r="C423" s="1" t="str">
        <f t="shared" si="212"/>
        <v>Cómo cultivar cannabis a partir de semillas</v>
      </c>
    </row>
    <row r="424">
      <c r="A424" s="1" t="str">
        <f>HYPERLINK("https://docs.google.com/spreadsheets/d/1eER5ZFCvA3JiG_PDgHOMELk2DYMcLvngo07NcK9aUwQ","cuánto tiempo lleva cultivar cannabis")</f>
        <v>cuánto tiempo lleva cultivar cannabis</v>
      </c>
      <c r="B424" s="1" t="str">
        <f t="shared" si="211"/>
        <v>https://docs.google.com/spreadsheets/d/1eER5ZFCvA3JiG_PDgHOMELk2DYMcLvngo07NcK9aUwQ</v>
      </c>
      <c r="C424" s="1" t="str">
        <f t="shared" si="212"/>
        <v>Cómo cultivar cannabis a partir de semillas</v>
      </c>
    </row>
    <row r="425">
      <c r="A425" s="1" t="str">
        <f>HYPERLINK("https://drive.google.com/drive/folders/1sd0wWu9QkrYPlMh6yAspLX2L0tUbAoeZ","Cómo cultivar cannabis en interiores")</f>
        <v>Cómo cultivar cannabis en interiores</v>
      </c>
      <c r="B425" s="1" t="str">
        <f t="shared" ref="B425:B428" si="213">HYPERLINK("https://drive.google.com/drive/folders/1sd0wWu9QkrYPlMh6yAspLX2L0tUbAoeZ","https://drive.google.com/drive/folders/1sd0wWu9QkrYPlMh6yAspLX2L0tUbAoeZ")</f>
        <v>https://drive.google.com/drive/folders/1sd0wWu9QkrYPlMh6yAspLX2L0tUbAoeZ</v>
      </c>
      <c r="C425" s="1" t="str">
        <f t="shared" ref="C425:C428" si="214">HYPERLINK("https://drive.google.com/drive/folders/1sd0wWu9QkrYPlMh6yAspLX2L0tUbAoeZ","Cómo cultivar cannabis a partir de semillas")</f>
        <v>Cómo cultivar cannabis a partir de semillas</v>
      </c>
    </row>
    <row r="426">
      <c r="A426" s="1" t="str">
        <f>HYPERLINK("https://drive.google.com/drive/folders/1sd0wWu9QkrYPlMh6yAspLX2L0tUbAoeZ","como cultivar cannabis")</f>
        <v>como cultivar cannabis</v>
      </c>
      <c r="B426" s="1" t="str">
        <f t="shared" si="213"/>
        <v>https://drive.google.com/drive/folders/1sd0wWu9QkrYPlMh6yAspLX2L0tUbAoeZ</v>
      </c>
      <c r="C426" s="1" t="str">
        <f t="shared" si="214"/>
        <v>Cómo cultivar cannabis a partir de semillas</v>
      </c>
    </row>
    <row r="427">
      <c r="A427" s="1" t="str">
        <f>HYPERLINK("https://drive.google.com/drive/folders/1sd0wWu9QkrYPlMh6yAspLX2L0tUbAoeZ","Cómo cultivar cannabis al aire libre")</f>
        <v>Cómo cultivar cannabis al aire libre</v>
      </c>
      <c r="B427" s="1" t="str">
        <f t="shared" si="213"/>
        <v>https://drive.google.com/drive/folders/1sd0wWu9QkrYPlMh6yAspLX2L0tUbAoeZ</v>
      </c>
      <c r="C427" s="1" t="str">
        <f t="shared" si="214"/>
        <v>Cómo cultivar cannabis a partir de semillas</v>
      </c>
    </row>
    <row r="428">
      <c r="A428" s="1" t="str">
        <f>HYPERLINK("https://drive.google.com/drive/folders/1sd0wWu9QkrYPlMh6yAspLX2L0tUbAoeZ","cuánto tiempo lleva cultivar cannabis")</f>
        <v>cuánto tiempo lleva cultivar cannabis</v>
      </c>
      <c r="B428" s="1" t="str">
        <f t="shared" si="213"/>
        <v>https://drive.google.com/drive/folders/1sd0wWu9QkrYPlMh6yAspLX2L0tUbAoeZ</v>
      </c>
      <c r="C428" s="1" t="str">
        <f t="shared" si="214"/>
        <v>Cómo cultivar cannabis a partir de semillas</v>
      </c>
    </row>
    <row r="429">
      <c r="A429" s="1" t="str">
        <f>HYPERLINK("https://drive.google.com/drive/folders/1h7Z_4g19_taY-6u61mGL55MBahWXlViH","Cómo cultivar cannabis en interiores")</f>
        <v>Cómo cultivar cannabis en interiores</v>
      </c>
      <c r="B429" s="1" t="str">
        <f t="shared" ref="B429:B432" si="215">HYPERLINK("https://drive.google.com/drive/folders/1h7Z_4g19_taY-6u61mGL55MBahWXlViH","https://drive.google.com/drive/folders/1h7Z_4g19_taY-6u61mGL55MBahWXlViH")</f>
        <v>https://drive.google.com/drive/folders/1h7Z_4g19_taY-6u61mGL55MBahWXlViH</v>
      </c>
      <c r="C429" s="1" t="str">
        <f t="shared" ref="C429:C432" si="216">HYPERLINK("https://drive.google.com/drive/folders/1h7Z_4g19_taY-6u61mGL55MBahWXlViH","Cómo cultivar cannabis a partir de semillas")</f>
        <v>Cómo cultivar cannabis a partir de semillas</v>
      </c>
    </row>
    <row r="430">
      <c r="A430" s="1" t="str">
        <f>HYPERLINK("https://drive.google.com/drive/folders/1h7Z_4g19_taY-6u61mGL55MBahWXlViH","como cultivar cannabis")</f>
        <v>como cultivar cannabis</v>
      </c>
      <c r="B430" s="1" t="str">
        <f t="shared" si="215"/>
        <v>https://drive.google.com/drive/folders/1h7Z_4g19_taY-6u61mGL55MBahWXlViH</v>
      </c>
      <c r="C430" s="1" t="str">
        <f t="shared" si="216"/>
        <v>Cómo cultivar cannabis a partir de semillas</v>
      </c>
    </row>
    <row r="431">
      <c r="A431" s="1" t="str">
        <f>HYPERLINK("https://drive.google.com/drive/folders/1h7Z_4g19_taY-6u61mGL55MBahWXlViH","Cómo cultivar cannabis al aire libre")</f>
        <v>Cómo cultivar cannabis al aire libre</v>
      </c>
      <c r="B431" s="1" t="str">
        <f t="shared" si="215"/>
        <v>https://drive.google.com/drive/folders/1h7Z_4g19_taY-6u61mGL55MBahWXlViH</v>
      </c>
      <c r="C431" s="1" t="str">
        <f t="shared" si="216"/>
        <v>Cómo cultivar cannabis a partir de semillas</v>
      </c>
    </row>
    <row r="432">
      <c r="A432" s="1" t="str">
        <f>HYPERLINK("https://drive.google.com/drive/folders/1h7Z_4g19_taY-6u61mGL55MBahWXlViH","cuánto tiempo lleva cultivar cannabis")</f>
        <v>cuánto tiempo lleva cultivar cannabis</v>
      </c>
      <c r="B432" s="1" t="str">
        <f t="shared" si="215"/>
        <v>https://drive.google.com/drive/folders/1h7Z_4g19_taY-6u61mGL55MBahWXlViH</v>
      </c>
      <c r="C432" s="1" t="str">
        <f t="shared" si="216"/>
        <v>Cómo cultivar cannabis a partir de semillas</v>
      </c>
    </row>
    <row r="433">
      <c r="A433" s="1" t="str">
        <f>HYPERLINK("https://drive.google.com/drive/folders/1g_bBe81VCjaxvFWIuXbYhnl9W59n-E72","Cómo cultivar cannabis en interiores")</f>
        <v>Cómo cultivar cannabis en interiores</v>
      </c>
      <c r="B433" s="1" t="str">
        <f t="shared" ref="B433:B436" si="217">HYPERLINK("https://drive.google.com/drive/folders/1g_bBe81VCjaxvFWIuXbYhnl9W59n-E72","https://drive.google.com/drive/folders/1g_bBe81VCjaxvFWIuXbYhnl9W59n-E72")</f>
        <v>https://drive.google.com/drive/folders/1g_bBe81VCjaxvFWIuXbYhnl9W59n-E72</v>
      </c>
      <c r="C433" s="1" t="str">
        <f t="shared" ref="C433:C436" si="218">HYPERLINK("https://drive.google.com/drive/folders/1g_bBe81VCjaxvFWIuXbYhnl9W59n-E72","Cómo cultivar cannabis a partir de semillas")</f>
        <v>Cómo cultivar cannabis a partir de semillas</v>
      </c>
    </row>
    <row r="434">
      <c r="A434" s="1" t="str">
        <f>HYPERLINK("https://drive.google.com/drive/folders/1g_bBe81VCjaxvFWIuXbYhnl9W59n-E72","como cultivar cannabis")</f>
        <v>como cultivar cannabis</v>
      </c>
      <c r="B434" s="1" t="str">
        <f t="shared" si="217"/>
        <v>https://drive.google.com/drive/folders/1g_bBe81VCjaxvFWIuXbYhnl9W59n-E72</v>
      </c>
      <c r="C434" s="1" t="str">
        <f t="shared" si="218"/>
        <v>Cómo cultivar cannabis a partir de semillas</v>
      </c>
    </row>
    <row r="435">
      <c r="A435" s="1" t="str">
        <f>HYPERLINK("https://drive.google.com/drive/folders/1g_bBe81VCjaxvFWIuXbYhnl9W59n-E72","Cómo cultivar cannabis al aire libre")</f>
        <v>Cómo cultivar cannabis al aire libre</v>
      </c>
      <c r="B435" s="1" t="str">
        <f t="shared" si="217"/>
        <v>https://drive.google.com/drive/folders/1g_bBe81VCjaxvFWIuXbYhnl9W59n-E72</v>
      </c>
      <c r="C435" s="1" t="str">
        <f t="shared" si="218"/>
        <v>Cómo cultivar cannabis a partir de semillas</v>
      </c>
    </row>
    <row r="436">
      <c r="A436" s="1" t="str">
        <f>HYPERLINK("https://drive.google.com/drive/folders/1g_bBe81VCjaxvFWIuXbYhnl9W59n-E72","cuánto tiempo lleva cultivar cannabis")</f>
        <v>cuánto tiempo lleva cultivar cannabis</v>
      </c>
      <c r="B436" s="1" t="str">
        <f t="shared" si="217"/>
        <v>https://drive.google.com/drive/folders/1g_bBe81VCjaxvFWIuXbYhnl9W59n-E72</v>
      </c>
      <c r="C436" s="1" t="str">
        <f t="shared" si="218"/>
        <v>Cómo cultivar cannabis a partir de semillas</v>
      </c>
    </row>
    <row r="437">
      <c r="A437" s="1" t="str">
        <f>HYPERLINK("https://docs.google.com/spreadsheets/d/1QJoGUL1A4lTMubRK0SZbui1OO9ReDMqGOG7xLD1MS88","Cómo cultivar cannabis en interiores")</f>
        <v>Cómo cultivar cannabis en interiores</v>
      </c>
      <c r="B437" s="1" t="str">
        <f t="shared" ref="B437:B440" si="219">HYPERLINK("https://docs.google.com/spreadsheets/d/1QJoGUL1A4lTMubRK0SZbui1OO9ReDMqGOG7xLD1MS88","https://docs.google.com/spreadsheets/d/1QJoGUL1A4lTMubRK0SZbui1OO9ReDMqGOG7xLD1MS88")</f>
        <v>https://docs.google.com/spreadsheets/d/1QJoGUL1A4lTMubRK0SZbui1OO9ReDMqGOG7xLD1MS88</v>
      </c>
      <c r="C437" s="1" t="str">
        <f t="shared" ref="C437:C440" si="220">HYPERLINK("https://docs.google.com/spreadsheets/d/1QJoGUL1A4lTMubRK0SZbui1OO9ReDMqGOG7xLD1MS88","Cómo cultivar cannabis a partir de semillas")</f>
        <v>Cómo cultivar cannabis a partir de semillas</v>
      </c>
    </row>
    <row r="438">
      <c r="A438" s="1" t="str">
        <f>HYPERLINK("https://docs.google.com/spreadsheets/d/1QJoGUL1A4lTMubRK0SZbui1OO9ReDMqGOG7xLD1MS88","como cultivar cannabis")</f>
        <v>como cultivar cannabis</v>
      </c>
      <c r="B438" s="1" t="str">
        <f t="shared" si="219"/>
        <v>https://docs.google.com/spreadsheets/d/1QJoGUL1A4lTMubRK0SZbui1OO9ReDMqGOG7xLD1MS88</v>
      </c>
      <c r="C438" s="1" t="str">
        <f t="shared" si="220"/>
        <v>Cómo cultivar cannabis a partir de semillas</v>
      </c>
    </row>
    <row r="439">
      <c r="A439" s="1" t="str">
        <f>HYPERLINK("https://docs.google.com/spreadsheets/d/1QJoGUL1A4lTMubRK0SZbui1OO9ReDMqGOG7xLD1MS88","Cómo cultivar cannabis al aire libre")</f>
        <v>Cómo cultivar cannabis al aire libre</v>
      </c>
      <c r="B439" s="1" t="str">
        <f t="shared" si="219"/>
        <v>https://docs.google.com/spreadsheets/d/1QJoGUL1A4lTMubRK0SZbui1OO9ReDMqGOG7xLD1MS88</v>
      </c>
      <c r="C439" s="1" t="str">
        <f t="shared" si="220"/>
        <v>Cómo cultivar cannabis a partir de semillas</v>
      </c>
    </row>
    <row r="440">
      <c r="A440" s="1" t="str">
        <f>HYPERLINK("https://docs.google.com/spreadsheets/d/1QJoGUL1A4lTMubRK0SZbui1OO9ReDMqGOG7xLD1MS88","cuánto tiempo lleva cultivar cannabis")</f>
        <v>cuánto tiempo lleva cultivar cannabis</v>
      </c>
      <c r="B440" s="1" t="str">
        <f t="shared" si="219"/>
        <v>https://docs.google.com/spreadsheets/d/1QJoGUL1A4lTMubRK0SZbui1OO9ReDMqGOG7xLD1MS88</v>
      </c>
      <c r="C440" s="1" t="str">
        <f t="shared" si="220"/>
        <v>Cómo cultivar cannabis a partir de semillas</v>
      </c>
    </row>
    <row r="441">
      <c r="A441" s="1" t="str">
        <f>HYPERLINK("https://docs.google.com/spreadsheets/d/1JZHLWON7QFfbR37YKzjLkmH83I_fpboSV0MPG0AsOpA","Cómo cultivar cannabis en interiores")</f>
        <v>Cómo cultivar cannabis en interiores</v>
      </c>
      <c r="B441" s="1" t="str">
        <f t="shared" ref="B441:B444" si="221">HYPERLINK("https://docs.google.com/spreadsheets/d/1JZHLWON7QFfbR37YKzjLkmH83I_fpboSV0MPG0AsOpA","https://docs.google.com/spreadsheets/d/1JZHLWON7QFfbR37YKzjLkmH83I_fpboSV0MPG0AsOpA")</f>
        <v>https://docs.google.com/spreadsheets/d/1JZHLWON7QFfbR37YKzjLkmH83I_fpboSV0MPG0AsOpA</v>
      </c>
      <c r="C441" s="1" t="str">
        <f t="shared" ref="C441:C444" si="222">HYPERLINK("https://docs.google.com/spreadsheets/d/1JZHLWON7QFfbR37YKzjLkmH83I_fpboSV0MPG0AsOpA","Cómo cultivar cannabis a partir de semillas")</f>
        <v>Cómo cultivar cannabis a partir de semillas</v>
      </c>
    </row>
    <row r="442">
      <c r="A442" s="1" t="str">
        <f>HYPERLINK("https://docs.google.com/spreadsheets/d/1JZHLWON7QFfbR37YKzjLkmH83I_fpboSV0MPG0AsOpA","como cultivar cannabis")</f>
        <v>como cultivar cannabis</v>
      </c>
      <c r="B442" s="1" t="str">
        <f t="shared" si="221"/>
        <v>https://docs.google.com/spreadsheets/d/1JZHLWON7QFfbR37YKzjLkmH83I_fpboSV0MPG0AsOpA</v>
      </c>
      <c r="C442" s="1" t="str">
        <f t="shared" si="222"/>
        <v>Cómo cultivar cannabis a partir de semillas</v>
      </c>
    </row>
    <row r="443">
      <c r="A443" s="1" t="str">
        <f>HYPERLINK("https://docs.google.com/spreadsheets/d/1JZHLWON7QFfbR37YKzjLkmH83I_fpboSV0MPG0AsOpA","Cómo cultivar cannabis al aire libre")</f>
        <v>Cómo cultivar cannabis al aire libre</v>
      </c>
      <c r="B443" s="1" t="str">
        <f t="shared" si="221"/>
        <v>https://docs.google.com/spreadsheets/d/1JZHLWON7QFfbR37YKzjLkmH83I_fpboSV0MPG0AsOpA</v>
      </c>
      <c r="C443" s="1" t="str">
        <f t="shared" si="222"/>
        <v>Cómo cultivar cannabis a partir de semillas</v>
      </c>
    </row>
    <row r="444">
      <c r="A444" s="1" t="str">
        <f>HYPERLINK("https://docs.google.com/spreadsheets/d/1JZHLWON7QFfbR37YKzjLkmH83I_fpboSV0MPG0AsOpA","cuánto tiempo lleva cultivar cannabis")</f>
        <v>cuánto tiempo lleva cultivar cannabis</v>
      </c>
      <c r="B444" s="1" t="str">
        <f t="shared" si="221"/>
        <v>https://docs.google.com/spreadsheets/d/1JZHLWON7QFfbR37YKzjLkmH83I_fpboSV0MPG0AsOpA</v>
      </c>
      <c r="C444" s="1" t="str">
        <f t="shared" si="222"/>
        <v>Cómo cultivar cannabis a partir de semillas</v>
      </c>
    </row>
    <row r="445">
      <c r="A445" s="1" t="str">
        <f>HYPERLINK("https://docs.google.com/spreadsheets/d/1CVgasNp04xXKRVpXKGq3ZeEwd3WDlnus1_h5OwBJyuk","Cómo cultivar cannabis en interiores")</f>
        <v>Cómo cultivar cannabis en interiores</v>
      </c>
      <c r="B445" s="1" t="str">
        <f t="shared" ref="B445:B448" si="223">HYPERLINK("https://docs.google.com/spreadsheets/d/1CVgasNp04xXKRVpXKGq3ZeEwd3WDlnus1_h5OwBJyuk","https://docs.google.com/spreadsheets/d/1CVgasNp04xXKRVpXKGq3ZeEwd3WDlnus1_h5OwBJyuk")</f>
        <v>https://docs.google.com/spreadsheets/d/1CVgasNp04xXKRVpXKGq3ZeEwd3WDlnus1_h5OwBJyuk</v>
      </c>
      <c r="C445" s="1" t="str">
        <f t="shared" ref="C445:C448" si="224">HYPERLINK("https://docs.google.com/spreadsheets/d/1CVgasNp04xXKRVpXKGq3ZeEwd3WDlnus1_h5OwBJyuk","Cómo cultivar cannabis a partir de semillas")</f>
        <v>Cómo cultivar cannabis a partir de semillas</v>
      </c>
    </row>
    <row r="446">
      <c r="A446" s="1" t="str">
        <f>HYPERLINK("https://docs.google.com/spreadsheets/d/1CVgasNp04xXKRVpXKGq3ZeEwd3WDlnus1_h5OwBJyuk","como cultivar cannabis")</f>
        <v>como cultivar cannabis</v>
      </c>
      <c r="B446" s="1" t="str">
        <f t="shared" si="223"/>
        <v>https://docs.google.com/spreadsheets/d/1CVgasNp04xXKRVpXKGq3ZeEwd3WDlnus1_h5OwBJyuk</v>
      </c>
      <c r="C446" s="1" t="str">
        <f t="shared" si="224"/>
        <v>Cómo cultivar cannabis a partir de semillas</v>
      </c>
    </row>
    <row r="447">
      <c r="A447" s="1" t="str">
        <f>HYPERLINK("https://docs.google.com/spreadsheets/d/1CVgasNp04xXKRVpXKGq3ZeEwd3WDlnus1_h5OwBJyuk","Cómo cultivar cannabis al aire libre")</f>
        <v>Cómo cultivar cannabis al aire libre</v>
      </c>
      <c r="B447" s="1" t="str">
        <f t="shared" si="223"/>
        <v>https://docs.google.com/spreadsheets/d/1CVgasNp04xXKRVpXKGq3ZeEwd3WDlnus1_h5OwBJyuk</v>
      </c>
      <c r="C447" s="1" t="str">
        <f t="shared" si="224"/>
        <v>Cómo cultivar cannabis a partir de semillas</v>
      </c>
    </row>
    <row r="448">
      <c r="A448" s="1" t="str">
        <f>HYPERLINK("https://docs.google.com/spreadsheets/d/1CVgasNp04xXKRVpXKGq3ZeEwd3WDlnus1_h5OwBJyuk","cuánto tiempo lleva cultivar cannabis")</f>
        <v>cuánto tiempo lleva cultivar cannabis</v>
      </c>
      <c r="B448" s="1" t="str">
        <f t="shared" si="223"/>
        <v>https://docs.google.com/spreadsheets/d/1CVgasNp04xXKRVpXKGq3ZeEwd3WDlnus1_h5OwBJyuk</v>
      </c>
      <c r="C448" s="1" t="str">
        <f t="shared" si="224"/>
        <v>Cómo cultivar cannabis a partir de semillas</v>
      </c>
    </row>
    <row r="449">
      <c r="A449" s="1" t="str">
        <f>HYPERLINK("https://docs.google.com/spreadsheets/d/1Rgaelf7iN-BWeS_VZEd-nQIaFEdgGTtpTp2GCy93yT0","Cómo cultivar cannabis en interiores")</f>
        <v>Cómo cultivar cannabis en interiores</v>
      </c>
      <c r="B449" s="1" t="str">
        <f t="shared" ref="B449:B452" si="225">HYPERLINK("https://docs.google.com/spreadsheets/d/1Rgaelf7iN-BWeS_VZEd-nQIaFEdgGTtpTp2GCy93yT0","https://docs.google.com/spreadsheets/d/1Rgaelf7iN-BWeS_VZEd-nQIaFEdgGTtpTp2GCy93yT0")</f>
        <v>https://docs.google.com/spreadsheets/d/1Rgaelf7iN-BWeS_VZEd-nQIaFEdgGTtpTp2GCy93yT0</v>
      </c>
      <c r="C449" s="1" t="str">
        <f t="shared" ref="C449:C452" si="226">HYPERLINK("https://docs.google.com/spreadsheets/d/1Rgaelf7iN-BWeS_VZEd-nQIaFEdgGTtpTp2GCy93yT0","Cómo cultivar cannabis a partir de semillas")</f>
        <v>Cómo cultivar cannabis a partir de semillas</v>
      </c>
    </row>
    <row r="450">
      <c r="A450" s="1" t="str">
        <f>HYPERLINK("https://docs.google.com/spreadsheets/d/1Rgaelf7iN-BWeS_VZEd-nQIaFEdgGTtpTp2GCy93yT0","como cultivar cannabis")</f>
        <v>como cultivar cannabis</v>
      </c>
      <c r="B450" s="1" t="str">
        <f t="shared" si="225"/>
        <v>https://docs.google.com/spreadsheets/d/1Rgaelf7iN-BWeS_VZEd-nQIaFEdgGTtpTp2GCy93yT0</v>
      </c>
      <c r="C450" s="1" t="str">
        <f t="shared" si="226"/>
        <v>Cómo cultivar cannabis a partir de semillas</v>
      </c>
    </row>
    <row r="451">
      <c r="A451" s="1" t="str">
        <f>HYPERLINK("https://docs.google.com/spreadsheets/d/1Rgaelf7iN-BWeS_VZEd-nQIaFEdgGTtpTp2GCy93yT0","Cómo cultivar cannabis al aire libre")</f>
        <v>Cómo cultivar cannabis al aire libre</v>
      </c>
      <c r="B451" s="1" t="str">
        <f t="shared" si="225"/>
        <v>https://docs.google.com/spreadsheets/d/1Rgaelf7iN-BWeS_VZEd-nQIaFEdgGTtpTp2GCy93yT0</v>
      </c>
      <c r="C451" s="1" t="str">
        <f t="shared" si="226"/>
        <v>Cómo cultivar cannabis a partir de semillas</v>
      </c>
    </row>
    <row r="452">
      <c r="A452" s="1" t="str">
        <f>HYPERLINK("https://docs.google.com/spreadsheets/d/1Rgaelf7iN-BWeS_VZEd-nQIaFEdgGTtpTp2GCy93yT0","cuánto tiempo lleva cultivar cannabis")</f>
        <v>cuánto tiempo lleva cultivar cannabis</v>
      </c>
      <c r="B452" s="1" t="str">
        <f t="shared" si="225"/>
        <v>https://docs.google.com/spreadsheets/d/1Rgaelf7iN-BWeS_VZEd-nQIaFEdgGTtpTp2GCy93yT0</v>
      </c>
      <c r="C452" s="1" t="str">
        <f t="shared" si="226"/>
        <v>Cómo cultivar cannabis a partir de semillas</v>
      </c>
    </row>
    <row r="453">
      <c r="A453" s="1" t="str">
        <f>HYPERLINK("https://drive.google.com/drive/folders/1_pjSKOCTQqeyNZ3KiUEAaWleIDuVot1h","Cómo cultivar cannabis en interiores")</f>
        <v>Cómo cultivar cannabis en interiores</v>
      </c>
      <c r="B453" s="1" t="str">
        <f t="shared" ref="B453:B456" si="227">HYPERLINK("https://drive.google.com/drive/folders/1_pjSKOCTQqeyNZ3KiUEAaWleIDuVot1h","https://drive.google.com/drive/folders/1_pjSKOCTQqeyNZ3KiUEAaWleIDuVot1h")</f>
        <v>https://drive.google.com/drive/folders/1_pjSKOCTQqeyNZ3KiUEAaWleIDuVot1h</v>
      </c>
      <c r="C453" s="1" t="str">
        <f t="shared" ref="C453:C456" si="228">HYPERLINK("https://drive.google.com/drive/folders/1_pjSKOCTQqeyNZ3KiUEAaWleIDuVot1h","Cómo cultivar cannabis a partir de semillas")</f>
        <v>Cómo cultivar cannabis a partir de semillas</v>
      </c>
    </row>
    <row r="454">
      <c r="A454" s="1" t="str">
        <f>HYPERLINK("https://drive.google.com/drive/folders/1_pjSKOCTQqeyNZ3KiUEAaWleIDuVot1h","como cultivar cannabis")</f>
        <v>como cultivar cannabis</v>
      </c>
      <c r="B454" s="1" t="str">
        <f t="shared" si="227"/>
        <v>https://drive.google.com/drive/folders/1_pjSKOCTQqeyNZ3KiUEAaWleIDuVot1h</v>
      </c>
      <c r="C454" s="1" t="str">
        <f t="shared" si="228"/>
        <v>Cómo cultivar cannabis a partir de semillas</v>
      </c>
    </row>
    <row r="455">
      <c r="A455" s="1" t="str">
        <f>HYPERLINK("https://drive.google.com/drive/folders/1_pjSKOCTQqeyNZ3KiUEAaWleIDuVot1h","Cómo cultivar cannabis al aire libre")</f>
        <v>Cómo cultivar cannabis al aire libre</v>
      </c>
      <c r="B455" s="1" t="str">
        <f t="shared" si="227"/>
        <v>https://drive.google.com/drive/folders/1_pjSKOCTQqeyNZ3KiUEAaWleIDuVot1h</v>
      </c>
      <c r="C455" s="1" t="str">
        <f t="shared" si="228"/>
        <v>Cómo cultivar cannabis a partir de semillas</v>
      </c>
    </row>
    <row r="456">
      <c r="A456" s="1" t="str">
        <f>HYPERLINK("https://drive.google.com/drive/folders/1_pjSKOCTQqeyNZ3KiUEAaWleIDuVot1h","cuánto tiempo lleva cultivar cannabis")</f>
        <v>cuánto tiempo lleva cultivar cannabis</v>
      </c>
      <c r="B456" s="1" t="str">
        <f t="shared" si="227"/>
        <v>https://drive.google.com/drive/folders/1_pjSKOCTQqeyNZ3KiUEAaWleIDuVot1h</v>
      </c>
      <c r="C456" s="1" t="str">
        <f t="shared" si="228"/>
        <v>Cómo cultivar cannabis a partir de semillas</v>
      </c>
    </row>
    <row r="457">
      <c r="A457" s="1" t="str">
        <f>HYPERLINK("https://docs.google.com/spreadsheets/d/1tRlFwWFeJ13M3frfM2uGeNGLJ4NVF2gMjdwHYRZqs30","Cómo cultivar cannabis en interiores")</f>
        <v>Cómo cultivar cannabis en interiores</v>
      </c>
      <c r="B457" s="1" t="str">
        <f t="shared" ref="B457:B460" si="229">HYPERLINK("https://docs.google.com/spreadsheets/d/1tRlFwWFeJ13M3frfM2uGeNGLJ4NVF2gMjdwHYRZqs30","https://docs.google.com/spreadsheets/d/1tRlFwWFeJ13M3frfM2uGeNGLJ4NVF2gMjdwHYRZqs30")</f>
        <v>https://docs.google.com/spreadsheets/d/1tRlFwWFeJ13M3frfM2uGeNGLJ4NVF2gMjdwHYRZqs30</v>
      </c>
      <c r="C457" s="1" t="str">
        <f t="shared" ref="C457:C460" si="230">HYPERLINK("https://docs.google.com/spreadsheets/d/1tRlFwWFeJ13M3frfM2uGeNGLJ4NVF2gMjdwHYRZqs30","Cómo cultivar cannabis a partir de semillas")</f>
        <v>Cómo cultivar cannabis a partir de semillas</v>
      </c>
    </row>
    <row r="458">
      <c r="A458" s="1" t="str">
        <f>HYPERLINK("https://docs.google.com/spreadsheets/d/1tRlFwWFeJ13M3frfM2uGeNGLJ4NVF2gMjdwHYRZqs30","como cultivar cannabis")</f>
        <v>como cultivar cannabis</v>
      </c>
      <c r="B458" s="1" t="str">
        <f t="shared" si="229"/>
        <v>https://docs.google.com/spreadsheets/d/1tRlFwWFeJ13M3frfM2uGeNGLJ4NVF2gMjdwHYRZqs30</v>
      </c>
      <c r="C458" s="1" t="str">
        <f t="shared" si="230"/>
        <v>Cómo cultivar cannabis a partir de semillas</v>
      </c>
    </row>
    <row r="459">
      <c r="A459" s="1" t="str">
        <f>HYPERLINK("https://docs.google.com/spreadsheets/d/1tRlFwWFeJ13M3frfM2uGeNGLJ4NVF2gMjdwHYRZqs30","Cómo cultivar cannabis al aire libre")</f>
        <v>Cómo cultivar cannabis al aire libre</v>
      </c>
      <c r="B459" s="1" t="str">
        <f t="shared" si="229"/>
        <v>https://docs.google.com/spreadsheets/d/1tRlFwWFeJ13M3frfM2uGeNGLJ4NVF2gMjdwHYRZqs30</v>
      </c>
      <c r="C459" s="1" t="str">
        <f t="shared" si="230"/>
        <v>Cómo cultivar cannabis a partir de semillas</v>
      </c>
    </row>
    <row r="460">
      <c r="A460" s="1" t="str">
        <f>HYPERLINK("https://docs.google.com/spreadsheets/d/1tRlFwWFeJ13M3frfM2uGeNGLJ4NVF2gMjdwHYRZqs30","cuánto tiempo lleva cultivar cannabis")</f>
        <v>cuánto tiempo lleva cultivar cannabis</v>
      </c>
      <c r="B460" s="1" t="str">
        <f t="shared" si="229"/>
        <v>https://docs.google.com/spreadsheets/d/1tRlFwWFeJ13M3frfM2uGeNGLJ4NVF2gMjdwHYRZqs30</v>
      </c>
      <c r="C460" s="1" t="str">
        <f t="shared" si="230"/>
        <v>Cómo cultivar cannabis a partir de semillas</v>
      </c>
    </row>
    <row r="461">
      <c r="A461" s="1" t="str">
        <f>HYPERLINK("https://docs.google.com/spreadsheets/d/1XcewgWLeFkw8BQHeFfyGBIX2XQFOJXm8axm-UG-IULQ","Cómo cultivar cannabis en interiores")</f>
        <v>Cómo cultivar cannabis en interiores</v>
      </c>
      <c r="B461" s="1" t="str">
        <f t="shared" ref="B461:B464" si="231">HYPERLINK("https://docs.google.com/spreadsheets/d/1XcewgWLeFkw8BQHeFfyGBIX2XQFOJXm8axm-UG-IULQ","https://docs.google.com/spreadsheets/d/1XcewgWLeFkw8BQHeFfyGBIX2XQFOJXm8axm-UG-IULQ")</f>
        <v>https://docs.google.com/spreadsheets/d/1XcewgWLeFkw8BQHeFfyGBIX2XQFOJXm8axm-UG-IULQ</v>
      </c>
      <c r="C461" s="1" t="str">
        <f t="shared" ref="C461:C464" si="232">HYPERLINK("https://docs.google.com/spreadsheets/d/1XcewgWLeFkw8BQHeFfyGBIX2XQFOJXm8axm-UG-IULQ","Cómo cultivar cannabis a partir de semillas")</f>
        <v>Cómo cultivar cannabis a partir de semillas</v>
      </c>
    </row>
    <row r="462">
      <c r="A462" s="1" t="str">
        <f>HYPERLINK("https://docs.google.com/spreadsheets/d/1XcewgWLeFkw8BQHeFfyGBIX2XQFOJXm8axm-UG-IULQ","como cultivar cannabis")</f>
        <v>como cultivar cannabis</v>
      </c>
      <c r="B462" s="1" t="str">
        <f t="shared" si="231"/>
        <v>https://docs.google.com/spreadsheets/d/1XcewgWLeFkw8BQHeFfyGBIX2XQFOJXm8axm-UG-IULQ</v>
      </c>
      <c r="C462" s="1" t="str">
        <f t="shared" si="232"/>
        <v>Cómo cultivar cannabis a partir de semillas</v>
      </c>
    </row>
    <row r="463">
      <c r="A463" s="1" t="str">
        <f>HYPERLINK("https://docs.google.com/spreadsheets/d/1XcewgWLeFkw8BQHeFfyGBIX2XQFOJXm8axm-UG-IULQ","Cómo cultivar cannabis al aire libre")</f>
        <v>Cómo cultivar cannabis al aire libre</v>
      </c>
      <c r="B463" s="1" t="str">
        <f t="shared" si="231"/>
        <v>https://docs.google.com/spreadsheets/d/1XcewgWLeFkw8BQHeFfyGBIX2XQFOJXm8axm-UG-IULQ</v>
      </c>
      <c r="C463" s="1" t="str">
        <f t="shared" si="232"/>
        <v>Cómo cultivar cannabis a partir de semillas</v>
      </c>
    </row>
    <row r="464">
      <c r="A464" s="1" t="str">
        <f>HYPERLINK("https://docs.google.com/spreadsheets/d/1XcewgWLeFkw8BQHeFfyGBIX2XQFOJXm8axm-UG-IULQ","cuánto tiempo lleva cultivar cannabis")</f>
        <v>cuánto tiempo lleva cultivar cannabis</v>
      </c>
      <c r="B464" s="1" t="str">
        <f t="shared" si="231"/>
        <v>https://docs.google.com/spreadsheets/d/1XcewgWLeFkw8BQHeFfyGBIX2XQFOJXm8axm-UG-IULQ</v>
      </c>
      <c r="C464" s="1" t="str">
        <f t="shared" si="232"/>
        <v>Cómo cultivar cannabis a partir de semillas</v>
      </c>
    </row>
    <row r="465">
      <c r="A465" s="1" t="str">
        <f>HYPERLINK("https://docs.google.com/spreadsheets/d/1E1wIr1R1Hl7XMySJj_xV2A8Bv4UULlQFeutBJrs7cvA","Cómo cultivar cannabis en interiores")</f>
        <v>Cómo cultivar cannabis en interiores</v>
      </c>
      <c r="B465" s="1" t="str">
        <f t="shared" ref="B465:B468" si="233">HYPERLINK("https://docs.google.com/spreadsheets/d/1E1wIr1R1Hl7XMySJj_xV2A8Bv4UULlQFeutBJrs7cvA","https://docs.google.com/spreadsheets/d/1E1wIr1R1Hl7XMySJj_xV2A8Bv4UULlQFeutBJrs7cvA")</f>
        <v>https://docs.google.com/spreadsheets/d/1E1wIr1R1Hl7XMySJj_xV2A8Bv4UULlQFeutBJrs7cvA</v>
      </c>
      <c r="C465" s="1" t="str">
        <f t="shared" ref="C465:C468" si="234">HYPERLINK("https://docs.google.com/spreadsheets/d/1E1wIr1R1Hl7XMySJj_xV2A8Bv4UULlQFeutBJrs7cvA","Cómo cultivar cannabis a partir de semillas")</f>
        <v>Cómo cultivar cannabis a partir de semillas</v>
      </c>
    </row>
    <row r="466">
      <c r="A466" s="1" t="str">
        <f>HYPERLINK("https://docs.google.com/spreadsheets/d/1E1wIr1R1Hl7XMySJj_xV2A8Bv4UULlQFeutBJrs7cvA","como cultivar cannabis")</f>
        <v>como cultivar cannabis</v>
      </c>
      <c r="B466" s="1" t="str">
        <f t="shared" si="233"/>
        <v>https://docs.google.com/spreadsheets/d/1E1wIr1R1Hl7XMySJj_xV2A8Bv4UULlQFeutBJrs7cvA</v>
      </c>
      <c r="C466" s="1" t="str">
        <f t="shared" si="234"/>
        <v>Cómo cultivar cannabis a partir de semillas</v>
      </c>
    </row>
    <row r="467">
      <c r="A467" s="1" t="str">
        <f>HYPERLINK("https://docs.google.com/spreadsheets/d/1E1wIr1R1Hl7XMySJj_xV2A8Bv4UULlQFeutBJrs7cvA","Cómo cultivar cannabis al aire libre")</f>
        <v>Cómo cultivar cannabis al aire libre</v>
      </c>
      <c r="B467" s="1" t="str">
        <f t="shared" si="233"/>
        <v>https://docs.google.com/spreadsheets/d/1E1wIr1R1Hl7XMySJj_xV2A8Bv4UULlQFeutBJrs7cvA</v>
      </c>
      <c r="C467" s="1" t="str">
        <f t="shared" si="234"/>
        <v>Cómo cultivar cannabis a partir de semillas</v>
      </c>
    </row>
    <row r="468">
      <c r="A468" s="1" t="str">
        <f>HYPERLINK("https://docs.google.com/spreadsheets/d/1E1wIr1R1Hl7XMySJj_xV2A8Bv4UULlQFeutBJrs7cvA","cuánto tiempo lleva cultivar cannabis")</f>
        <v>cuánto tiempo lleva cultivar cannabis</v>
      </c>
      <c r="B468" s="1" t="str">
        <f t="shared" si="233"/>
        <v>https://docs.google.com/spreadsheets/d/1E1wIr1R1Hl7XMySJj_xV2A8Bv4UULlQFeutBJrs7cvA</v>
      </c>
      <c r="C468" s="1" t="str">
        <f t="shared" si="234"/>
        <v>Cómo cultivar cannabis a partir de semillas</v>
      </c>
    </row>
    <row r="469">
      <c r="A469" s="1" t="str">
        <f>HYPERLINK("https://drive.google.com/drive/folders/1ab76EyikHIV_VFDe_e-B-6KJw_IRd5A5","Cómo cultivar cannabis en interiores")</f>
        <v>Cómo cultivar cannabis en interiores</v>
      </c>
      <c r="B469" s="1" t="str">
        <f t="shared" ref="B469:B472" si="235">HYPERLINK("https://drive.google.com/drive/folders/1ab76EyikHIV_VFDe_e-B-6KJw_IRd5A5","https://drive.google.com/drive/folders/1ab76EyikHIV_VFDe_e-B-6KJw_IRd5A5")</f>
        <v>https://drive.google.com/drive/folders/1ab76EyikHIV_VFDe_e-B-6KJw_IRd5A5</v>
      </c>
      <c r="C469" s="1" t="str">
        <f t="shared" ref="C469:C472" si="236">HYPERLINK("https://drive.google.com/drive/folders/1ab76EyikHIV_VFDe_e-B-6KJw_IRd5A5","Cómo cultivar cannabis a partir de semillas")</f>
        <v>Cómo cultivar cannabis a partir de semillas</v>
      </c>
    </row>
    <row r="470">
      <c r="A470" s="1" t="str">
        <f>HYPERLINK("https://drive.google.com/drive/folders/1ab76EyikHIV_VFDe_e-B-6KJw_IRd5A5","como cultivar cannabis")</f>
        <v>como cultivar cannabis</v>
      </c>
      <c r="B470" s="1" t="str">
        <f t="shared" si="235"/>
        <v>https://drive.google.com/drive/folders/1ab76EyikHIV_VFDe_e-B-6KJw_IRd5A5</v>
      </c>
      <c r="C470" s="1" t="str">
        <f t="shared" si="236"/>
        <v>Cómo cultivar cannabis a partir de semillas</v>
      </c>
    </row>
    <row r="471">
      <c r="A471" s="1" t="str">
        <f>HYPERLINK("https://drive.google.com/drive/folders/1ab76EyikHIV_VFDe_e-B-6KJw_IRd5A5","Cómo cultivar cannabis al aire libre")</f>
        <v>Cómo cultivar cannabis al aire libre</v>
      </c>
      <c r="B471" s="1" t="str">
        <f t="shared" si="235"/>
        <v>https://drive.google.com/drive/folders/1ab76EyikHIV_VFDe_e-B-6KJw_IRd5A5</v>
      </c>
      <c r="C471" s="1" t="str">
        <f t="shared" si="236"/>
        <v>Cómo cultivar cannabis a partir de semillas</v>
      </c>
    </row>
    <row r="472">
      <c r="A472" s="1" t="str">
        <f>HYPERLINK("https://drive.google.com/drive/folders/1ab76EyikHIV_VFDe_e-B-6KJw_IRd5A5","cuánto tiempo lleva cultivar cannabis")</f>
        <v>cuánto tiempo lleva cultivar cannabis</v>
      </c>
      <c r="B472" s="1" t="str">
        <f t="shared" si="235"/>
        <v>https://drive.google.com/drive/folders/1ab76EyikHIV_VFDe_e-B-6KJw_IRd5A5</v>
      </c>
      <c r="C472" s="1" t="str">
        <f t="shared" si="236"/>
        <v>Cómo cultivar cannabis a partir de semillas</v>
      </c>
    </row>
    <row r="473">
      <c r="A473" s="1" t="str">
        <f>HYPERLINK("https://drive.google.com/drive/folders/1AAzEOUoxvateZZ9JdE1LZExA3KpzIpZ8","Cómo cultivar cannabis en interiores")</f>
        <v>Cómo cultivar cannabis en interiores</v>
      </c>
      <c r="B473" s="1" t="str">
        <f t="shared" ref="B473:B476" si="237">HYPERLINK("https://drive.google.com/drive/folders/1AAzEOUoxvateZZ9JdE1LZExA3KpzIpZ8","https://drive.google.com/drive/folders/1AAzEOUoxvateZZ9JdE1LZExA3KpzIpZ8")</f>
        <v>https://drive.google.com/drive/folders/1AAzEOUoxvateZZ9JdE1LZExA3KpzIpZ8</v>
      </c>
      <c r="C473" s="1" t="str">
        <f t="shared" ref="C473:C476" si="238">HYPERLINK("https://drive.google.com/drive/folders/1AAzEOUoxvateZZ9JdE1LZExA3KpzIpZ8","Cómo cultivar cannabis a partir de semillas")</f>
        <v>Cómo cultivar cannabis a partir de semillas</v>
      </c>
    </row>
    <row r="474">
      <c r="A474" s="1" t="str">
        <f>HYPERLINK("https://drive.google.com/drive/folders/1AAzEOUoxvateZZ9JdE1LZExA3KpzIpZ8","como cultivar cannabis")</f>
        <v>como cultivar cannabis</v>
      </c>
      <c r="B474" s="1" t="str">
        <f t="shared" si="237"/>
        <v>https://drive.google.com/drive/folders/1AAzEOUoxvateZZ9JdE1LZExA3KpzIpZ8</v>
      </c>
      <c r="C474" s="1" t="str">
        <f t="shared" si="238"/>
        <v>Cómo cultivar cannabis a partir de semillas</v>
      </c>
    </row>
    <row r="475">
      <c r="A475" s="1" t="str">
        <f>HYPERLINK("https://drive.google.com/drive/folders/1AAzEOUoxvateZZ9JdE1LZExA3KpzIpZ8","Cómo cultivar cannabis al aire libre")</f>
        <v>Cómo cultivar cannabis al aire libre</v>
      </c>
      <c r="B475" s="1" t="str">
        <f t="shared" si="237"/>
        <v>https://drive.google.com/drive/folders/1AAzEOUoxvateZZ9JdE1LZExA3KpzIpZ8</v>
      </c>
      <c r="C475" s="1" t="str">
        <f t="shared" si="238"/>
        <v>Cómo cultivar cannabis a partir de semillas</v>
      </c>
    </row>
    <row r="476">
      <c r="A476" s="1" t="str">
        <f>HYPERLINK("https://drive.google.com/drive/folders/1AAzEOUoxvateZZ9JdE1LZExA3KpzIpZ8","cuánto tiempo lleva cultivar cannabis")</f>
        <v>cuánto tiempo lleva cultivar cannabis</v>
      </c>
      <c r="B476" s="1" t="str">
        <f t="shared" si="237"/>
        <v>https://drive.google.com/drive/folders/1AAzEOUoxvateZZ9JdE1LZExA3KpzIpZ8</v>
      </c>
      <c r="C476" s="1" t="str">
        <f t="shared" si="238"/>
        <v>Cómo cultivar cannabis a partir de semillas</v>
      </c>
    </row>
    <row r="477">
      <c r="A477" s="1" t="str">
        <f>HYPERLINK("https://docs.google.com/spreadsheets/d/1UGV9GakORpaZOanfB2dE5JfBSY5dg_LbR_yYiE4fxvU","Cómo cultivar cannabis en interiores")</f>
        <v>Cómo cultivar cannabis en interiores</v>
      </c>
      <c r="B477" s="1" t="str">
        <f t="shared" ref="B477:B480" si="239">HYPERLINK("https://docs.google.com/spreadsheets/d/1UGV9GakORpaZOanfB2dE5JfBSY5dg_LbR_yYiE4fxvU","https://docs.google.com/spreadsheets/d/1UGV9GakORpaZOanfB2dE5JfBSY5dg_LbR_yYiE4fxvU")</f>
        <v>https://docs.google.com/spreadsheets/d/1UGV9GakORpaZOanfB2dE5JfBSY5dg_LbR_yYiE4fxvU</v>
      </c>
      <c r="C477" s="1" t="str">
        <f t="shared" ref="C477:C480" si="240">HYPERLINK("https://docs.google.com/spreadsheets/d/1UGV9GakORpaZOanfB2dE5JfBSY5dg_LbR_yYiE4fxvU","Cómo cultivar cannabis a partir de semillas")</f>
        <v>Cómo cultivar cannabis a partir de semillas</v>
      </c>
    </row>
    <row r="478">
      <c r="A478" s="1" t="str">
        <f>HYPERLINK("https://docs.google.com/spreadsheets/d/1UGV9GakORpaZOanfB2dE5JfBSY5dg_LbR_yYiE4fxvU","como cultivar cannabis")</f>
        <v>como cultivar cannabis</v>
      </c>
      <c r="B478" s="1" t="str">
        <f t="shared" si="239"/>
        <v>https://docs.google.com/spreadsheets/d/1UGV9GakORpaZOanfB2dE5JfBSY5dg_LbR_yYiE4fxvU</v>
      </c>
      <c r="C478" s="1" t="str">
        <f t="shared" si="240"/>
        <v>Cómo cultivar cannabis a partir de semillas</v>
      </c>
    </row>
    <row r="479">
      <c r="A479" s="1" t="str">
        <f>HYPERLINK("https://docs.google.com/spreadsheets/d/1UGV9GakORpaZOanfB2dE5JfBSY5dg_LbR_yYiE4fxvU","Cómo cultivar cannabis al aire libre")</f>
        <v>Cómo cultivar cannabis al aire libre</v>
      </c>
      <c r="B479" s="1" t="str">
        <f t="shared" si="239"/>
        <v>https://docs.google.com/spreadsheets/d/1UGV9GakORpaZOanfB2dE5JfBSY5dg_LbR_yYiE4fxvU</v>
      </c>
      <c r="C479" s="1" t="str">
        <f t="shared" si="240"/>
        <v>Cómo cultivar cannabis a partir de semillas</v>
      </c>
    </row>
    <row r="480">
      <c r="A480" s="1" t="str">
        <f>HYPERLINK("https://docs.google.com/spreadsheets/d/1UGV9GakORpaZOanfB2dE5JfBSY5dg_LbR_yYiE4fxvU","cuánto tiempo lleva cultivar cannabis")</f>
        <v>cuánto tiempo lleva cultivar cannabis</v>
      </c>
      <c r="B480" s="1" t="str">
        <f t="shared" si="239"/>
        <v>https://docs.google.com/spreadsheets/d/1UGV9GakORpaZOanfB2dE5JfBSY5dg_LbR_yYiE4fxvU</v>
      </c>
      <c r="C480" s="1" t="str">
        <f t="shared" si="240"/>
        <v>Cómo cultivar cannabis a partir de semillas</v>
      </c>
    </row>
    <row r="481">
      <c r="A481" s="1" t="str">
        <f>HYPERLINK("https://drive.google.com/drive/folders/15F28x-9-jhUIq_A1caJAkGSlcR2rGLEb","Cómo cultivar cannabis en interiores")</f>
        <v>Cómo cultivar cannabis en interiores</v>
      </c>
      <c r="B481" s="1" t="str">
        <f t="shared" ref="B481:B484" si="241">HYPERLINK("https://drive.google.com/drive/folders/15F28x-9-jhUIq_A1caJAkGSlcR2rGLEb","https://drive.google.com/drive/folders/15F28x-9-jhUIq_A1caJAkGSlcR2rGLEb")</f>
        <v>https://drive.google.com/drive/folders/15F28x-9-jhUIq_A1caJAkGSlcR2rGLEb</v>
      </c>
      <c r="C481" s="1" t="str">
        <f t="shared" ref="C481:C484" si="242">HYPERLINK("https://drive.google.com/drive/folders/15F28x-9-jhUIq_A1caJAkGSlcR2rGLEb","Cómo cultivar cannabis a partir de semillas")</f>
        <v>Cómo cultivar cannabis a partir de semillas</v>
      </c>
    </row>
    <row r="482">
      <c r="A482" s="1" t="str">
        <f>HYPERLINK("https://drive.google.com/drive/folders/15F28x-9-jhUIq_A1caJAkGSlcR2rGLEb","como cultivar cannabis")</f>
        <v>como cultivar cannabis</v>
      </c>
      <c r="B482" s="1" t="str">
        <f t="shared" si="241"/>
        <v>https://drive.google.com/drive/folders/15F28x-9-jhUIq_A1caJAkGSlcR2rGLEb</v>
      </c>
      <c r="C482" s="1" t="str">
        <f t="shared" si="242"/>
        <v>Cómo cultivar cannabis a partir de semillas</v>
      </c>
    </row>
    <row r="483">
      <c r="A483" s="1" t="str">
        <f>HYPERLINK("https://drive.google.com/drive/folders/15F28x-9-jhUIq_A1caJAkGSlcR2rGLEb","Cómo cultivar cannabis al aire libre")</f>
        <v>Cómo cultivar cannabis al aire libre</v>
      </c>
      <c r="B483" s="1" t="str">
        <f t="shared" si="241"/>
        <v>https://drive.google.com/drive/folders/15F28x-9-jhUIq_A1caJAkGSlcR2rGLEb</v>
      </c>
      <c r="C483" s="1" t="str">
        <f t="shared" si="242"/>
        <v>Cómo cultivar cannabis a partir de semillas</v>
      </c>
    </row>
    <row r="484">
      <c r="A484" s="1" t="str">
        <f>HYPERLINK("https://drive.google.com/drive/folders/15F28x-9-jhUIq_A1caJAkGSlcR2rGLEb","cuánto tiempo lleva cultivar cannabis")</f>
        <v>cuánto tiempo lleva cultivar cannabis</v>
      </c>
      <c r="B484" s="1" t="str">
        <f t="shared" si="241"/>
        <v>https://drive.google.com/drive/folders/15F28x-9-jhUIq_A1caJAkGSlcR2rGLEb</v>
      </c>
      <c r="C484" s="1" t="str">
        <f t="shared" si="242"/>
        <v>Cómo cultivar cannabis a partir de semillas</v>
      </c>
    </row>
    <row r="485">
      <c r="A485" s="1" t="str">
        <f>HYPERLINK("https://drive.google.com/drive/folders/1n2MpsG_IOkEeaW1V-HCNznoF62WRHgxw","Cómo cultivar cannabis en interiores")</f>
        <v>Cómo cultivar cannabis en interiores</v>
      </c>
      <c r="B485" s="1" t="str">
        <f t="shared" ref="B485:B488" si="243">HYPERLINK("https://drive.google.com/drive/folders/1n2MpsG_IOkEeaW1V-HCNznoF62WRHgxw","https://drive.google.com/drive/folders/1n2MpsG_IOkEeaW1V-HCNznoF62WRHgxw")</f>
        <v>https://drive.google.com/drive/folders/1n2MpsG_IOkEeaW1V-HCNznoF62WRHgxw</v>
      </c>
      <c r="C485" s="1" t="str">
        <f t="shared" ref="C485:C488" si="244">HYPERLINK("https://drive.google.com/drive/folders/1n2MpsG_IOkEeaW1V-HCNznoF62WRHgxw","Cómo cultivar cannabis a partir de semillas")</f>
        <v>Cómo cultivar cannabis a partir de semillas</v>
      </c>
    </row>
    <row r="486">
      <c r="A486" s="1" t="str">
        <f>HYPERLINK("https://drive.google.com/drive/folders/1n2MpsG_IOkEeaW1V-HCNznoF62WRHgxw","como cultivar cannabis")</f>
        <v>como cultivar cannabis</v>
      </c>
      <c r="B486" s="1" t="str">
        <f t="shared" si="243"/>
        <v>https://drive.google.com/drive/folders/1n2MpsG_IOkEeaW1V-HCNznoF62WRHgxw</v>
      </c>
      <c r="C486" s="1" t="str">
        <f t="shared" si="244"/>
        <v>Cómo cultivar cannabis a partir de semillas</v>
      </c>
    </row>
    <row r="487">
      <c r="A487" s="1" t="str">
        <f>HYPERLINK("https://drive.google.com/drive/folders/1n2MpsG_IOkEeaW1V-HCNznoF62WRHgxw","Cómo cultivar cannabis al aire libre")</f>
        <v>Cómo cultivar cannabis al aire libre</v>
      </c>
      <c r="B487" s="1" t="str">
        <f t="shared" si="243"/>
        <v>https://drive.google.com/drive/folders/1n2MpsG_IOkEeaW1V-HCNznoF62WRHgxw</v>
      </c>
      <c r="C487" s="1" t="str">
        <f t="shared" si="244"/>
        <v>Cómo cultivar cannabis a partir de semillas</v>
      </c>
    </row>
    <row r="488">
      <c r="A488" s="1" t="str">
        <f>HYPERLINK("https://drive.google.com/drive/folders/1n2MpsG_IOkEeaW1V-HCNznoF62WRHgxw","cuánto tiempo lleva cultivar cannabis")</f>
        <v>cuánto tiempo lleva cultivar cannabis</v>
      </c>
      <c r="B488" s="1" t="str">
        <f t="shared" si="243"/>
        <v>https://drive.google.com/drive/folders/1n2MpsG_IOkEeaW1V-HCNznoF62WRHgxw</v>
      </c>
      <c r="C488" s="1" t="str">
        <f t="shared" si="244"/>
        <v>Cómo cultivar cannabis a partir de semillas</v>
      </c>
    </row>
    <row r="489">
      <c r="A489" s="1" t="str">
        <f>HYPERLINK("https://drive.google.com/drive/folders/1PRGPWrz2g3p6SYNBbndOs-x40JFUXM9B","Cómo cultivar cannabis en interiores")</f>
        <v>Cómo cultivar cannabis en interiores</v>
      </c>
      <c r="B489" s="1" t="str">
        <f t="shared" ref="B489:B492" si="245">HYPERLINK("https://drive.google.com/drive/folders/1PRGPWrz2g3p6SYNBbndOs-x40JFUXM9B","https://drive.google.com/drive/folders/1PRGPWrz2g3p6SYNBbndOs-x40JFUXM9B")</f>
        <v>https://drive.google.com/drive/folders/1PRGPWrz2g3p6SYNBbndOs-x40JFUXM9B</v>
      </c>
      <c r="C489" s="1" t="str">
        <f t="shared" ref="C489:C492" si="246">HYPERLINK("https://drive.google.com/drive/folders/1PRGPWrz2g3p6SYNBbndOs-x40JFUXM9B","Cómo cultivar cannabis a partir de semillas")</f>
        <v>Cómo cultivar cannabis a partir de semillas</v>
      </c>
    </row>
    <row r="490">
      <c r="A490" s="1" t="str">
        <f>HYPERLINK("https://drive.google.com/drive/folders/1PRGPWrz2g3p6SYNBbndOs-x40JFUXM9B","como cultivar cannabis")</f>
        <v>como cultivar cannabis</v>
      </c>
      <c r="B490" s="1" t="str">
        <f t="shared" si="245"/>
        <v>https://drive.google.com/drive/folders/1PRGPWrz2g3p6SYNBbndOs-x40JFUXM9B</v>
      </c>
      <c r="C490" s="1" t="str">
        <f t="shared" si="246"/>
        <v>Cómo cultivar cannabis a partir de semillas</v>
      </c>
    </row>
    <row r="491">
      <c r="A491" s="1" t="str">
        <f>HYPERLINK("https://drive.google.com/drive/folders/1PRGPWrz2g3p6SYNBbndOs-x40JFUXM9B","Cómo cultivar cannabis al aire libre")</f>
        <v>Cómo cultivar cannabis al aire libre</v>
      </c>
      <c r="B491" s="1" t="str">
        <f t="shared" si="245"/>
        <v>https://drive.google.com/drive/folders/1PRGPWrz2g3p6SYNBbndOs-x40JFUXM9B</v>
      </c>
      <c r="C491" s="1" t="str">
        <f t="shared" si="246"/>
        <v>Cómo cultivar cannabis a partir de semillas</v>
      </c>
    </row>
    <row r="492">
      <c r="A492" s="1" t="str">
        <f>HYPERLINK("https://drive.google.com/drive/folders/1PRGPWrz2g3p6SYNBbndOs-x40JFUXM9B","cuánto tiempo lleva cultivar cannabis")</f>
        <v>cuánto tiempo lleva cultivar cannabis</v>
      </c>
      <c r="B492" s="1" t="str">
        <f t="shared" si="245"/>
        <v>https://drive.google.com/drive/folders/1PRGPWrz2g3p6SYNBbndOs-x40JFUXM9B</v>
      </c>
      <c r="C492" s="1" t="str">
        <f t="shared" si="246"/>
        <v>Cómo cultivar cannabis a partir de semillas</v>
      </c>
    </row>
    <row r="493">
      <c r="A493" s="1" t="str">
        <f>HYPERLINK("https://drive.google.com/drive/folders/1EBQ1erfbZuPy_knH71-fk0Hzatm-EvVU","Cómo cultivar cannabis en interiores")</f>
        <v>Cómo cultivar cannabis en interiores</v>
      </c>
      <c r="B493" s="1" t="str">
        <f t="shared" ref="B493:B496" si="247">HYPERLINK("https://drive.google.com/drive/folders/1EBQ1erfbZuPy_knH71-fk0Hzatm-EvVU","https://drive.google.com/drive/folders/1EBQ1erfbZuPy_knH71-fk0Hzatm-EvVU")</f>
        <v>https://drive.google.com/drive/folders/1EBQ1erfbZuPy_knH71-fk0Hzatm-EvVU</v>
      </c>
      <c r="C493" s="1" t="str">
        <f t="shared" ref="C493:C496" si="248">HYPERLINK("https://drive.google.com/drive/folders/1EBQ1erfbZuPy_knH71-fk0Hzatm-EvVU","Cómo cultivar cannabis a partir de semillas")</f>
        <v>Cómo cultivar cannabis a partir de semillas</v>
      </c>
    </row>
    <row r="494">
      <c r="A494" s="1" t="str">
        <f>HYPERLINK("https://drive.google.com/drive/folders/1EBQ1erfbZuPy_knH71-fk0Hzatm-EvVU","como cultivar cannabis")</f>
        <v>como cultivar cannabis</v>
      </c>
      <c r="B494" s="1" t="str">
        <f t="shared" si="247"/>
        <v>https://drive.google.com/drive/folders/1EBQ1erfbZuPy_knH71-fk0Hzatm-EvVU</v>
      </c>
      <c r="C494" s="1" t="str">
        <f t="shared" si="248"/>
        <v>Cómo cultivar cannabis a partir de semillas</v>
      </c>
    </row>
    <row r="495">
      <c r="A495" s="1" t="str">
        <f>HYPERLINK("https://drive.google.com/drive/folders/1EBQ1erfbZuPy_knH71-fk0Hzatm-EvVU","Cómo cultivar cannabis al aire libre")</f>
        <v>Cómo cultivar cannabis al aire libre</v>
      </c>
      <c r="B495" s="1" t="str">
        <f t="shared" si="247"/>
        <v>https://drive.google.com/drive/folders/1EBQ1erfbZuPy_knH71-fk0Hzatm-EvVU</v>
      </c>
      <c r="C495" s="1" t="str">
        <f t="shared" si="248"/>
        <v>Cómo cultivar cannabis a partir de semillas</v>
      </c>
    </row>
    <row r="496">
      <c r="A496" s="1" t="str">
        <f>HYPERLINK("https://drive.google.com/drive/folders/1EBQ1erfbZuPy_knH71-fk0Hzatm-EvVU","cuánto tiempo lleva cultivar cannabis")</f>
        <v>cuánto tiempo lleva cultivar cannabis</v>
      </c>
      <c r="B496" s="1" t="str">
        <f t="shared" si="247"/>
        <v>https://drive.google.com/drive/folders/1EBQ1erfbZuPy_knH71-fk0Hzatm-EvVU</v>
      </c>
      <c r="C496" s="1" t="str">
        <f t="shared" si="248"/>
        <v>Cómo cultivar cannabis a partir de semillas</v>
      </c>
    </row>
    <row r="497">
      <c r="A497" s="1" t="str">
        <f>HYPERLINK("https://drive.google.com/drive/folders/18p4VHvnYZaJITEZIZEzyCQxrpJQ9IGKc","Cómo cultivar cannabis en interiores")</f>
        <v>Cómo cultivar cannabis en interiores</v>
      </c>
      <c r="B497" s="1" t="str">
        <f t="shared" ref="B497:B500" si="249">HYPERLINK("https://drive.google.com/drive/folders/18p4VHvnYZaJITEZIZEzyCQxrpJQ9IGKc","https://drive.google.com/drive/folders/18p4VHvnYZaJITEZIZEzyCQxrpJQ9IGKc")</f>
        <v>https://drive.google.com/drive/folders/18p4VHvnYZaJITEZIZEzyCQxrpJQ9IGKc</v>
      </c>
      <c r="C497" s="1" t="str">
        <f t="shared" ref="C497:C500" si="250">HYPERLINK("https://drive.google.com/drive/folders/18p4VHvnYZaJITEZIZEzyCQxrpJQ9IGKc","Cómo cultivar cannabis a partir de semillas")</f>
        <v>Cómo cultivar cannabis a partir de semillas</v>
      </c>
    </row>
    <row r="498">
      <c r="A498" s="1" t="str">
        <f>HYPERLINK("https://drive.google.com/drive/folders/18p4VHvnYZaJITEZIZEzyCQxrpJQ9IGKc","como cultivar cannabis")</f>
        <v>como cultivar cannabis</v>
      </c>
      <c r="B498" s="1" t="str">
        <f t="shared" si="249"/>
        <v>https://drive.google.com/drive/folders/18p4VHvnYZaJITEZIZEzyCQxrpJQ9IGKc</v>
      </c>
      <c r="C498" s="1" t="str">
        <f t="shared" si="250"/>
        <v>Cómo cultivar cannabis a partir de semillas</v>
      </c>
    </row>
    <row r="499">
      <c r="A499" s="1" t="str">
        <f>HYPERLINK("https://drive.google.com/drive/folders/18p4VHvnYZaJITEZIZEzyCQxrpJQ9IGKc","Cómo cultivar cannabis al aire libre")</f>
        <v>Cómo cultivar cannabis al aire libre</v>
      </c>
      <c r="B499" s="1" t="str">
        <f t="shared" si="249"/>
        <v>https://drive.google.com/drive/folders/18p4VHvnYZaJITEZIZEzyCQxrpJQ9IGKc</v>
      </c>
      <c r="C499" s="1" t="str">
        <f t="shared" si="250"/>
        <v>Cómo cultivar cannabis a partir de semillas</v>
      </c>
    </row>
    <row r="500">
      <c r="A500" s="1" t="str">
        <f>HYPERLINK("https://drive.google.com/drive/folders/18p4VHvnYZaJITEZIZEzyCQxrpJQ9IGKc","cuánto tiempo lleva cultivar cannabis")</f>
        <v>cuánto tiempo lleva cultivar cannabis</v>
      </c>
      <c r="B500" s="1" t="str">
        <f t="shared" si="249"/>
        <v>https://drive.google.com/drive/folders/18p4VHvnYZaJITEZIZEzyCQxrpJQ9IGKc</v>
      </c>
      <c r="C500" s="1" t="str">
        <f t="shared" si="250"/>
        <v>Cómo cultivar cannabis a partir de semillas</v>
      </c>
    </row>
    <row r="501">
      <c r="A501" s="1" t="str">
        <f>HYPERLINK("https://drive.google.com/drive/folders/1y5IKEdNQruf0sNCq9FVboW-3u7XjFiRW","Cómo cultivar cannabis en interiores")</f>
        <v>Cómo cultivar cannabis en interiores</v>
      </c>
      <c r="B501" s="1" t="str">
        <f t="shared" ref="B501:B504" si="251">HYPERLINK("https://drive.google.com/drive/folders/1y5IKEdNQruf0sNCq9FVboW-3u7XjFiRW","https://drive.google.com/drive/folders/1y5IKEdNQruf0sNCq9FVboW-3u7XjFiRW")</f>
        <v>https://drive.google.com/drive/folders/1y5IKEdNQruf0sNCq9FVboW-3u7XjFiRW</v>
      </c>
      <c r="C501" s="1" t="str">
        <f t="shared" ref="C501:C504" si="252">HYPERLINK("https://drive.google.com/drive/folders/1y5IKEdNQruf0sNCq9FVboW-3u7XjFiRW","Cómo cultivar cannabis a partir de semillas")</f>
        <v>Cómo cultivar cannabis a partir de semillas</v>
      </c>
    </row>
    <row r="502">
      <c r="A502" s="1" t="str">
        <f>HYPERLINK("https://drive.google.com/drive/folders/1y5IKEdNQruf0sNCq9FVboW-3u7XjFiRW","como cultivar cannabis")</f>
        <v>como cultivar cannabis</v>
      </c>
      <c r="B502" s="1" t="str">
        <f t="shared" si="251"/>
        <v>https://drive.google.com/drive/folders/1y5IKEdNQruf0sNCq9FVboW-3u7XjFiRW</v>
      </c>
      <c r="C502" s="1" t="str">
        <f t="shared" si="252"/>
        <v>Cómo cultivar cannabis a partir de semillas</v>
      </c>
    </row>
    <row r="503">
      <c r="A503" s="1" t="str">
        <f>HYPERLINK("https://drive.google.com/drive/folders/1y5IKEdNQruf0sNCq9FVboW-3u7XjFiRW","Cómo cultivar cannabis al aire libre")</f>
        <v>Cómo cultivar cannabis al aire libre</v>
      </c>
      <c r="B503" s="1" t="str">
        <f t="shared" si="251"/>
        <v>https://drive.google.com/drive/folders/1y5IKEdNQruf0sNCq9FVboW-3u7XjFiRW</v>
      </c>
      <c r="C503" s="1" t="str">
        <f t="shared" si="252"/>
        <v>Cómo cultivar cannabis a partir de semillas</v>
      </c>
    </row>
    <row r="504">
      <c r="A504" s="1" t="str">
        <f>HYPERLINK("https://drive.google.com/drive/folders/1y5IKEdNQruf0sNCq9FVboW-3u7XjFiRW","cuánto tiempo lleva cultivar cannabis")</f>
        <v>cuánto tiempo lleva cultivar cannabis</v>
      </c>
      <c r="B504" s="1" t="str">
        <f t="shared" si="251"/>
        <v>https://drive.google.com/drive/folders/1y5IKEdNQruf0sNCq9FVboW-3u7XjFiRW</v>
      </c>
      <c r="C504" s="1" t="str">
        <f t="shared" si="252"/>
        <v>Cómo cultivar cannabis a partir de semillas</v>
      </c>
    </row>
    <row r="505">
      <c r="A505" s="1" t="str">
        <f>HYPERLINK("https://docs.google.com/spreadsheets/d/1rNfS5dvd3H50xorUd3d6zABEZsogri23eESzGYwQ2G4","Cómo cultivar cannabis en interiores")</f>
        <v>Cómo cultivar cannabis en interiores</v>
      </c>
      <c r="B505" s="1" t="str">
        <f t="shared" ref="B505:B508" si="253">HYPERLINK("https://docs.google.com/spreadsheets/d/1rNfS5dvd3H50xorUd3d6zABEZsogri23eESzGYwQ2G4","https://docs.google.com/spreadsheets/d/1rNfS5dvd3H50xorUd3d6zABEZsogri23eESzGYwQ2G4")</f>
        <v>https://docs.google.com/spreadsheets/d/1rNfS5dvd3H50xorUd3d6zABEZsogri23eESzGYwQ2G4</v>
      </c>
      <c r="C505" s="1" t="str">
        <f t="shared" ref="C505:C508" si="254">HYPERLINK("https://docs.google.com/spreadsheets/d/1rNfS5dvd3H50xorUd3d6zABEZsogri23eESzGYwQ2G4","Cómo cultivar cannabis a partir de semillas")</f>
        <v>Cómo cultivar cannabis a partir de semillas</v>
      </c>
    </row>
    <row r="506">
      <c r="A506" s="1" t="str">
        <f>HYPERLINK("https://docs.google.com/spreadsheets/d/1rNfS5dvd3H50xorUd3d6zABEZsogri23eESzGYwQ2G4","como cultivar cannabis")</f>
        <v>como cultivar cannabis</v>
      </c>
      <c r="B506" s="1" t="str">
        <f t="shared" si="253"/>
        <v>https://docs.google.com/spreadsheets/d/1rNfS5dvd3H50xorUd3d6zABEZsogri23eESzGYwQ2G4</v>
      </c>
      <c r="C506" s="1" t="str">
        <f t="shared" si="254"/>
        <v>Cómo cultivar cannabis a partir de semillas</v>
      </c>
    </row>
    <row r="507">
      <c r="A507" s="1" t="str">
        <f>HYPERLINK("https://docs.google.com/spreadsheets/d/1rNfS5dvd3H50xorUd3d6zABEZsogri23eESzGYwQ2G4","Cómo cultivar cannabis al aire libre")</f>
        <v>Cómo cultivar cannabis al aire libre</v>
      </c>
      <c r="B507" s="1" t="str">
        <f t="shared" si="253"/>
        <v>https://docs.google.com/spreadsheets/d/1rNfS5dvd3H50xorUd3d6zABEZsogri23eESzGYwQ2G4</v>
      </c>
      <c r="C507" s="1" t="str">
        <f t="shared" si="254"/>
        <v>Cómo cultivar cannabis a partir de semillas</v>
      </c>
    </row>
    <row r="508">
      <c r="A508" s="1" t="str">
        <f>HYPERLINK("https://docs.google.com/spreadsheets/d/1rNfS5dvd3H50xorUd3d6zABEZsogri23eESzGYwQ2G4","cuánto tiempo lleva cultivar cannabis")</f>
        <v>cuánto tiempo lleva cultivar cannabis</v>
      </c>
      <c r="B508" s="1" t="str">
        <f t="shared" si="253"/>
        <v>https://docs.google.com/spreadsheets/d/1rNfS5dvd3H50xorUd3d6zABEZsogri23eESzGYwQ2G4</v>
      </c>
      <c r="C508" s="1" t="str">
        <f t="shared" si="254"/>
        <v>Cómo cultivar cannabis a partir de semillas</v>
      </c>
    </row>
    <row r="509">
      <c r="A509" s="1" t="str">
        <f>HYPERLINK("https://drive.google.com/drive/folders/1pmLEP_tN0YU6ogbsMd0qMav9LbaH8QEh","Cómo cultivar cannabis en interiores")</f>
        <v>Cómo cultivar cannabis en interiores</v>
      </c>
      <c r="B509" s="1" t="str">
        <f t="shared" ref="B509:B512" si="255">HYPERLINK("https://drive.google.com/drive/folders/1pmLEP_tN0YU6ogbsMd0qMav9LbaH8QEh","https://drive.google.com/drive/folders/1pmLEP_tN0YU6ogbsMd0qMav9LbaH8QEh")</f>
        <v>https://drive.google.com/drive/folders/1pmLEP_tN0YU6ogbsMd0qMav9LbaH8QEh</v>
      </c>
      <c r="C509" s="1" t="str">
        <f t="shared" ref="C509:C512" si="256">HYPERLINK("https://drive.google.com/drive/folders/1pmLEP_tN0YU6ogbsMd0qMav9LbaH8QEh","Cómo cultivar cannabis a partir de semillas")</f>
        <v>Cómo cultivar cannabis a partir de semillas</v>
      </c>
    </row>
    <row r="510">
      <c r="A510" s="1" t="str">
        <f>HYPERLINK("https://drive.google.com/drive/folders/1pmLEP_tN0YU6ogbsMd0qMav9LbaH8QEh","como cultivar cannabis")</f>
        <v>como cultivar cannabis</v>
      </c>
      <c r="B510" s="1" t="str">
        <f t="shared" si="255"/>
        <v>https://drive.google.com/drive/folders/1pmLEP_tN0YU6ogbsMd0qMav9LbaH8QEh</v>
      </c>
      <c r="C510" s="1" t="str">
        <f t="shared" si="256"/>
        <v>Cómo cultivar cannabis a partir de semillas</v>
      </c>
    </row>
    <row r="511">
      <c r="A511" s="1" t="str">
        <f>HYPERLINK("https://drive.google.com/drive/folders/1pmLEP_tN0YU6ogbsMd0qMav9LbaH8QEh","Cómo cultivar cannabis al aire libre")</f>
        <v>Cómo cultivar cannabis al aire libre</v>
      </c>
      <c r="B511" s="1" t="str">
        <f t="shared" si="255"/>
        <v>https://drive.google.com/drive/folders/1pmLEP_tN0YU6ogbsMd0qMav9LbaH8QEh</v>
      </c>
      <c r="C511" s="1" t="str">
        <f t="shared" si="256"/>
        <v>Cómo cultivar cannabis a partir de semillas</v>
      </c>
    </row>
    <row r="512">
      <c r="A512" s="1" t="str">
        <f>HYPERLINK("https://drive.google.com/drive/folders/1pmLEP_tN0YU6ogbsMd0qMav9LbaH8QEh","cuánto tiempo lleva cultivar cannabis")</f>
        <v>cuánto tiempo lleva cultivar cannabis</v>
      </c>
      <c r="B512" s="1" t="str">
        <f t="shared" si="255"/>
        <v>https://drive.google.com/drive/folders/1pmLEP_tN0YU6ogbsMd0qMav9LbaH8QEh</v>
      </c>
      <c r="C512" s="1" t="str">
        <f t="shared" si="256"/>
        <v>Cómo cultivar cannabis a partir de semillas</v>
      </c>
    </row>
    <row r="513">
      <c r="A513" s="1" t="str">
        <f>HYPERLINK("https://drive.google.com/drive/folders/1X_jF0rOoiLzBftLCIX1DxCZVWgPJfi0M","Cómo cultivar cannabis en interiores")</f>
        <v>Cómo cultivar cannabis en interiores</v>
      </c>
      <c r="B513" s="1" t="str">
        <f t="shared" ref="B513:B516" si="257">HYPERLINK("https://drive.google.com/drive/folders/1X_jF0rOoiLzBftLCIX1DxCZVWgPJfi0M","https://drive.google.com/drive/folders/1X_jF0rOoiLzBftLCIX1DxCZVWgPJfi0M")</f>
        <v>https://drive.google.com/drive/folders/1X_jF0rOoiLzBftLCIX1DxCZVWgPJfi0M</v>
      </c>
      <c r="C513" s="1" t="str">
        <f t="shared" ref="C513:C516" si="258">HYPERLINK("https://drive.google.com/drive/folders/1X_jF0rOoiLzBftLCIX1DxCZVWgPJfi0M","Cómo cultivar cannabis a partir de semillas")</f>
        <v>Cómo cultivar cannabis a partir de semillas</v>
      </c>
    </row>
    <row r="514">
      <c r="A514" s="1" t="str">
        <f>HYPERLINK("https://drive.google.com/drive/folders/1X_jF0rOoiLzBftLCIX1DxCZVWgPJfi0M","como cultivar cannabis")</f>
        <v>como cultivar cannabis</v>
      </c>
      <c r="B514" s="1" t="str">
        <f t="shared" si="257"/>
        <v>https://drive.google.com/drive/folders/1X_jF0rOoiLzBftLCIX1DxCZVWgPJfi0M</v>
      </c>
      <c r="C514" s="1" t="str">
        <f t="shared" si="258"/>
        <v>Cómo cultivar cannabis a partir de semillas</v>
      </c>
    </row>
    <row r="515">
      <c r="A515" s="1" t="str">
        <f>HYPERLINK("https://drive.google.com/drive/folders/1X_jF0rOoiLzBftLCIX1DxCZVWgPJfi0M","Cómo cultivar cannabis al aire libre")</f>
        <v>Cómo cultivar cannabis al aire libre</v>
      </c>
      <c r="B515" s="1" t="str">
        <f t="shared" si="257"/>
        <v>https://drive.google.com/drive/folders/1X_jF0rOoiLzBftLCIX1DxCZVWgPJfi0M</v>
      </c>
      <c r="C515" s="1" t="str">
        <f t="shared" si="258"/>
        <v>Cómo cultivar cannabis a partir de semillas</v>
      </c>
    </row>
    <row r="516">
      <c r="A516" s="1" t="str">
        <f>HYPERLINK("https://drive.google.com/drive/folders/1X_jF0rOoiLzBftLCIX1DxCZVWgPJfi0M","cuánto tiempo lleva cultivar cannabis")</f>
        <v>cuánto tiempo lleva cultivar cannabis</v>
      </c>
      <c r="B516" s="1" t="str">
        <f t="shared" si="257"/>
        <v>https://drive.google.com/drive/folders/1X_jF0rOoiLzBftLCIX1DxCZVWgPJfi0M</v>
      </c>
      <c r="C516" s="1" t="str">
        <f t="shared" si="258"/>
        <v>Cómo cultivar cannabis a partir de semillas</v>
      </c>
    </row>
    <row r="517">
      <c r="A517" s="1" t="str">
        <f>HYPERLINK("https://docs.google.com/spreadsheets/d/1V8m41N3v_adQPQtdnQ983gG2ezJEYuDWDKwUonJFuDs","Cómo cultivar cannabis en interiores")</f>
        <v>Cómo cultivar cannabis en interiores</v>
      </c>
      <c r="B517" s="1" t="str">
        <f t="shared" ref="B517:B520" si="259">HYPERLINK("https://docs.google.com/spreadsheets/d/1V8m41N3v_adQPQtdnQ983gG2ezJEYuDWDKwUonJFuDs","https://docs.google.com/spreadsheets/d/1V8m41N3v_adQPQtdnQ983gG2ezJEYuDWDKwUonJFuDs")</f>
        <v>https://docs.google.com/spreadsheets/d/1V8m41N3v_adQPQtdnQ983gG2ezJEYuDWDKwUonJFuDs</v>
      </c>
      <c r="C517" s="1" t="str">
        <f t="shared" ref="C517:C520" si="260">HYPERLINK("https://docs.google.com/spreadsheets/d/1V8m41N3v_adQPQtdnQ983gG2ezJEYuDWDKwUonJFuDs","Cómo cultivar cannabis a partir de semillas")</f>
        <v>Cómo cultivar cannabis a partir de semillas</v>
      </c>
    </row>
    <row r="518">
      <c r="A518" s="1" t="str">
        <f>HYPERLINK("https://docs.google.com/spreadsheets/d/1V8m41N3v_adQPQtdnQ983gG2ezJEYuDWDKwUonJFuDs","como cultivar cannabis")</f>
        <v>como cultivar cannabis</v>
      </c>
      <c r="B518" s="1" t="str">
        <f t="shared" si="259"/>
        <v>https://docs.google.com/spreadsheets/d/1V8m41N3v_adQPQtdnQ983gG2ezJEYuDWDKwUonJFuDs</v>
      </c>
      <c r="C518" s="1" t="str">
        <f t="shared" si="260"/>
        <v>Cómo cultivar cannabis a partir de semillas</v>
      </c>
    </row>
    <row r="519">
      <c r="A519" s="1" t="str">
        <f>HYPERLINK("https://docs.google.com/spreadsheets/d/1V8m41N3v_adQPQtdnQ983gG2ezJEYuDWDKwUonJFuDs","Cómo cultivar cannabis al aire libre")</f>
        <v>Cómo cultivar cannabis al aire libre</v>
      </c>
      <c r="B519" s="1" t="str">
        <f t="shared" si="259"/>
        <v>https://docs.google.com/spreadsheets/d/1V8m41N3v_adQPQtdnQ983gG2ezJEYuDWDKwUonJFuDs</v>
      </c>
      <c r="C519" s="1" t="str">
        <f t="shared" si="260"/>
        <v>Cómo cultivar cannabis a partir de semillas</v>
      </c>
    </row>
    <row r="520">
      <c r="A520" s="1" t="str">
        <f>HYPERLINK("https://docs.google.com/spreadsheets/d/1V8m41N3v_adQPQtdnQ983gG2ezJEYuDWDKwUonJFuDs","cuánto tiempo lleva cultivar cannabis")</f>
        <v>cuánto tiempo lleva cultivar cannabis</v>
      </c>
      <c r="B520" s="1" t="str">
        <f t="shared" si="259"/>
        <v>https://docs.google.com/spreadsheets/d/1V8m41N3v_adQPQtdnQ983gG2ezJEYuDWDKwUonJFuDs</v>
      </c>
      <c r="C520" s="1" t="str">
        <f t="shared" si="260"/>
        <v>Cómo cultivar cannabis a partir de semillas</v>
      </c>
    </row>
    <row r="521">
      <c r="A521" s="1" t="str">
        <f>HYPERLINK("https://docs.google.com/spreadsheets/d/14URWjXicFzAYvqHf3uDbwLQ3YyXiG82ATQYb8fQFuHM","Cómo cultivar cannabis en interiores")</f>
        <v>Cómo cultivar cannabis en interiores</v>
      </c>
      <c r="B521" s="1" t="str">
        <f t="shared" ref="B521:B524" si="261">HYPERLINK("https://docs.google.com/spreadsheets/d/14URWjXicFzAYvqHf3uDbwLQ3YyXiG82ATQYb8fQFuHM","https://docs.google.com/spreadsheets/d/14URWjXicFzAYvqHf3uDbwLQ3YyXiG82ATQYb8fQFuHM")</f>
        <v>https://docs.google.com/spreadsheets/d/14URWjXicFzAYvqHf3uDbwLQ3YyXiG82ATQYb8fQFuHM</v>
      </c>
      <c r="C521" s="1" t="str">
        <f t="shared" ref="C521:C524" si="262">HYPERLINK("https://docs.google.com/spreadsheets/d/14URWjXicFzAYvqHf3uDbwLQ3YyXiG82ATQYb8fQFuHM","Cómo cultivar cannabis a partir de semillas")</f>
        <v>Cómo cultivar cannabis a partir de semillas</v>
      </c>
    </row>
    <row r="522">
      <c r="A522" s="1" t="str">
        <f>HYPERLINK("https://docs.google.com/spreadsheets/d/14URWjXicFzAYvqHf3uDbwLQ3YyXiG82ATQYb8fQFuHM","como cultivar cannabis")</f>
        <v>como cultivar cannabis</v>
      </c>
      <c r="B522" s="1" t="str">
        <f t="shared" si="261"/>
        <v>https://docs.google.com/spreadsheets/d/14URWjXicFzAYvqHf3uDbwLQ3YyXiG82ATQYb8fQFuHM</v>
      </c>
      <c r="C522" s="1" t="str">
        <f t="shared" si="262"/>
        <v>Cómo cultivar cannabis a partir de semillas</v>
      </c>
    </row>
    <row r="523">
      <c r="A523" s="1" t="str">
        <f>HYPERLINK("https://docs.google.com/spreadsheets/d/14URWjXicFzAYvqHf3uDbwLQ3YyXiG82ATQYb8fQFuHM","Cómo cultivar cannabis al aire libre")</f>
        <v>Cómo cultivar cannabis al aire libre</v>
      </c>
      <c r="B523" s="1" t="str">
        <f t="shared" si="261"/>
        <v>https://docs.google.com/spreadsheets/d/14URWjXicFzAYvqHf3uDbwLQ3YyXiG82ATQYb8fQFuHM</v>
      </c>
      <c r="C523" s="1" t="str">
        <f t="shared" si="262"/>
        <v>Cómo cultivar cannabis a partir de semillas</v>
      </c>
    </row>
    <row r="524">
      <c r="A524" s="1" t="str">
        <f>HYPERLINK("https://docs.google.com/spreadsheets/d/14URWjXicFzAYvqHf3uDbwLQ3YyXiG82ATQYb8fQFuHM","cuánto tiempo lleva cultivar cannabis")</f>
        <v>cuánto tiempo lleva cultivar cannabis</v>
      </c>
      <c r="B524" s="1" t="str">
        <f t="shared" si="261"/>
        <v>https://docs.google.com/spreadsheets/d/14URWjXicFzAYvqHf3uDbwLQ3YyXiG82ATQYb8fQFuHM</v>
      </c>
      <c r="C524" s="1" t="str">
        <f t="shared" si="262"/>
        <v>Cómo cultivar cannabis a partir de semillas</v>
      </c>
    </row>
    <row r="525">
      <c r="A525" s="1" t="str">
        <f>HYPERLINK("https://docs.google.com/spreadsheets/d/1JBhEJ7TXjNSDOS_fhGzhixx0ZCvdS5-UsxqtlSsMOjQ","Cómo cultivar cannabis en interiores")</f>
        <v>Cómo cultivar cannabis en interiores</v>
      </c>
      <c r="B525" s="1" t="str">
        <f t="shared" ref="B525:B528" si="263">HYPERLINK("https://docs.google.com/spreadsheets/d/1JBhEJ7TXjNSDOS_fhGzhixx0ZCvdS5-UsxqtlSsMOjQ","https://docs.google.com/spreadsheets/d/1JBhEJ7TXjNSDOS_fhGzhixx0ZCvdS5-UsxqtlSsMOjQ")</f>
        <v>https://docs.google.com/spreadsheets/d/1JBhEJ7TXjNSDOS_fhGzhixx0ZCvdS5-UsxqtlSsMOjQ</v>
      </c>
      <c r="C525" s="1" t="str">
        <f t="shared" ref="C525:C528" si="264">HYPERLINK("https://docs.google.com/spreadsheets/d/1JBhEJ7TXjNSDOS_fhGzhixx0ZCvdS5-UsxqtlSsMOjQ","Cómo cultivar cannabis a partir de semillas")</f>
        <v>Cómo cultivar cannabis a partir de semillas</v>
      </c>
    </row>
    <row r="526">
      <c r="A526" s="1" t="str">
        <f>HYPERLINK("https://docs.google.com/spreadsheets/d/1JBhEJ7TXjNSDOS_fhGzhixx0ZCvdS5-UsxqtlSsMOjQ","como cultivar cannabis")</f>
        <v>como cultivar cannabis</v>
      </c>
      <c r="B526" s="1" t="str">
        <f t="shared" si="263"/>
        <v>https://docs.google.com/spreadsheets/d/1JBhEJ7TXjNSDOS_fhGzhixx0ZCvdS5-UsxqtlSsMOjQ</v>
      </c>
      <c r="C526" s="1" t="str">
        <f t="shared" si="264"/>
        <v>Cómo cultivar cannabis a partir de semillas</v>
      </c>
    </row>
    <row r="527">
      <c r="A527" s="1" t="str">
        <f>HYPERLINK("https://docs.google.com/spreadsheets/d/1JBhEJ7TXjNSDOS_fhGzhixx0ZCvdS5-UsxqtlSsMOjQ","Cómo cultivar cannabis al aire libre")</f>
        <v>Cómo cultivar cannabis al aire libre</v>
      </c>
      <c r="B527" s="1" t="str">
        <f t="shared" si="263"/>
        <v>https://docs.google.com/spreadsheets/d/1JBhEJ7TXjNSDOS_fhGzhixx0ZCvdS5-UsxqtlSsMOjQ</v>
      </c>
      <c r="C527" s="1" t="str">
        <f t="shared" si="264"/>
        <v>Cómo cultivar cannabis a partir de semillas</v>
      </c>
    </row>
    <row r="528">
      <c r="A528" s="1" t="str">
        <f>HYPERLINK("https://docs.google.com/spreadsheets/d/1JBhEJ7TXjNSDOS_fhGzhixx0ZCvdS5-UsxqtlSsMOjQ","cuánto tiempo lleva cultivar cannabis")</f>
        <v>cuánto tiempo lleva cultivar cannabis</v>
      </c>
      <c r="B528" s="1" t="str">
        <f t="shared" si="263"/>
        <v>https://docs.google.com/spreadsheets/d/1JBhEJ7TXjNSDOS_fhGzhixx0ZCvdS5-UsxqtlSsMOjQ</v>
      </c>
      <c r="C528" s="1" t="str">
        <f t="shared" si="264"/>
        <v>Cómo cultivar cannabis a partir de semillas</v>
      </c>
    </row>
    <row r="529">
      <c r="A529" s="1" t="str">
        <f>HYPERLINK("https://docs.google.com/spreadsheets/d/1x8ukhZQbnRwYO_40gnlOZsS_Z018efkGByIzJXZUYYQ","Cómo cultivar cannabis en interiores")</f>
        <v>Cómo cultivar cannabis en interiores</v>
      </c>
      <c r="B529" s="1" t="str">
        <f t="shared" ref="B529:B532" si="265">HYPERLINK("https://docs.google.com/spreadsheets/d/1x8ukhZQbnRwYO_40gnlOZsS_Z018efkGByIzJXZUYYQ","https://docs.google.com/spreadsheets/d/1x8ukhZQbnRwYO_40gnlOZsS_Z018efkGByIzJXZUYYQ")</f>
        <v>https://docs.google.com/spreadsheets/d/1x8ukhZQbnRwYO_40gnlOZsS_Z018efkGByIzJXZUYYQ</v>
      </c>
      <c r="C529" s="1" t="str">
        <f t="shared" ref="C529:C532" si="266">HYPERLINK("https://docs.google.com/spreadsheets/d/1x8ukhZQbnRwYO_40gnlOZsS_Z018efkGByIzJXZUYYQ","Cómo cultivar cannabis a partir de semillas")</f>
        <v>Cómo cultivar cannabis a partir de semillas</v>
      </c>
    </row>
    <row r="530">
      <c r="A530" s="1" t="str">
        <f>HYPERLINK("https://docs.google.com/spreadsheets/d/1x8ukhZQbnRwYO_40gnlOZsS_Z018efkGByIzJXZUYYQ","como cultivar cannabis")</f>
        <v>como cultivar cannabis</v>
      </c>
      <c r="B530" s="1" t="str">
        <f t="shared" si="265"/>
        <v>https://docs.google.com/spreadsheets/d/1x8ukhZQbnRwYO_40gnlOZsS_Z018efkGByIzJXZUYYQ</v>
      </c>
      <c r="C530" s="1" t="str">
        <f t="shared" si="266"/>
        <v>Cómo cultivar cannabis a partir de semillas</v>
      </c>
    </row>
    <row r="531">
      <c r="A531" s="1" t="str">
        <f>HYPERLINK("https://docs.google.com/spreadsheets/d/1x8ukhZQbnRwYO_40gnlOZsS_Z018efkGByIzJXZUYYQ","Cómo cultivar cannabis al aire libre")</f>
        <v>Cómo cultivar cannabis al aire libre</v>
      </c>
      <c r="B531" s="1" t="str">
        <f t="shared" si="265"/>
        <v>https://docs.google.com/spreadsheets/d/1x8ukhZQbnRwYO_40gnlOZsS_Z018efkGByIzJXZUYYQ</v>
      </c>
      <c r="C531" s="1" t="str">
        <f t="shared" si="266"/>
        <v>Cómo cultivar cannabis a partir de semillas</v>
      </c>
    </row>
    <row r="532">
      <c r="A532" s="1" t="str">
        <f>HYPERLINK("https://docs.google.com/spreadsheets/d/1x8ukhZQbnRwYO_40gnlOZsS_Z018efkGByIzJXZUYYQ","cuánto tiempo lleva cultivar cannabis")</f>
        <v>cuánto tiempo lleva cultivar cannabis</v>
      </c>
      <c r="B532" s="1" t="str">
        <f t="shared" si="265"/>
        <v>https://docs.google.com/spreadsheets/d/1x8ukhZQbnRwYO_40gnlOZsS_Z018efkGByIzJXZUYYQ</v>
      </c>
      <c r="C532" s="1" t="str">
        <f t="shared" si="266"/>
        <v>Cómo cultivar cannabis a partir de semillas</v>
      </c>
    </row>
    <row r="533">
      <c r="A533" s="1" t="str">
        <f>HYPERLINK("https://drive.google.com/drive/folders/1PI8uXotdQyrxkqxZ_5fmGw3jxfZNjghE","Cómo cultivar cannabis en interiores")</f>
        <v>Cómo cultivar cannabis en interiores</v>
      </c>
      <c r="B533" s="1" t="str">
        <f t="shared" ref="B533:B536" si="267">HYPERLINK("https://drive.google.com/drive/folders/1PI8uXotdQyrxkqxZ_5fmGw3jxfZNjghE","https://drive.google.com/drive/folders/1PI8uXotdQyrxkqxZ_5fmGw3jxfZNjghE")</f>
        <v>https://drive.google.com/drive/folders/1PI8uXotdQyrxkqxZ_5fmGw3jxfZNjghE</v>
      </c>
      <c r="C533" s="1" t="str">
        <f t="shared" ref="C533:C536" si="268">HYPERLINK("https://drive.google.com/drive/folders/1PI8uXotdQyrxkqxZ_5fmGw3jxfZNjghE","Cómo cultivar cannabis a partir de semillas")</f>
        <v>Cómo cultivar cannabis a partir de semillas</v>
      </c>
    </row>
    <row r="534">
      <c r="A534" s="1" t="str">
        <f>HYPERLINK("https://drive.google.com/drive/folders/1PI8uXotdQyrxkqxZ_5fmGw3jxfZNjghE","como cultivar cannabis")</f>
        <v>como cultivar cannabis</v>
      </c>
      <c r="B534" s="1" t="str">
        <f t="shared" si="267"/>
        <v>https://drive.google.com/drive/folders/1PI8uXotdQyrxkqxZ_5fmGw3jxfZNjghE</v>
      </c>
      <c r="C534" s="1" t="str">
        <f t="shared" si="268"/>
        <v>Cómo cultivar cannabis a partir de semillas</v>
      </c>
    </row>
    <row r="535">
      <c r="A535" s="1" t="str">
        <f>HYPERLINK("https://drive.google.com/drive/folders/1PI8uXotdQyrxkqxZ_5fmGw3jxfZNjghE","Cómo cultivar cannabis al aire libre")</f>
        <v>Cómo cultivar cannabis al aire libre</v>
      </c>
      <c r="B535" s="1" t="str">
        <f t="shared" si="267"/>
        <v>https://drive.google.com/drive/folders/1PI8uXotdQyrxkqxZ_5fmGw3jxfZNjghE</v>
      </c>
      <c r="C535" s="1" t="str">
        <f t="shared" si="268"/>
        <v>Cómo cultivar cannabis a partir de semillas</v>
      </c>
    </row>
    <row r="536">
      <c r="A536" s="1" t="str">
        <f>HYPERLINK("https://drive.google.com/drive/folders/1PI8uXotdQyrxkqxZ_5fmGw3jxfZNjghE","cuánto tiempo lleva cultivar cannabis")</f>
        <v>cuánto tiempo lleva cultivar cannabis</v>
      </c>
      <c r="B536" s="1" t="str">
        <f t="shared" si="267"/>
        <v>https://drive.google.com/drive/folders/1PI8uXotdQyrxkqxZ_5fmGw3jxfZNjghE</v>
      </c>
      <c r="C536" s="1" t="str">
        <f t="shared" si="268"/>
        <v>Cómo cultivar cannabis a partir de semillas</v>
      </c>
    </row>
    <row r="537">
      <c r="A537" s="1" t="str">
        <f>HYPERLINK("https://docs.google.com/spreadsheets/d/12giic_BR1MmIW2MX6xO8v8phzwjwl9B3FwPpSEZrdUE","Cómo cultivar cannabis en interiores")</f>
        <v>Cómo cultivar cannabis en interiores</v>
      </c>
      <c r="B537" s="1" t="str">
        <f t="shared" ref="B537:B540" si="269">HYPERLINK("https://docs.google.com/spreadsheets/d/12giic_BR1MmIW2MX6xO8v8phzwjwl9B3FwPpSEZrdUE","https://docs.google.com/spreadsheets/d/12giic_BR1MmIW2MX6xO8v8phzwjwl9B3FwPpSEZrdUE")</f>
        <v>https://docs.google.com/spreadsheets/d/12giic_BR1MmIW2MX6xO8v8phzwjwl9B3FwPpSEZrdUE</v>
      </c>
      <c r="C537" s="1" t="str">
        <f t="shared" ref="C537:C540" si="270">HYPERLINK("https://docs.google.com/spreadsheets/d/12giic_BR1MmIW2MX6xO8v8phzwjwl9B3FwPpSEZrdUE","Cómo cultivar cannabis a partir de semillas")</f>
        <v>Cómo cultivar cannabis a partir de semillas</v>
      </c>
    </row>
    <row r="538">
      <c r="A538" s="1" t="str">
        <f>HYPERLINK("https://docs.google.com/spreadsheets/d/12giic_BR1MmIW2MX6xO8v8phzwjwl9B3FwPpSEZrdUE","como cultivar cannabis")</f>
        <v>como cultivar cannabis</v>
      </c>
      <c r="B538" s="1" t="str">
        <f t="shared" si="269"/>
        <v>https://docs.google.com/spreadsheets/d/12giic_BR1MmIW2MX6xO8v8phzwjwl9B3FwPpSEZrdUE</v>
      </c>
      <c r="C538" s="1" t="str">
        <f t="shared" si="270"/>
        <v>Cómo cultivar cannabis a partir de semillas</v>
      </c>
    </row>
    <row r="539">
      <c r="A539" s="1" t="str">
        <f>HYPERLINK("https://docs.google.com/spreadsheets/d/12giic_BR1MmIW2MX6xO8v8phzwjwl9B3FwPpSEZrdUE","Cómo cultivar cannabis al aire libre")</f>
        <v>Cómo cultivar cannabis al aire libre</v>
      </c>
      <c r="B539" s="1" t="str">
        <f t="shared" si="269"/>
        <v>https://docs.google.com/spreadsheets/d/12giic_BR1MmIW2MX6xO8v8phzwjwl9B3FwPpSEZrdUE</v>
      </c>
      <c r="C539" s="1" t="str">
        <f t="shared" si="270"/>
        <v>Cómo cultivar cannabis a partir de semillas</v>
      </c>
    </row>
    <row r="540">
      <c r="A540" s="1" t="str">
        <f>HYPERLINK("https://docs.google.com/spreadsheets/d/12giic_BR1MmIW2MX6xO8v8phzwjwl9B3FwPpSEZrdUE","cuánto tiempo lleva cultivar cannabis")</f>
        <v>cuánto tiempo lleva cultivar cannabis</v>
      </c>
      <c r="B540" s="1" t="str">
        <f t="shared" si="269"/>
        <v>https://docs.google.com/spreadsheets/d/12giic_BR1MmIW2MX6xO8v8phzwjwl9B3FwPpSEZrdUE</v>
      </c>
      <c r="C540" s="1" t="str">
        <f t="shared" si="270"/>
        <v>Cómo cultivar cannabis a partir de semillas</v>
      </c>
    </row>
    <row r="541">
      <c r="A541" s="1" t="str">
        <f>HYPERLINK("https://docs.google.com/spreadsheets/d/1-jEXwwR30Ls89sXHonMW7sd8xT6X2vVS","Cómo cultivar cannabis en interiores")</f>
        <v>Cómo cultivar cannabis en interiores</v>
      </c>
      <c r="B541" s="1" t="str">
        <f t="shared" ref="B541:B544" si="271">HYPERLINK("https://docs.google.com/spreadsheets/d/1-jEXwwR30Ls89sXHonMW7sd8xT6X2vVS","https://docs.google.com/spreadsheets/d/1-jEXwwR30Ls89sXHonMW7sd8xT6X2vVS")</f>
        <v>https://docs.google.com/spreadsheets/d/1-jEXwwR30Ls89sXHonMW7sd8xT6X2vVS</v>
      </c>
      <c r="C541" s="1" t="str">
        <f t="shared" ref="C541:C544" si="272">HYPERLINK("https://docs.google.com/spreadsheets/d/1-jEXwwR30Ls89sXHonMW7sd8xT6X2vVS","Cómo cultivar cannabis a partir de semillas")</f>
        <v>Cómo cultivar cannabis a partir de semillas</v>
      </c>
    </row>
    <row r="542">
      <c r="A542" s="1" t="str">
        <f>HYPERLINK("https://docs.google.com/spreadsheets/d/1-jEXwwR30Ls89sXHonMW7sd8xT6X2vVS","como cultivar cannabis")</f>
        <v>como cultivar cannabis</v>
      </c>
      <c r="B542" s="1" t="str">
        <f t="shared" si="271"/>
        <v>https://docs.google.com/spreadsheets/d/1-jEXwwR30Ls89sXHonMW7sd8xT6X2vVS</v>
      </c>
      <c r="C542" s="1" t="str">
        <f t="shared" si="272"/>
        <v>Cómo cultivar cannabis a partir de semillas</v>
      </c>
    </row>
    <row r="543">
      <c r="A543" s="1" t="str">
        <f>HYPERLINK("https://docs.google.com/spreadsheets/d/1-jEXwwR30Ls89sXHonMW7sd8xT6X2vVS","Cómo cultivar cannabis al aire libre")</f>
        <v>Cómo cultivar cannabis al aire libre</v>
      </c>
      <c r="B543" s="1" t="str">
        <f t="shared" si="271"/>
        <v>https://docs.google.com/spreadsheets/d/1-jEXwwR30Ls89sXHonMW7sd8xT6X2vVS</v>
      </c>
      <c r="C543" s="1" t="str">
        <f t="shared" si="272"/>
        <v>Cómo cultivar cannabis a partir de semillas</v>
      </c>
    </row>
    <row r="544">
      <c r="A544" s="1" t="str">
        <f>HYPERLINK("https://docs.google.com/spreadsheets/d/1-jEXwwR30Ls89sXHonMW7sd8xT6X2vVS","cuánto tiempo lleva cultivar cannabis")</f>
        <v>cuánto tiempo lleva cultivar cannabis</v>
      </c>
      <c r="B544" s="1" t="str">
        <f t="shared" si="271"/>
        <v>https://docs.google.com/spreadsheets/d/1-jEXwwR30Ls89sXHonMW7sd8xT6X2vVS</v>
      </c>
      <c r="C544" s="1" t="str">
        <f t="shared" si="272"/>
        <v>Cómo cultivar cannabis a partir de semillas</v>
      </c>
    </row>
    <row r="545">
      <c r="A545" s="1" t="str">
        <f>HYPERLINK("https://drive.google.com/drive/folders/1HEZe9tqj8yzjMeY1lhIanLRJVv7UQdFG","Cómo cultivar cannabis en interiores")</f>
        <v>Cómo cultivar cannabis en interiores</v>
      </c>
      <c r="B545" s="1" t="str">
        <f t="shared" ref="B545:B548" si="273">HYPERLINK("https://drive.google.com/drive/folders/1HEZe9tqj8yzjMeY1lhIanLRJVv7UQdFG","https://drive.google.com/drive/folders/1HEZe9tqj8yzjMeY1lhIanLRJVv7UQdFG")</f>
        <v>https://drive.google.com/drive/folders/1HEZe9tqj8yzjMeY1lhIanLRJVv7UQdFG</v>
      </c>
      <c r="C545" s="1" t="str">
        <f t="shared" ref="C545:C548" si="274">HYPERLINK("https://drive.google.com/drive/folders/1HEZe9tqj8yzjMeY1lhIanLRJVv7UQdFG","Cómo cultivar cannabis a partir de semillas")</f>
        <v>Cómo cultivar cannabis a partir de semillas</v>
      </c>
    </row>
    <row r="546">
      <c r="A546" s="1" t="str">
        <f>HYPERLINK("https://drive.google.com/drive/folders/1HEZe9tqj8yzjMeY1lhIanLRJVv7UQdFG","como cultivar cannabis")</f>
        <v>como cultivar cannabis</v>
      </c>
      <c r="B546" s="1" t="str">
        <f t="shared" si="273"/>
        <v>https://drive.google.com/drive/folders/1HEZe9tqj8yzjMeY1lhIanLRJVv7UQdFG</v>
      </c>
      <c r="C546" s="1" t="str">
        <f t="shared" si="274"/>
        <v>Cómo cultivar cannabis a partir de semillas</v>
      </c>
    </row>
    <row r="547">
      <c r="A547" s="1" t="str">
        <f>HYPERLINK("https://drive.google.com/drive/folders/1HEZe9tqj8yzjMeY1lhIanLRJVv7UQdFG","Cómo cultivar cannabis al aire libre")</f>
        <v>Cómo cultivar cannabis al aire libre</v>
      </c>
      <c r="B547" s="1" t="str">
        <f t="shared" si="273"/>
        <v>https://drive.google.com/drive/folders/1HEZe9tqj8yzjMeY1lhIanLRJVv7UQdFG</v>
      </c>
      <c r="C547" s="1" t="str">
        <f t="shared" si="274"/>
        <v>Cómo cultivar cannabis a partir de semillas</v>
      </c>
    </row>
    <row r="548">
      <c r="A548" s="1" t="str">
        <f>HYPERLINK("https://drive.google.com/drive/folders/1HEZe9tqj8yzjMeY1lhIanLRJVv7UQdFG","cuánto tiempo lleva cultivar cannabis")</f>
        <v>cuánto tiempo lleva cultivar cannabis</v>
      </c>
      <c r="B548" s="1" t="str">
        <f t="shared" si="273"/>
        <v>https://drive.google.com/drive/folders/1HEZe9tqj8yzjMeY1lhIanLRJVv7UQdFG</v>
      </c>
      <c r="C548" s="1" t="str">
        <f t="shared" si="274"/>
        <v>Cómo cultivar cannabis a partir de semillas</v>
      </c>
    </row>
    <row r="549">
      <c r="A549" s="1" t="str">
        <f>HYPERLINK("https://docs.google.com/spreadsheets/d/1LfRpywA3qjUz8xnIEXJxf0MJ2wHQbbxwtK8a5kWKMPk","Cómo cultivar cannabis en interiores")</f>
        <v>Cómo cultivar cannabis en interiores</v>
      </c>
      <c r="B549" s="1" t="str">
        <f t="shared" ref="B549:B552" si="275">HYPERLINK("https://docs.google.com/spreadsheets/d/1LfRpywA3qjUz8xnIEXJxf0MJ2wHQbbxwtK8a5kWKMPk","https://docs.google.com/spreadsheets/d/1LfRpywA3qjUz8xnIEXJxf0MJ2wHQbbxwtK8a5kWKMPk")</f>
        <v>https://docs.google.com/spreadsheets/d/1LfRpywA3qjUz8xnIEXJxf0MJ2wHQbbxwtK8a5kWKMPk</v>
      </c>
      <c r="C549" s="1" t="str">
        <f t="shared" ref="C549:C552" si="276">HYPERLINK("https://docs.google.com/spreadsheets/d/1LfRpywA3qjUz8xnIEXJxf0MJ2wHQbbxwtK8a5kWKMPk","Cómo cultivar cannabis a partir de semillas")</f>
        <v>Cómo cultivar cannabis a partir de semillas</v>
      </c>
    </row>
    <row r="550">
      <c r="A550" s="1" t="str">
        <f>HYPERLINK("https://docs.google.com/spreadsheets/d/1LfRpywA3qjUz8xnIEXJxf0MJ2wHQbbxwtK8a5kWKMPk","como cultivar cannabis")</f>
        <v>como cultivar cannabis</v>
      </c>
      <c r="B550" s="1" t="str">
        <f t="shared" si="275"/>
        <v>https://docs.google.com/spreadsheets/d/1LfRpywA3qjUz8xnIEXJxf0MJ2wHQbbxwtK8a5kWKMPk</v>
      </c>
      <c r="C550" s="1" t="str">
        <f t="shared" si="276"/>
        <v>Cómo cultivar cannabis a partir de semillas</v>
      </c>
    </row>
    <row r="551">
      <c r="A551" s="1" t="str">
        <f>HYPERLINK("https://docs.google.com/spreadsheets/d/1LfRpywA3qjUz8xnIEXJxf0MJ2wHQbbxwtK8a5kWKMPk","Cómo cultivar cannabis al aire libre")</f>
        <v>Cómo cultivar cannabis al aire libre</v>
      </c>
      <c r="B551" s="1" t="str">
        <f t="shared" si="275"/>
        <v>https://docs.google.com/spreadsheets/d/1LfRpywA3qjUz8xnIEXJxf0MJ2wHQbbxwtK8a5kWKMPk</v>
      </c>
      <c r="C551" s="1" t="str">
        <f t="shared" si="276"/>
        <v>Cómo cultivar cannabis a partir de semillas</v>
      </c>
    </row>
    <row r="552">
      <c r="A552" s="1" t="str">
        <f>HYPERLINK("https://docs.google.com/spreadsheets/d/1LfRpywA3qjUz8xnIEXJxf0MJ2wHQbbxwtK8a5kWKMPk","cuánto tiempo lleva cultivar cannabis")</f>
        <v>cuánto tiempo lleva cultivar cannabis</v>
      </c>
      <c r="B552" s="1" t="str">
        <f t="shared" si="275"/>
        <v>https://docs.google.com/spreadsheets/d/1LfRpywA3qjUz8xnIEXJxf0MJ2wHQbbxwtK8a5kWKMPk</v>
      </c>
      <c r="C552" s="1" t="str">
        <f t="shared" si="276"/>
        <v>Cómo cultivar cannabis a partir de semillas</v>
      </c>
    </row>
    <row r="553">
      <c r="A553" s="1" t="str">
        <f>HYPERLINK("https://drive.google.com/drive/folders/1tjnE2zkS9KiS9mfTpSy26c-Z6tJtg9pu","Cómo cultivar cannabis en interiores")</f>
        <v>Cómo cultivar cannabis en interiores</v>
      </c>
      <c r="B553" s="1" t="str">
        <f t="shared" ref="B553:B556" si="277">HYPERLINK("https://drive.google.com/drive/folders/1tjnE2zkS9KiS9mfTpSy26c-Z6tJtg9pu","https://drive.google.com/drive/folders/1tjnE2zkS9KiS9mfTpSy26c-Z6tJtg9pu")</f>
        <v>https://drive.google.com/drive/folders/1tjnE2zkS9KiS9mfTpSy26c-Z6tJtg9pu</v>
      </c>
      <c r="C553" s="1" t="str">
        <f t="shared" ref="C553:C556" si="278">HYPERLINK("https://drive.google.com/drive/folders/1tjnE2zkS9KiS9mfTpSy26c-Z6tJtg9pu","Cómo cultivar cannabis a partir de semillas")</f>
        <v>Cómo cultivar cannabis a partir de semillas</v>
      </c>
    </row>
    <row r="554">
      <c r="A554" s="1" t="str">
        <f>HYPERLINK("https://drive.google.com/drive/folders/1tjnE2zkS9KiS9mfTpSy26c-Z6tJtg9pu","como cultivar cannabis")</f>
        <v>como cultivar cannabis</v>
      </c>
      <c r="B554" s="1" t="str">
        <f t="shared" si="277"/>
        <v>https://drive.google.com/drive/folders/1tjnE2zkS9KiS9mfTpSy26c-Z6tJtg9pu</v>
      </c>
      <c r="C554" s="1" t="str">
        <f t="shared" si="278"/>
        <v>Cómo cultivar cannabis a partir de semillas</v>
      </c>
    </row>
    <row r="555">
      <c r="A555" s="1" t="str">
        <f>HYPERLINK("https://drive.google.com/drive/folders/1tjnE2zkS9KiS9mfTpSy26c-Z6tJtg9pu","Cómo cultivar cannabis al aire libre")</f>
        <v>Cómo cultivar cannabis al aire libre</v>
      </c>
      <c r="B555" s="1" t="str">
        <f t="shared" si="277"/>
        <v>https://drive.google.com/drive/folders/1tjnE2zkS9KiS9mfTpSy26c-Z6tJtg9pu</v>
      </c>
      <c r="C555" s="1" t="str">
        <f t="shared" si="278"/>
        <v>Cómo cultivar cannabis a partir de semillas</v>
      </c>
    </row>
    <row r="556">
      <c r="A556" s="1" t="str">
        <f>HYPERLINK("https://drive.google.com/drive/folders/1tjnE2zkS9KiS9mfTpSy26c-Z6tJtg9pu","cuánto tiempo lleva cultivar cannabis")</f>
        <v>cuánto tiempo lleva cultivar cannabis</v>
      </c>
      <c r="B556" s="1" t="str">
        <f t="shared" si="277"/>
        <v>https://drive.google.com/drive/folders/1tjnE2zkS9KiS9mfTpSy26c-Z6tJtg9pu</v>
      </c>
      <c r="C556" s="1" t="str">
        <f t="shared" si="278"/>
        <v>Cómo cultivar cannabis a partir de semillas</v>
      </c>
    </row>
    <row r="557">
      <c r="A557" s="1" t="str">
        <f>HYPERLINK("https://drive.google.com/drive/folders/1ZKwp5UqyAmUOiEATmS1fD1s_lVy7mvnc","Cómo cultivar cannabis en interiores")</f>
        <v>Cómo cultivar cannabis en interiores</v>
      </c>
      <c r="B557" s="1" t="str">
        <f t="shared" ref="B557:B560" si="279">HYPERLINK("https://drive.google.com/drive/folders/1ZKwp5UqyAmUOiEATmS1fD1s_lVy7mvnc","https://drive.google.com/drive/folders/1ZKwp5UqyAmUOiEATmS1fD1s_lVy7mvnc")</f>
        <v>https://drive.google.com/drive/folders/1ZKwp5UqyAmUOiEATmS1fD1s_lVy7mvnc</v>
      </c>
      <c r="C557" s="1" t="str">
        <f t="shared" ref="C557:C560" si="280">HYPERLINK("https://drive.google.com/drive/folders/1ZKwp5UqyAmUOiEATmS1fD1s_lVy7mvnc","Cómo cultivar cannabis a partir de semillas")</f>
        <v>Cómo cultivar cannabis a partir de semillas</v>
      </c>
    </row>
    <row r="558">
      <c r="A558" s="1" t="str">
        <f>HYPERLINK("https://drive.google.com/drive/folders/1ZKwp5UqyAmUOiEATmS1fD1s_lVy7mvnc","como cultivar cannabis")</f>
        <v>como cultivar cannabis</v>
      </c>
      <c r="B558" s="1" t="str">
        <f t="shared" si="279"/>
        <v>https://drive.google.com/drive/folders/1ZKwp5UqyAmUOiEATmS1fD1s_lVy7mvnc</v>
      </c>
      <c r="C558" s="1" t="str">
        <f t="shared" si="280"/>
        <v>Cómo cultivar cannabis a partir de semillas</v>
      </c>
    </row>
    <row r="559">
      <c r="A559" s="1" t="str">
        <f>HYPERLINK("https://drive.google.com/drive/folders/1ZKwp5UqyAmUOiEATmS1fD1s_lVy7mvnc","Cómo cultivar cannabis al aire libre")</f>
        <v>Cómo cultivar cannabis al aire libre</v>
      </c>
      <c r="B559" s="1" t="str">
        <f t="shared" si="279"/>
        <v>https://drive.google.com/drive/folders/1ZKwp5UqyAmUOiEATmS1fD1s_lVy7mvnc</v>
      </c>
      <c r="C559" s="1" t="str">
        <f t="shared" si="280"/>
        <v>Cómo cultivar cannabis a partir de semillas</v>
      </c>
    </row>
    <row r="560">
      <c r="A560" s="1" t="str">
        <f>HYPERLINK("https://drive.google.com/drive/folders/1ZKwp5UqyAmUOiEATmS1fD1s_lVy7mvnc","cuánto tiempo lleva cultivar cannabis")</f>
        <v>cuánto tiempo lleva cultivar cannabis</v>
      </c>
      <c r="B560" s="1" t="str">
        <f t="shared" si="279"/>
        <v>https://drive.google.com/drive/folders/1ZKwp5UqyAmUOiEATmS1fD1s_lVy7mvnc</v>
      </c>
      <c r="C560" s="1" t="str">
        <f t="shared" si="280"/>
        <v>Cómo cultivar cannabis a partir de semillas</v>
      </c>
    </row>
    <row r="561">
      <c r="A561" s="1" t="str">
        <f>HYPERLINK("https://drive.google.com/drive/folders/1EwTSfslKqKYOjXQo9Qo1GZF8L5Zm67uB","Cómo cultivar cannabis en interiores")</f>
        <v>Cómo cultivar cannabis en interiores</v>
      </c>
      <c r="B561" s="1" t="str">
        <f t="shared" ref="B561:B564" si="281">HYPERLINK("https://drive.google.com/drive/folders/1EwTSfslKqKYOjXQo9Qo1GZF8L5Zm67uB","https://drive.google.com/drive/folders/1EwTSfslKqKYOjXQo9Qo1GZF8L5Zm67uB")</f>
        <v>https://drive.google.com/drive/folders/1EwTSfslKqKYOjXQo9Qo1GZF8L5Zm67uB</v>
      </c>
      <c r="C561" s="1" t="str">
        <f t="shared" ref="C561:C564" si="282">HYPERLINK("https://drive.google.com/drive/folders/1EwTSfslKqKYOjXQo9Qo1GZF8L5Zm67uB","Cómo cultivar cannabis a partir de semillas")</f>
        <v>Cómo cultivar cannabis a partir de semillas</v>
      </c>
    </row>
    <row r="562">
      <c r="A562" s="1" t="str">
        <f>HYPERLINK("https://drive.google.com/drive/folders/1EwTSfslKqKYOjXQo9Qo1GZF8L5Zm67uB","como cultivar cannabis")</f>
        <v>como cultivar cannabis</v>
      </c>
      <c r="B562" s="1" t="str">
        <f t="shared" si="281"/>
        <v>https://drive.google.com/drive/folders/1EwTSfslKqKYOjXQo9Qo1GZF8L5Zm67uB</v>
      </c>
      <c r="C562" s="1" t="str">
        <f t="shared" si="282"/>
        <v>Cómo cultivar cannabis a partir de semillas</v>
      </c>
    </row>
    <row r="563">
      <c r="A563" s="1" t="str">
        <f>HYPERLINK("https://drive.google.com/drive/folders/1EwTSfslKqKYOjXQo9Qo1GZF8L5Zm67uB","Cómo cultivar cannabis al aire libre")</f>
        <v>Cómo cultivar cannabis al aire libre</v>
      </c>
      <c r="B563" s="1" t="str">
        <f t="shared" si="281"/>
        <v>https://drive.google.com/drive/folders/1EwTSfslKqKYOjXQo9Qo1GZF8L5Zm67uB</v>
      </c>
      <c r="C563" s="1" t="str">
        <f t="shared" si="282"/>
        <v>Cómo cultivar cannabis a partir de semillas</v>
      </c>
    </row>
    <row r="564">
      <c r="A564" s="1" t="str">
        <f>HYPERLINK("https://drive.google.com/drive/folders/1EwTSfslKqKYOjXQo9Qo1GZF8L5Zm67uB","cuánto tiempo lleva cultivar cannabis")</f>
        <v>cuánto tiempo lleva cultivar cannabis</v>
      </c>
      <c r="B564" s="1" t="str">
        <f t="shared" si="281"/>
        <v>https://drive.google.com/drive/folders/1EwTSfslKqKYOjXQo9Qo1GZF8L5Zm67uB</v>
      </c>
      <c r="C564" s="1" t="str">
        <f t="shared" si="282"/>
        <v>Cómo cultivar cannabis a partir de semillas</v>
      </c>
    </row>
    <row r="565">
      <c r="A565" s="1" t="str">
        <f>HYPERLINK("https://docs.google.com/spreadsheets/d/13zbBDqWN9vACzBMydTgKrZMWorwoOd-sujO0PTelBQQ","Cómo cultivar cannabis en interiores")</f>
        <v>Cómo cultivar cannabis en interiores</v>
      </c>
      <c r="B565" s="1" t="str">
        <f t="shared" ref="B565:B568" si="283">HYPERLINK("https://docs.google.com/spreadsheets/d/13zbBDqWN9vACzBMydTgKrZMWorwoOd-sujO0PTelBQQ","https://docs.google.com/spreadsheets/d/13zbBDqWN9vACzBMydTgKrZMWorwoOd-sujO0PTelBQQ")</f>
        <v>https://docs.google.com/spreadsheets/d/13zbBDqWN9vACzBMydTgKrZMWorwoOd-sujO0PTelBQQ</v>
      </c>
      <c r="C565" s="1" t="str">
        <f t="shared" ref="C565:C568" si="284">HYPERLINK("https://docs.google.com/spreadsheets/d/13zbBDqWN9vACzBMydTgKrZMWorwoOd-sujO0PTelBQQ","Cómo cultivar cannabis a partir de semillas")</f>
        <v>Cómo cultivar cannabis a partir de semillas</v>
      </c>
    </row>
    <row r="566">
      <c r="A566" s="1" t="str">
        <f>HYPERLINK("https://docs.google.com/spreadsheets/d/13zbBDqWN9vACzBMydTgKrZMWorwoOd-sujO0PTelBQQ","como cultivar cannabis")</f>
        <v>como cultivar cannabis</v>
      </c>
      <c r="B566" s="1" t="str">
        <f t="shared" si="283"/>
        <v>https://docs.google.com/spreadsheets/d/13zbBDqWN9vACzBMydTgKrZMWorwoOd-sujO0PTelBQQ</v>
      </c>
      <c r="C566" s="1" t="str">
        <f t="shared" si="284"/>
        <v>Cómo cultivar cannabis a partir de semillas</v>
      </c>
    </row>
    <row r="567">
      <c r="A567" s="1" t="str">
        <f>HYPERLINK("https://docs.google.com/spreadsheets/d/13zbBDqWN9vACzBMydTgKrZMWorwoOd-sujO0PTelBQQ","Cómo cultivar cannabis al aire libre")</f>
        <v>Cómo cultivar cannabis al aire libre</v>
      </c>
      <c r="B567" s="1" t="str">
        <f t="shared" si="283"/>
        <v>https://docs.google.com/spreadsheets/d/13zbBDqWN9vACzBMydTgKrZMWorwoOd-sujO0PTelBQQ</v>
      </c>
      <c r="C567" s="1" t="str">
        <f t="shared" si="284"/>
        <v>Cómo cultivar cannabis a partir de semillas</v>
      </c>
    </row>
    <row r="568">
      <c r="A568" s="1" t="str">
        <f>HYPERLINK("https://docs.google.com/spreadsheets/d/13zbBDqWN9vACzBMydTgKrZMWorwoOd-sujO0PTelBQQ","cuánto tiempo lleva cultivar cannabis")</f>
        <v>cuánto tiempo lleva cultivar cannabis</v>
      </c>
      <c r="B568" s="1" t="str">
        <f t="shared" si="283"/>
        <v>https://docs.google.com/spreadsheets/d/13zbBDqWN9vACzBMydTgKrZMWorwoOd-sujO0PTelBQQ</v>
      </c>
      <c r="C568" s="1" t="str">
        <f t="shared" si="284"/>
        <v>Cómo cultivar cannabis a partir de semillas</v>
      </c>
    </row>
    <row r="569">
      <c r="A569" s="1" t="str">
        <f>HYPERLINK("https://docs.google.com/spreadsheets/d/1Tt6lmlZQe06JFAbGQu96o3k6T6g9Y2e_4ubJUD2g4l0","Cómo cultivar cannabis en interiores")</f>
        <v>Cómo cultivar cannabis en interiores</v>
      </c>
      <c r="B569" s="1" t="str">
        <f t="shared" ref="B569:B572" si="285">HYPERLINK("https://docs.google.com/spreadsheets/d/1Tt6lmlZQe06JFAbGQu96o3k6T6g9Y2e_4ubJUD2g4l0","https://docs.google.com/spreadsheets/d/1Tt6lmlZQe06JFAbGQu96o3k6T6g9Y2e_4ubJUD2g4l0")</f>
        <v>https://docs.google.com/spreadsheets/d/1Tt6lmlZQe06JFAbGQu96o3k6T6g9Y2e_4ubJUD2g4l0</v>
      </c>
      <c r="C569" s="1" t="str">
        <f t="shared" ref="C569:C572" si="286">HYPERLINK("https://docs.google.com/spreadsheets/d/1Tt6lmlZQe06JFAbGQu96o3k6T6g9Y2e_4ubJUD2g4l0","Cómo cultivar cannabis a partir de semillas")</f>
        <v>Cómo cultivar cannabis a partir de semillas</v>
      </c>
    </row>
    <row r="570">
      <c r="A570" s="1" t="str">
        <f>HYPERLINK("https://docs.google.com/spreadsheets/d/1Tt6lmlZQe06JFAbGQu96o3k6T6g9Y2e_4ubJUD2g4l0","como cultivar cannabis")</f>
        <v>como cultivar cannabis</v>
      </c>
      <c r="B570" s="1" t="str">
        <f t="shared" si="285"/>
        <v>https://docs.google.com/spreadsheets/d/1Tt6lmlZQe06JFAbGQu96o3k6T6g9Y2e_4ubJUD2g4l0</v>
      </c>
      <c r="C570" s="1" t="str">
        <f t="shared" si="286"/>
        <v>Cómo cultivar cannabis a partir de semillas</v>
      </c>
    </row>
    <row r="571">
      <c r="A571" s="1" t="str">
        <f>HYPERLINK("https://docs.google.com/spreadsheets/d/1Tt6lmlZQe06JFAbGQu96o3k6T6g9Y2e_4ubJUD2g4l0","Cómo cultivar cannabis al aire libre")</f>
        <v>Cómo cultivar cannabis al aire libre</v>
      </c>
      <c r="B571" s="1" t="str">
        <f t="shared" si="285"/>
        <v>https://docs.google.com/spreadsheets/d/1Tt6lmlZQe06JFAbGQu96o3k6T6g9Y2e_4ubJUD2g4l0</v>
      </c>
      <c r="C571" s="1" t="str">
        <f t="shared" si="286"/>
        <v>Cómo cultivar cannabis a partir de semillas</v>
      </c>
    </row>
    <row r="572">
      <c r="A572" s="1" t="str">
        <f>HYPERLINK("https://docs.google.com/spreadsheets/d/1Tt6lmlZQe06JFAbGQu96o3k6T6g9Y2e_4ubJUD2g4l0","cuánto tiempo lleva cultivar cannabis")</f>
        <v>cuánto tiempo lleva cultivar cannabis</v>
      </c>
      <c r="B572" s="1" t="str">
        <f t="shared" si="285"/>
        <v>https://docs.google.com/spreadsheets/d/1Tt6lmlZQe06JFAbGQu96o3k6T6g9Y2e_4ubJUD2g4l0</v>
      </c>
      <c r="C572" s="1" t="str">
        <f t="shared" si="286"/>
        <v>Cómo cultivar cannabis a partir de semillas</v>
      </c>
    </row>
    <row r="573">
      <c r="A573" s="1" t="str">
        <f>HYPERLINK("https://docs.google.com/spreadsheets/d/1DVvmAa3oWF1Hvmdv3siso6re2jmo7EaV2xysWKcf4A8","Cómo cultivar cannabis en interiores")</f>
        <v>Cómo cultivar cannabis en interiores</v>
      </c>
      <c r="B573" s="1" t="str">
        <f t="shared" ref="B573:B576" si="287">HYPERLINK("https://docs.google.com/spreadsheets/d/1DVvmAa3oWF1Hvmdv3siso6re2jmo7EaV2xysWKcf4A8","https://docs.google.com/spreadsheets/d/1DVvmAa3oWF1Hvmdv3siso6re2jmo7EaV2xysWKcf4A8")</f>
        <v>https://docs.google.com/spreadsheets/d/1DVvmAa3oWF1Hvmdv3siso6re2jmo7EaV2xysWKcf4A8</v>
      </c>
      <c r="C573" s="1" t="str">
        <f t="shared" ref="C573:C576" si="288">HYPERLINK("https://docs.google.com/spreadsheets/d/1DVvmAa3oWF1Hvmdv3siso6re2jmo7EaV2xysWKcf4A8","Cómo cultivar cannabis a partir de semillas")</f>
        <v>Cómo cultivar cannabis a partir de semillas</v>
      </c>
    </row>
    <row r="574">
      <c r="A574" s="1" t="str">
        <f>HYPERLINK("https://docs.google.com/spreadsheets/d/1DVvmAa3oWF1Hvmdv3siso6re2jmo7EaV2xysWKcf4A8","como cultivar cannabis")</f>
        <v>como cultivar cannabis</v>
      </c>
      <c r="B574" s="1" t="str">
        <f t="shared" si="287"/>
        <v>https://docs.google.com/spreadsheets/d/1DVvmAa3oWF1Hvmdv3siso6re2jmo7EaV2xysWKcf4A8</v>
      </c>
      <c r="C574" s="1" t="str">
        <f t="shared" si="288"/>
        <v>Cómo cultivar cannabis a partir de semillas</v>
      </c>
    </row>
    <row r="575">
      <c r="A575" s="1" t="str">
        <f>HYPERLINK("https://docs.google.com/spreadsheets/d/1DVvmAa3oWF1Hvmdv3siso6re2jmo7EaV2xysWKcf4A8","Cómo cultivar cannabis al aire libre")</f>
        <v>Cómo cultivar cannabis al aire libre</v>
      </c>
      <c r="B575" s="1" t="str">
        <f t="shared" si="287"/>
        <v>https://docs.google.com/spreadsheets/d/1DVvmAa3oWF1Hvmdv3siso6re2jmo7EaV2xysWKcf4A8</v>
      </c>
      <c r="C575" s="1" t="str">
        <f t="shared" si="288"/>
        <v>Cómo cultivar cannabis a partir de semillas</v>
      </c>
    </row>
    <row r="576">
      <c r="A576" s="1" t="str">
        <f>HYPERLINK("https://docs.google.com/spreadsheets/d/1DVvmAa3oWF1Hvmdv3siso6re2jmo7EaV2xysWKcf4A8","cuánto tiempo lleva cultivar cannabis")</f>
        <v>cuánto tiempo lleva cultivar cannabis</v>
      </c>
      <c r="B576" s="1" t="str">
        <f t="shared" si="287"/>
        <v>https://docs.google.com/spreadsheets/d/1DVvmAa3oWF1Hvmdv3siso6re2jmo7EaV2xysWKcf4A8</v>
      </c>
      <c r="C576" s="1" t="str">
        <f t="shared" si="288"/>
        <v>Cómo cultivar cannabis a partir de semillas</v>
      </c>
    </row>
    <row r="577">
      <c r="A577" s="1" t="str">
        <f>HYPERLINK("https://drive.google.com/drive/folders/1-GOtlWf6f3PLJUSNfzEuqh7eRvHb0OyT","Cómo cultivar cannabis en interiores")</f>
        <v>Cómo cultivar cannabis en interiores</v>
      </c>
      <c r="B577" s="1" t="str">
        <f t="shared" ref="B577:B580" si="289">HYPERLINK("https://drive.google.com/drive/folders/1-GOtlWf6f3PLJUSNfzEuqh7eRvHb0OyT","https://drive.google.com/drive/folders/1-GOtlWf6f3PLJUSNfzEuqh7eRvHb0OyT")</f>
        <v>https://drive.google.com/drive/folders/1-GOtlWf6f3PLJUSNfzEuqh7eRvHb0OyT</v>
      </c>
      <c r="C577" s="1" t="str">
        <f t="shared" ref="C577:C580" si="290">HYPERLINK("https://drive.google.com/drive/folders/1-GOtlWf6f3PLJUSNfzEuqh7eRvHb0OyT","Cómo cultivar cannabis a partir de semillas")</f>
        <v>Cómo cultivar cannabis a partir de semillas</v>
      </c>
    </row>
    <row r="578">
      <c r="A578" s="1" t="str">
        <f>HYPERLINK("https://drive.google.com/drive/folders/1-GOtlWf6f3PLJUSNfzEuqh7eRvHb0OyT","como cultivar cannabis")</f>
        <v>como cultivar cannabis</v>
      </c>
      <c r="B578" s="1" t="str">
        <f t="shared" si="289"/>
        <v>https://drive.google.com/drive/folders/1-GOtlWf6f3PLJUSNfzEuqh7eRvHb0OyT</v>
      </c>
      <c r="C578" s="1" t="str">
        <f t="shared" si="290"/>
        <v>Cómo cultivar cannabis a partir de semillas</v>
      </c>
    </row>
    <row r="579">
      <c r="A579" s="1" t="str">
        <f>HYPERLINK("https://drive.google.com/drive/folders/1-GOtlWf6f3PLJUSNfzEuqh7eRvHb0OyT","Cómo cultivar cannabis al aire libre")</f>
        <v>Cómo cultivar cannabis al aire libre</v>
      </c>
      <c r="B579" s="1" t="str">
        <f t="shared" si="289"/>
        <v>https://drive.google.com/drive/folders/1-GOtlWf6f3PLJUSNfzEuqh7eRvHb0OyT</v>
      </c>
      <c r="C579" s="1" t="str">
        <f t="shared" si="290"/>
        <v>Cómo cultivar cannabis a partir de semillas</v>
      </c>
    </row>
    <row r="580">
      <c r="A580" s="1" t="str">
        <f>HYPERLINK("https://drive.google.com/drive/folders/1-GOtlWf6f3PLJUSNfzEuqh7eRvHb0OyT","cuánto tiempo lleva cultivar cannabis")</f>
        <v>cuánto tiempo lleva cultivar cannabis</v>
      </c>
      <c r="B580" s="1" t="str">
        <f t="shared" si="289"/>
        <v>https://drive.google.com/drive/folders/1-GOtlWf6f3PLJUSNfzEuqh7eRvHb0OyT</v>
      </c>
      <c r="C580" s="1" t="str">
        <f t="shared" si="290"/>
        <v>Cómo cultivar cannabis a partir de semillas</v>
      </c>
    </row>
    <row r="581">
      <c r="A581" s="1" t="str">
        <f>HYPERLINK("https://drive.google.com/drive/folders/1QcGYnI0JXZHL94l9W1jKl1XI52XIcakd","Cómo cultivar cannabis en interiores")</f>
        <v>Cómo cultivar cannabis en interiores</v>
      </c>
      <c r="B581" s="1" t="str">
        <f t="shared" ref="B581:B584" si="291">HYPERLINK("https://drive.google.com/drive/folders/1QcGYnI0JXZHL94l9W1jKl1XI52XIcakd","https://drive.google.com/drive/folders/1QcGYnI0JXZHL94l9W1jKl1XI52XIcakd")</f>
        <v>https://drive.google.com/drive/folders/1QcGYnI0JXZHL94l9W1jKl1XI52XIcakd</v>
      </c>
      <c r="C581" s="1" t="str">
        <f t="shared" ref="C581:C584" si="292">HYPERLINK("https://drive.google.com/drive/folders/1QcGYnI0JXZHL94l9W1jKl1XI52XIcakd","Cómo cultivar cannabis a partir de semillas")</f>
        <v>Cómo cultivar cannabis a partir de semillas</v>
      </c>
    </row>
    <row r="582">
      <c r="A582" s="1" t="str">
        <f>HYPERLINK("https://drive.google.com/drive/folders/1QcGYnI0JXZHL94l9W1jKl1XI52XIcakd","como cultivar cannabis")</f>
        <v>como cultivar cannabis</v>
      </c>
      <c r="B582" s="1" t="str">
        <f t="shared" si="291"/>
        <v>https://drive.google.com/drive/folders/1QcGYnI0JXZHL94l9W1jKl1XI52XIcakd</v>
      </c>
      <c r="C582" s="1" t="str">
        <f t="shared" si="292"/>
        <v>Cómo cultivar cannabis a partir de semillas</v>
      </c>
    </row>
    <row r="583">
      <c r="A583" s="1" t="str">
        <f>HYPERLINK("https://drive.google.com/drive/folders/1QcGYnI0JXZHL94l9W1jKl1XI52XIcakd","Cómo cultivar cannabis al aire libre")</f>
        <v>Cómo cultivar cannabis al aire libre</v>
      </c>
      <c r="B583" s="1" t="str">
        <f t="shared" si="291"/>
        <v>https://drive.google.com/drive/folders/1QcGYnI0JXZHL94l9W1jKl1XI52XIcakd</v>
      </c>
      <c r="C583" s="1" t="str">
        <f t="shared" si="292"/>
        <v>Cómo cultivar cannabis a partir de semillas</v>
      </c>
    </row>
    <row r="584">
      <c r="A584" s="1" t="str">
        <f>HYPERLINK("https://drive.google.com/drive/folders/1QcGYnI0JXZHL94l9W1jKl1XI52XIcakd","cuánto tiempo lleva cultivar cannabis")</f>
        <v>cuánto tiempo lleva cultivar cannabis</v>
      </c>
      <c r="B584" s="1" t="str">
        <f t="shared" si="291"/>
        <v>https://drive.google.com/drive/folders/1QcGYnI0JXZHL94l9W1jKl1XI52XIcakd</v>
      </c>
      <c r="C584" s="1" t="str">
        <f t="shared" si="292"/>
        <v>Cómo cultivar cannabis a partir de semillas</v>
      </c>
    </row>
    <row r="585">
      <c r="A585" s="1" t="str">
        <f>HYPERLINK("https://docs.google.com/spreadsheets/d/1oSPEwBUH_wZJhD3PLt8a5ZkUhNtS0dsp3ZWLNRyhpxc","Cómo cultivar cannabis en interiores")</f>
        <v>Cómo cultivar cannabis en interiores</v>
      </c>
      <c r="B585" s="1" t="str">
        <f t="shared" ref="B585:B588" si="293">HYPERLINK("https://docs.google.com/spreadsheets/d/1oSPEwBUH_wZJhD3PLt8a5ZkUhNtS0dsp3ZWLNRyhpxc","https://docs.google.com/spreadsheets/d/1oSPEwBUH_wZJhD3PLt8a5ZkUhNtS0dsp3ZWLNRyhpxc")</f>
        <v>https://docs.google.com/spreadsheets/d/1oSPEwBUH_wZJhD3PLt8a5ZkUhNtS0dsp3ZWLNRyhpxc</v>
      </c>
      <c r="C585" s="1" t="str">
        <f t="shared" ref="C585:C588" si="294">HYPERLINK("https://docs.google.com/spreadsheets/d/1oSPEwBUH_wZJhD3PLt8a5ZkUhNtS0dsp3ZWLNRyhpxc","Cómo cultivar cannabis a partir de semillas")</f>
        <v>Cómo cultivar cannabis a partir de semillas</v>
      </c>
    </row>
    <row r="586">
      <c r="A586" s="1" t="str">
        <f>HYPERLINK("https://docs.google.com/spreadsheets/d/1oSPEwBUH_wZJhD3PLt8a5ZkUhNtS0dsp3ZWLNRyhpxc","como cultivar cannabis")</f>
        <v>como cultivar cannabis</v>
      </c>
      <c r="B586" s="1" t="str">
        <f t="shared" si="293"/>
        <v>https://docs.google.com/spreadsheets/d/1oSPEwBUH_wZJhD3PLt8a5ZkUhNtS0dsp3ZWLNRyhpxc</v>
      </c>
      <c r="C586" s="1" t="str">
        <f t="shared" si="294"/>
        <v>Cómo cultivar cannabis a partir de semillas</v>
      </c>
    </row>
    <row r="587">
      <c r="A587" s="1" t="str">
        <f>HYPERLINK("https://docs.google.com/spreadsheets/d/1oSPEwBUH_wZJhD3PLt8a5ZkUhNtS0dsp3ZWLNRyhpxc","Cómo cultivar cannabis al aire libre")</f>
        <v>Cómo cultivar cannabis al aire libre</v>
      </c>
      <c r="B587" s="1" t="str">
        <f t="shared" si="293"/>
        <v>https://docs.google.com/spreadsheets/d/1oSPEwBUH_wZJhD3PLt8a5ZkUhNtS0dsp3ZWLNRyhpxc</v>
      </c>
      <c r="C587" s="1" t="str">
        <f t="shared" si="294"/>
        <v>Cómo cultivar cannabis a partir de semillas</v>
      </c>
    </row>
    <row r="588">
      <c r="A588" s="1" t="str">
        <f>HYPERLINK("https://docs.google.com/spreadsheets/d/1oSPEwBUH_wZJhD3PLt8a5ZkUhNtS0dsp3ZWLNRyhpxc","cuánto tiempo lleva cultivar cannabis")</f>
        <v>cuánto tiempo lleva cultivar cannabis</v>
      </c>
      <c r="B588" s="1" t="str">
        <f t="shared" si="293"/>
        <v>https://docs.google.com/spreadsheets/d/1oSPEwBUH_wZJhD3PLt8a5ZkUhNtS0dsp3ZWLNRyhpxc</v>
      </c>
      <c r="C588" s="1" t="str">
        <f t="shared" si="294"/>
        <v>Cómo cultivar cannabis a partir de semillas</v>
      </c>
    </row>
    <row r="589">
      <c r="A589" s="1" t="str">
        <f>HYPERLINK("https://docs.google.com/spreadsheets/d/12-xlBcMLgpCVAlzRxi-iScJF9vU6Ahs8x0v2977jnpg","Cómo cultivar cannabis en interiores")</f>
        <v>Cómo cultivar cannabis en interiores</v>
      </c>
      <c r="B589" s="1" t="str">
        <f t="shared" ref="B589:B592" si="295">HYPERLINK("https://docs.google.com/spreadsheets/d/12-xlBcMLgpCVAlzRxi-iScJF9vU6Ahs8x0v2977jnpg","https://docs.google.com/spreadsheets/d/12-xlBcMLgpCVAlzRxi-iScJF9vU6Ahs8x0v2977jnpg")</f>
        <v>https://docs.google.com/spreadsheets/d/12-xlBcMLgpCVAlzRxi-iScJF9vU6Ahs8x0v2977jnpg</v>
      </c>
      <c r="C589" s="1" t="str">
        <f t="shared" ref="C589:C592" si="296">HYPERLINK("https://docs.google.com/spreadsheets/d/12-xlBcMLgpCVAlzRxi-iScJF9vU6Ahs8x0v2977jnpg","Cómo cultivar cannabis a partir de semillas")</f>
        <v>Cómo cultivar cannabis a partir de semillas</v>
      </c>
    </row>
    <row r="590">
      <c r="A590" s="1" t="str">
        <f>HYPERLINK("https://docs.google.com/spreadsheets/d/12-xlBcMLgpCVAlzRxi-iScJF9vU6Ahs8x0v2977jnpg","como cultivar cannabis")</f>
        <v>como cultivar cannabis</v>
      </c>
      <c r="B590" s="1" t="str">
        <f t="shared" si="295"/>
        <v>https://docs.google.com/spreadsheets/d/12-xlBcMLgpCVAlzRxi-iScJF9vU6Ahs8x0v2977jnpg</v>
      </c>
      <c r="C590" s="1" t="str">
        <f t="shared" si="296"/>
        <v>Cómo cultivar cannabis a partir de semillas</v>
      </c>
    </row>
    <row r="591">
      <c r="A591" s="1" t="str">
        <f>HYPERLINK("https://docs.google.com/spreadsheets/d/12-xlBcMLgpCVAlzRxi-iScJF9vU6Ahs8x0v2977jnpg","Cómo cultivar cannabis al aire libre")</f>
        <v>Cómo cultivar cannabis al aire libre</v>
      </c>
      <c r="B591" s="1" t="str">
        <f t="shared" si="295"/>
        <v>https://docs.google.com/spreadsheets/d/12-xlBcMLgpCVAlzRxi-iScJF9vU6Ahs8x0v2977jnpg</v>
      </c>
      <c r="C591" s="1" t="str">
        <f t="shared" si="296"/>
        <v>Cómo cultivar cannabis a partir de semillas</v>
      </c>
    </row>
    <row r="592">
      <c r="A592" s="1" t="str">
        <f>HYPERLINK("https://docs.google.com/spreadsheets/d/12-xlBcMLgpCVAlzRxi-iScJF9vU6Ahs8x0v2977jnpg","cuánto tiempo lleva cultivar cannabis")</f>
        <v>cuánto tiempo lleva cultivar cannabis</v>
      </c>
      <c r="B592" s="1" t="str">
        <f t="shared" si="295"/>
        <v>https://docs.google.com/spreadsheets/d/12-xlBcMLgpCVAlzRxi-iScJF9vU6Ahs8x0v2977jnpg</v>
      </c>
      <c r="C592" s="1" t="str">
        <f t="shared" si="296"/>
        <v>Cómo cultivar cannabis a partir de semillas</v>
      </c>
    </row>
    <row r="593">
      <c r="A593" s="1" t="str">
        <f>HYPERLINK("https://docs.google.com/spreadsheets/d/17VVpZS8F1uyEUodpV9WPI_pQtJ8icUlyGF3fZdhY7-s","Cómo cultivar cannabis en interiores")</f>
        <v>Cómo cultivar cannabis en interiores</v>
      </c>
      <c r="B593" s="1" t="str">
        <f t="shared" ref="B593:B596" si="297">HYPERLINK("https://docs.google.com/spreadsheets/d/17VVpZS8F1uyEUodpV9WPI_pQtJ8icUlyGF3fZdhY7-s","https://docs.google.com/spreadsheets/d/17VVpZS8F1uyEUodpV9WPI_pQtJ8icUlyGF3fZdhY7-s")</f>
        <v>https://docs.google.com/spreadsheets/d/17VVpZS8F1uyEUodpV9WPI_pQtJ8icUlyGF3fZdhY7-s</v>
      </c>
      <c r="C593" s="1" t="str">
        <f t="shared" ref="C593:C596" si="298">HYPERLINK("https://docs.google.com/spreadsheets/d/17VVpZS8F1uyEUodpV9WPI_pQtJ8icUlyGF3fZdhY7-s","Cómo cultivar cannabis a partir de semillas")</f>
        <v>Cómo cultivar cannabis a partir de semillas</v>
      </c>
    </row>
    <row r="594">
      <c r="A594" s="1" t="str">
        <f>HYPERLINK("https://docs.google.com/spreadsheets/d/17VVpZS8F1uyEUodpV9WPI_pQtJ8icUlyGF3fZdhY7-s","como cultivar cannabis")</f>
        <v>como cultivar cannabis</v>
      </c>
      <c r="B594" s="1" t="str">
        <f t="shared" si="297"/>
        <v>https://docs.google.com/spreadsheets/d/17VVpZS8F1uyEUodpV9WPI_pQtJ8icUlyGF3fZdhY7-s</v>
      </c>
      <c r="C594" s="1" t="str">
        <f t="shared" si="298"/>
        <v>Cómo cultivar cannabis a partir de semillas</v>
      </c>
    </row>
    <row r="595">
      <c r="A595" s="1" t="str">
        <f>HYPERLINK("https://docs.google.com/spreadsheets/d/17VVpZS8F1uyEUodpV9WPI_pQtJ8icUlyGF3fZdhY7-s","Cómo cultivar cannabis al aire libre")</f>
        <v>Cómo cultivar cannabis al aire libre</v>
      </c>
      <c r="B595" s="1" t="str">
        <f t="shared" si="297"/>
        <v>https://docs.google.com/spreadsheets/d/17VVpZS8F1uyEUodpV9WPI_pQtJ8icUlyGF3fZdhY7-s</v>
      </c>
      <c r="C595" s="1" t="str">
        <f t="shared" si="298"/>
        <v>Cómo cultivar cannabis a partir de semillas</v>
      </c>
    </row>
    <row r="596">
      <c r="A596" s="1" t="str">
        <f>HYPERLINK("https://docs.google.com/spreadsheets/d/17VVpZS8F1uyEUodpV9WPI_pQtJ8icUlyGF3fZdhY7-s","cuánto tiempo lleva cultivar cannabis")</f>
        <v>cuánto tiempo lleva cultivar cannabis</v>
      </c>
      <c r="B596" s="1" t="str">
        <f t="shared" si="297"/>
        <v>https://docs.google.com/spreadsheets/d/17VVpZS8F1uyEUodpV9WPI_pQtJ8icUlyGF3fZdhY7-s</v>
      </c>
      <c r="C596" s="1" t="str">
        <f t="shared" si="298"/>
        <v>Cómo cultivar cannabis a partir de semillas</v>
      </c>
    </row>
    <row r="597">
      <c r="A597" s="1" t="str">
        <f>HYPERLINK("https://docs.google.com/spreadsheets/d/1Lq7afDhEJEYZRDAbqdGlmIZOtc8wZMd4nwKygXAcDOA","Cómo cultivar cannabis en interiores")</f>
        <v>Cómo cultivar cannabis en interiores</v>
      </c>
      <c r="B597" s="1" t="str">
        <f t="shared" ref="B597:B600" si="299">HYPERLINK("https://docs.google.com/spreadsheets/d/1Lq7afDhEJEYZRDAbqdGlmIZOtc8wZMd4nwKygXAcDOA","https://docs.google.com/spreadsheets/d/1Lq7afDhEJEYZRDAbqdGlmIZOtc8wZMd4nwKygXAcDOA")</f>
        <v>https://docs.google.com/spreadsheets/d/1Lq7afDhEJEYZRDAbqdGlmIZOtc8wZMd4nwKygXAcDOA</v>
      </c>
      <c r="C597" s="1" t="str">
        <f t="shared" ref="C597:C600" si="300">HYPERLINK("https://docs.google.com/spreadsheets/d/1Lq7afDhEJEYZRDAbqdGlmIZOtc8wZMd4nwKygXAcDOA","Cómo cultivar cannabis a partir de semillas")</f>
        <v>Cómo cultivar cannabis a partir de semillas</v>
      </c>
    </row>
    <row r="598">
      <c r="A598" s="1" t="str">
        <f>HYPERLINK("https://docs.google.com/spreadsheets/d/1Lq7afDhEJEYZRDAbqdGlmIZOtc8wZMd4nwKygXAcDOA","como cultivar cannabis")</f>
        <v>como cultivar cannabis</v>
      </c>
      <c r="B598" s="1" t="str">
        <f t="shared" si="299"/>
        <v>https://docs.google.com/spreadsheets/d/1Lq7afDhEJEYZRDAbqdGlmIZOtc8wZMd4nwKygXAcDOA</v>
      </c>
      <c r="C598" s="1" t="str">
        <f t="shared" si="300"/>
        <v>Cómo cultivar cannabis a partir de semillas</v>
      </c>
    </row>
    <row r="599">
      <c r="A599" s="1" t="str">
        <f>HYPERLINK("https://docs.google.com/spreadsheets/d/1Lq7afDhEJEYZRDAbqdGlmIZOtc8wZMd4nwKygXAcDOA","Cómo cultivar cannabis al aire libre")</f>
        <v>Cómo cultivar cannabis al aire libre</v>
      </c>
      <c r="B599" s="1" t="str">
        <f t="shared" si="299"/>
        <v>https://docs.google.com/spreadsheets/d/1Lq7afDhEJEYZRDAbqdGlmIZOtc8wZMd4nwKygXAcDOA</v>
      </c>
      <c r="C599" s="1" t="str">
        <f t="shared" si="300"/>
        <v>Cómo cultivar cannabis a partir de semillas</v>
      </c>
    </row>
    <row r="600">
      <c r="A600" s="1" t="str">
        <f>HYPERLINK("https://docs.google.com/spreadsheets/d/1Lq7afDhEJEYZRDAbqdGlmIZOtc8wZMd4nwKygXAcDOA","cuánto tiempo lleva cultivar cannabis")</f>
        <v>cuánto tiempo lleva cultivar cannabis</v>
      </c>
      <c r="B600" s="1" t="str">
        <f t="shared" si="299"/>
        <v>https://docs.google.com/spreadsheets/d/1Lq7afDhEJEYZRDAbqdGlmIZOtc8wZMd4nwKygXAcDOA</v>
      </c>
      <c r="C600" s="1" t="str">
        <f t="shared" si="300"/>
        <v>Cómo cultivar cannabis a partir de semillas</v>
      </c>
    </row>
    <row r="601">
      <c r="A601" s="1" t="str">
        <f>HYPERLINK("https://docs.google.com/spreadsheets/d/1UmmFInRL3q7VRGpGZzfz6TbmmlT8my00wbfRjwT-cFs","Cómo cultivar cannabis en interiores")</f>
        <v>Cómo cultivar cannabis en interiores</v>
      </c>
      <c r="B601" s="1" t="str">
        <f t="shared" ref="B601:B604" si="301">HYPERLINK("https://docs.google.com/spreadsheets/d/1UmmFInRL3q7VRGpGZzfz6TbmmlT8my00wbfRjwT-cFs","https://docs.google.com/spreadsheets/d/1UmmFInRL3q7VRGpGZzfz6TbmmlT8my00wbfRjwT-cFs")</f>
        <v>https://docs.google.com/spreadsheets/d/1UmmFInRL3q7VRGpGZzfz6TbmmlT8my00wbfRjwT-cFs</v>
      </c>
      <c r="C601" s="1" t="str">
        <f t="shared" ref="C601:C604" si="302">HYPERLINK("https://docs.google.com/spreadsheets/d/1UmmFInRL3q7VRGpGZzfz6TbmmlT8my00wbfRjwT-cFs","Cómo cultivar cannabis a partir de semillas")</f>
        <v>Cómo cultivar cannabis a partir de semillas</v>
      </c>
    </row>
    <row r="602">
      <c r="A602" s="1" t="str">
        <f>HYPERLINK("https://docs.google.com/spreadsheets/d/1UmmFInRL3q7VRGpGZzfz6TbmmlT8my00wbfRjwT-cFs","como cultivar cannabis")</f>
        <v>como cultivar cannabis</v>
      </c>
      <c r="B602" s="1" t="str">
        <f t="shared" si="301"/>
        <v>https://docs.google.com/spreadsheets/d/1UmmFInRL3q7VRGpGZzfz6TbmmlT8my00wbfRjwT-cFs</v>
      </c>
      <c r="C602" s="1" t="str">
        <f t="shared" si="302"/>
        <v>Cómo cultivar cannabis a partir de semillas</v>
      </c>
    </row>
    <row r="603">
      <c r="A603" s="1" t="str">
        <f>HYPERLINK("https://docs.google.com/spreadsheets/d/1UmmFInRL3q7VRGpGZzfz6TbmmlT8my00wbfRjwT-cFs","Cómo cultivar cannabis al aire libre")</f>
        <v>Cómo cultivar cannabis al aire libre</v>
      </c>
      <c r="B603" s="1" t="str">
        <f t="shared" si="301"/>
        <v>https://docs.google.com/spreadsheets/d/1UmmFInRL3q7VRGpGZzfz6TbmmlT8my00wbfRjwT-cFs</v>
      </c>
      <c r="C603" s="1" t="str">
        <f t="shared" si="302"/>
        <v>Cómo cultivar cannabis a partir de semillas</v>
      </c>
    </row>
    <row r="604">
      <c r="A604" s="1" t="str">
        <f>HYPERLINK("https://docs.google.com/spreadsheets/d/1UmmFInRL3q7VRGpGZzfz6TbmmlT8my00wbfRjwT-cFs","cuánto tiempo lleva cultivar cannabis")</f>
        <v>cuánto tiempo lleva cultivar cannabis</v>
      </c>
      <c r="B604" s="1" t="str">
        <f t="shared" si="301"/>
        <v>https://docs.google.com/spreadsheets/d/1UmmFInRL3q7VRGpGZzfz6TbmmlT8my00wbfRjwT-cFs</v>
      </c>
      <c r="C604" s="1" t="str">
        <f t="shared" si="302"/>
        <v>Cómo cultivar cannabis a partir de semillas</v>
      </c>
    </row>
    <row r="605">
      <c r="A605" s="1" t="str">
        <f>HYPERLINK("https://drive.google.com/drive/folders/1ewdYI6lHoHnrGm5JPAJbVSRRHWgxREXq","Cómo cultivar cannabis en interiores")</f>
        <v>Cómo cultivar cannabis en interiores</v>
      </c>
      <c r="B605" s="1" t="str">
        <f t="shared" ref="B605:B608" si="303">HYPERLINK("https://drive.google.com/drive/folders/1ewdYI6lHoHnrGm5JPAJbVSRRHWgxREXq","https://drive.google.com/drive/folders/1ewdYI6lHoHnrGm5JPAJbVSRRHWgxREXq")</f>
        <v>https://drive.google.com/drive/folders/1ewdYI6lHoHnrGm5JPAJbVSRRHWgxREXq</v>
      </c>
      <c r="C605" s="1" t="str">
        <f t="shared" ref="C605:C608" si="304">HYPERLINK("https://drive.google.com/drive/folders/1ewdYI6lHoHnrGm5JPAJbVSRRHWgxREXq","Cómo cultivar cannabis a partir de semillas")</f>
        <v>Cómo cultivar cannabis a partir de semillas</v>
      </c>
    </row>
    <row r="606">
      <c r="A606" s="1" t="str">
        <f>HYPERLINK("https://drive.google.com/drive/folders/1ewdYI6lHoHnrGm5JPAJbVSRRHWgxREXq","como cultivar cannabis")</f>
        <v>como cultivar cannabis</v>
      </c>
      <c r="B606" s="1" t="str">
        <f t="shared" si="303"/>
        <v>https://drive.google.com/drive/folders/1ewdYI6lHoHnrGm5JPAJbVSRRHWgxREXq</v>
      </c>
      <c r="C606" s="1" t="str">
        <f t="shared" si="304"/>
        <v>Cómo cultivar cannabis a partir de semillas</v>
      </c>
    </row>
    <row r="607">
      <c r="A607" s="1" t="str">
        <f>HYPERLINK("https://drive.google.com/drive/folders/1ewdYI6lHoHnrGm5JPAJbVSRRHWgxREXq","Cómo cultivar cannabis al aire libre")</f>
        <v>Cómo cultivar cannabis al aire libre</v>
      </c>
      <c r="B607" s="1" t="str">
        <f t="shared" si="303"/>
        <v>https://drive.google.com/drive/folders/1ewdYI6lHoHnrGm5JPAJbVSRRHWgxREXq</v>
      </c>
      <c r="C607" s="1" t="str">
        <f t="shared" si="304"/>
        <v>Cómo cultivar cannabis a partir de semillas</v>
      </c>
    </row>
    <row r="608">
      <c r="A608" s="1" t="str">
        <f>HYPERLINK("https://drive.google.com/drive/folders/1ewdYI6lHoHnrGm5JPAJbVSRRHWgxREXq","cuánto tiempo lleva cultivar cannabis")</f>
        <v>cuánto tiempo lleva cultivar cannabis</v>
      </c>
      <c r="B608" s="1" t="str">
        <f t="shared" si="303"/>
        <v>https://drive.google.com/drive/folders/1ewdYI6lHoHnrGm5JPAJbVSRRHWgxREXq</v>
      </c>
      <c r="C608" s="1" t="str">
        <f t="shared" si="304"/>
        <v>Cómo cultivar cannabis a partir de semillas</v>
      </c>
    </row>
    <row r="609">
      <c r="A609" s="1" t="str">
        <f>HYPERLINK("https://docs.google.com/spreadsheets/d/1fEp7me_LDStsfpaK0WxWBUvQ3chq-LuFjVEsl-WSPD8","Cómo cultivar cannabis en interiores")</f>
        <v>Cómo cultivar cannabis en interiores</v>
      </c>
      <c r="B609" s="1" t="str">
        <f t="shared" ref="B609:B612" si="305">HYPERLINK("https://docs.google.com/spreadsheets/d/1fEp7me_LDStsfpaK0WxWBUvQ3chq-LuFjVEsl-WSPD8","https://docs.google.com/spreadsheets/d/1fEp7me_LDStsfpaK0WxWBUvQ3chq-LuFjVEsl-WSPD8")</f>
        <v>https://docs.google.com/spreadsheets/d/1fEp7me_LDStsfpaK0WxWBUvQ3chq-LuFjVEsl-WSPD8</v>
      </c>
      <c r="C609" s="1" t="str">
        <f t="shared" ref="C609:C612" si="306">HYPERLINK("https://docs.google.com/spreadsheets/d/1fEp7me_LDStsfpaK0WxWBUvQ3chq-LuFjVEsl-WSPD8","Cómo cultivar cannabis a partir de semillas")</f>
        <v>Cómo cultivar cannabis a partir de semillas</v>
      </c>
    </row>
    <row r="610">
      <c r="A610" s="1" t="str">
        <f>HYPERLINK("https://docs.google.com/spreadsheets/d/1fEp7me_LDStsfpaK0WxWBUvQ3chq-LuFjVEsl-WSPD8","como cultivar cannabis")</f>
        <v>como cultivar cannabis</v>
      </c>
      <c r="B610" s="1" t="str">
        <f t="shared" si="305"/>
        <v>https://docs.google.com/spreadsheets/d/1fEp7me_LDStsfpaK0WxWBUvQ3chq-LuFjVEsl-WSPD8</v>
      </c>
      <c r="C610" s="1" t="str">
        <f t="shared" si="306"/>
        <v>Cómo cultivar cannabis a partir de semillas</v>
      </c>
    </row>
    <row r="611">
      <c r="A611" s="1" t="str">
        <f>HYPERLINK("https://docs.google.com/spreadsheets/d/1fEp7me_LDStsfpaK0WxWBUvQ3chq-LuFjVEsl-WSPD8","Cómo cultivar cannabis al aire libre")</f>
        <v>Cómo cultivar cannabis al aire libre</v>
      </c>
      <c r="B611" s="1" t="str">
        <f t="shared" si="305"/>
        <v>https://docs.google.com/spreadsheets/d/1fEp7me_LDStsfpaK0WxWBUvQ3chq-LuFjVEsl-WSPD8</v>
      </c>
      <c r="C611" s="1" t="str">
        <f t="shared" si="306"/>
        <v>Cómo cultivar cannabis a partir de semillas</v>
      </c>
    </row>
    <row r="612">
      <c r="A612" s="1" t="str">
        <f>HYPERLINK("https://docs.google.com/spreadsheets/d/1fEp7me_LDStsfpaK0WxWBUvQ3chq-LuFjVEsl-WSPD8","cuánto tiempo lleva cultivar cannabis")</f>
        <v>cuánto tiempo lleva cultivar cannabis</v>
      </c>
      <c r="B612" s="1" t="str">
        <f t="shared" si="305"/>
        <v>https://docs.google.com/spreadsheets/d/1fEp7me_LDStsfpaK0WxWBUvQ3chq-LuFjVEsl-WSPD8</v>
      </c>
      <c r="C612" s="1" t="str">
        <f t="shared" si="306"/>
        <v>Cómo cultivar cannabis a partir de semillas</v>
      </c>
    </row>
    <row r="613">
      <c r="A613" s="1" t="str">
        <f>HYPERLINK("https://docs.google.com/spreadsheets/d/1cJrBJq_snRzc6QRKILouqhrRUo7PBgUqDh6qH1Wf_e0","Cómo cultivar cannabis en interiores")</f>
        <v>Cómo cultivar cannabis en interiores</v>
      </c>
      <c r="B613" s="1" t="str">
        <f t="shared" ref="B613:B616" si="307">HYPERLINK("https://docs.google.com/spreadsheets/d/1cJrBJq_snRzc6QRKILouqhrRUo7PBgUqDh6qH1Wf_e0","https://docs.google.com/spreadsheets/d/1cJrBJq_snRzc6QRKILouqhrRUo7PBgUqDh6qH1Wf_e0")</f>
        <v>https://docs.google.com/spreadsheets/d/1cJrBJq_snRzc6QRKILouqhrRUo7PBgUqDh6qH1Wf_e0</v>
      </c>
      <c r="C613" s="1" t="str">
        <f t="shared" ref="C613:C616" si="308">HYPERLINK("https://docs.google.com/spreadsheets/d/1cJrBJq_snRzc6QRKILouqhrRUo7PBgUqDh6qH1Wf_e0","Cómo cultivar cannabis a partir de semillas")</f>
        <v>Cómo cultivar cannabis a partir de semillas</v>
      </c>
    </row>
    <row r="614">
      <c r="A614" s="1" t="str">
        <f>HYPERLINK("https://docs.google.com/spreadsheets/d/1cJrBJq_snRzc6QRKILouqhrRUo7PBgUqDh6qH1Wf_e0","como cultivar cannabis")</f>
        <v>como cultivar cannabis</v>
      </c>
      <c r="B614" s="1" t="str">
        <f t="shared" si="307"/>
        <v>https://docs.google.com/spreadsheets/d/1cJrBJq_snRzc6QRKILouqhrRUo7PBgUqDh6qH1Wf_e0</v>
      </c>
      <c r="C614" s="1" t="str">
        <f t="shared" si="308"/>
        <v>Cómo cultivar cannabis a partir de semillas</v>
      </c>
    </row>
    <row r="615">
      <c r="A615" s="1" t="str">
        <f>HYPERLINK("https://docs.google.com/spreadsheets/d/1cJrBJq_snRzc6QRKILouqhrRUo7PBgUqDh6qH1Wf_e0","Cómo cultivar cannabis al aire libre")</f>
        <v>Cómo cultivar cannabis al aire libre</v>
      </c>
      <c r="B615" s="1" t="str">
        <f t="shared" si="307"/>
        <v>https://docs.google.com/spreadsheets/d/1cJrBJq_snRzc6QRKILouqhrRUo7PBgUqDh6qH1Wf_e0</v>
      </c>
      <c r="C615" s="1" t="str">
        <f t="shared" si="308"/>
        <v>Cómo cultivar cannabis a partir de semillas</v>
      </c>
    </row>
    <row r="616">
      <c r="A616" s="1" t="str">
        <f>HYPERLINK("https://docs.google.com/spreadsheets/d/1cJrBJq_snRzc6QRKILouqhrRUo7PBgUqDh6qH1Wf_e0","cuánto tiempo lleva cultivar cannabis")</f>
        <v>cuánto tiempo lleva cultivar cannabis</v>
      </c>
      <c r="B616" s="1" t="str">
        <f t="shared" si="307"/>
        <v>https://docs.google.com/spreadsheets/d/1cJrBJq_snRzc6QRKILouqhrRUo7PBgUqDh6qH1Wf_e0</v>
      </c>
      <c r="C616" s="1" t="str">
        <f t="shared" si="308"/>
        <v>Cómo cultivar cannabis a partir de semillas</v>
      </c>
    </row>
    <row r="617">
      <c r="A617" s="1" t="str">
        <f>HYPERLINK("https://drive.google.com/drive/folders/1hTcTqIVmVcFQrPnyDiyhEliE_Dfo17mA","Cómo cultivar cannabis en interiores")</f>
        <v>Cómo cultivar cannabis en interiores</v>
      </c>
      <c r="B617" s="1" t="str">
        <f t="shared" ref="B617:B620" si="309">HYPERLINK("https://drive.google.com/drive/folders/1hTcTqIVmVcFQrPnyDiyhEliE_Dfo17mA","https://drive.google.com/drive/folders/1hTcTqIVmVcFQrPnyDiyhEliE_Dfo17mA")</f>
        <v>https://drive.google.com/drive/folders/1hTcTqIVmVcFQrPnyDiyhEliE_Dfo17mA</v>
      </c>
      <c r="C617" s="1" t="str">
        <f t="shared" ref="C617:C620" si="310">HYPERLINK("https://drive.google.com/drive/folders/1hTcTqIVmVcFQrPnyDiyhEliE_Dfo17mA","Cómo cultivar cannabis a partir de semillas")</f>
        <v>Cómo cultivar cannabis a partir de semillas</v>
      </c>
    </row>
    <row r="618">
      <c r="A618" s="1" t="str">
        <f>HYPERLINK("https://drive.google.com/drive/folders/1hTcTqIVmVcFQrPnyDiyhEliE_Dfo17mA","como cultivar cannabis")</f>
        <v>como cultivar cannabis</v>
      </c>
      <c r="B618" s="1" t="str">
        <f t="shared" si="309"/>
        <v>https://drive.google.com/drive/folders/1hTcTqIVmVcFQrPnyDiyhEliE_Dfo17mA</v>
      </c>
      <c r="C618" s="1" t="str">
        <f t="shared" si="310"/>
        <v>Cómo cultivar cannabis a partir de semillas</v>
      </c>
    </row>
    <row r="619">
      <c r="A619" s="1" t="str">
        <f>HYPERLINK("https://drive.google.com/drive/folders/1hTcTqIVmVcFQrPnyDiyhEliE_Dfo17mA","Cómo cultivar cannabis al aire libre")</f>
        <v>Cómo cultivar cannabis al aire libre</v>
      </c>
      <c r="B619" s="1" t="str">
        <f t="shared" si="309"/>
        <v>https://drive.google.com/drive/folders/1hTcTqIVmVcFQrPnyDiyhEliE_Dfo17mA</v>
      </c>
      <c r="C619" s="1" t="str">
        <f t="shared" si="310"/>
        <v>Cómo cultivar cannabis a partir de semillas</v>
      </c>
    </row>
    <row r="620">
      <c r="A620" s="1" t="str">
        <f>HYPERLINK("https://drive.google.com/drive/folders/1hTcTqIVmVcFQrPnyDiyhEliE_Dfo17mA","cuánto tiempo lleva cultivar cannabis")</f>
        <v>cuánto tiempo lleva cultivar cannabis</v>
      </c>
      <c r="B620" s="1" t="str">
        <f t="shared" si="309"/>
        <v>https://drive.google.com/drive/folders/1hTcTqIVmVcFQrPnyDiyhEliE_Dfo17mA</v>
      </c>
      <c r="C620" s="1" t="str">
        <f t="shared" si="310"/>
        <v>Cómo cultivar cannabis a partir de semillas</v>
      </c>
    </row>
    <row r="621">
      <c r="A621" s="1" t="str">
        <f>HYPERLINK("https://docs.google.com/spreadsheets/d/1FNrV7IHpClUiCcB_F4LVic93E_b0k8-7aihZHOB6KaE","Cómo cultivar cannabis en interiores")</f>
        <v>Cómo cultivar cannabis en interiores</v>
      </c>
      <c r="B621" s="1" t="str">
        <f t="shared" ref="B621:B624" si="311">HYPERLINK("https://docs.google.com/spreadsheets/d/1FNrV7IHpClUiCcB_F4LVic93E_b0k8-7aihZHOB6KaE","https://docs.google.com/spreadsheets/d/1FNrV7IHpClUiCcB_F4LVic93E_b0k8-7aihZHOB6KaE")</f>
        <v>https://docs.google.com/spreadsheets/d/1FNrV7IHpClUiCcB_F4LVic93E_b0k8-7aihZHOB6KaE</v>
      </c>
      <c r="C621" s="1" t="str">
        <f t="shared" ref="C621:C624" si="312">HYPERLINK("https://docs.google.com/spreadsheets/d/1FNrV7IHpClUiCcB_F4LVic93E_b0k8-7aihZHOB6KaE","Cómo cultivar cannabis a partir de semillas")</f>
        <v>Cómo cultivar cannabis a partir de semillas</v>
      </c>
    </row>
    <row r="622">
      <c r="A622" s="1" t="str">
        <f>HYPERLINK("https://docs.google.com/spreadsheets/d/1FNrV7IHpClUiCcB_F4LVic93E_b0k8-7aihZHOB6KaE","como cultivar cannabis")</f>
        <v>como cultivar cannabis</v>
      </c>
      <c r="B622" s="1" t="str">
        <f t="shared" si="311"/>
        <v>https://docs.google.com/spreadsheets/d/1FNrV7IHpClUiCcB_F4LVic93E_b0k8-7aihZHOB6KaE</v>
      </c>
      <c r="C622" s="1" t="str">
        <f t="shared" si="312"/>
        <v>Cómo cultivar cannabis a partir de semillas</v>
      </c>
    </row>
    <row r="623">
      <c r="A623" s="1" t="str">
        <f>HYPERLINK("https://docs.google.com/spreadsheets/d/1FNrV7IHpClUiCcB_F4LVic93E_b0k8-7aihZHOB6KaE","Cómo cultivar cannabis al aire libre")</f>
        <v>Cómo cultivar cannabis al aire libre</v>
      </c>
      <c r="B623" s="1" t="str">
        <f t="shared" si="311"/>
        <v>https://docs.google.com/spreadsheets/d/1FNrV7IHpClUiCcB_F4LVic93E_b0k8-7aihZHOB6KaE</v>
      </c>
      <c r="C623" s="1" t="str">
        <f t="shared" si="312"/>
        <v>Cómo cultivar cannabis a partir de semillas</v>
      </c>
    </row>
    <row r="624">
      <c r="A624" s="1" t="str">
        <f>HYPERLINK("https://docs.google.com/spreadsheets/d/1FNrV7IHpClUiCcB_F4LVic93E_b0k8-7aihZHOB6KaE","cuánto tiempo lleva cultivar cannabis")</f>
        <v>cuánto tiempo lleva cultivar cannabis</v>
      </c>
      <c r="B624" s="1" t="str">
        <f t="shared" si="311"/>
        <v>https://docs.google.com/spreadsheets/d/1FNrV7IHpClUiCcB_F4LVic93E_b0k8-7aihZHOB6KaE</v>
      </c>
      <c r="C624" s="1" t="str">
        <f t="shared" si="312"/>
        <v>Cómo cultivar cannabis a partir de semillas</v>
      </c>
    </row>
    <row r="625">
      <c r="A625" s="1" t="str">
        <f>HYPERLINK("https://docs.google.com/spreadsheets/d/1JcKYfD103FIgYUm1Z1bxmkvghD2nJMxaiXmmXPkAC3w","Cómo cultivar cannabis en interiores")</f>
        <v>Cómo cultivar cannabis en interiores</v>
      </c>
      <c r="B625" s="1" t="str">
        <f t="shared" ref="B625:B628" si="313">HYPERLINK("https://docs.google.com/spreadsheets/d/1JcKYfD103FIgYUm1Z1bxmkvghD2nJMxaiXmmXPkAC3w","https://docs.google.com/spreadsheets/d/1JcKYfD103FIgYUm1Z1bxmkvghD2nJMxaiXmmXPkAC3w")</f>
        <v>https://docs.google.com/spreadsheets/d/1JcKYfD103FIgYUm1Z1bxmkvghD2nJMxaiXmmXPkAC3w</v>
      </c>
      <c r="C625" s="1" t="str">
        <f t="shared" ref="C625:C628" si="314">HYPERLINK("https://docs.google.com/spreadsheets/d/1JcKYfD103FIgYUm1Z1bxmkvghD2nJMxaiXmmXPkAC3w","Cómo cultivar cannabis a partir de semillas")</f>
        <v>Cómo cultivar cannabis a partir de semillas</v>
      </c>
    </row>
    <row r="626">
      <c r="A626" s="1" t="str">
        <f>HYPERLINK("https://docs.google.com/spreadsheets/d/1JcKYfD103FIgYUm1Z1bxmkvghD2nJMxaiXmmXPkAC3w","como cultivar cannabis")</f>
        <v>como cultivar cannabis</v>
      </c>
      <c r="B626" s="1" t="str">
        <f t="shared" si="313"/>
        <v>https://docs.google.com/spreadsheets/d/1JcKYfD103FIgYUm1Z1bxmkvghD2nJMxaiXmmXPkAC3w</v>
      </c>
      <c r="C626" s="1" t="str">
        <f t="shared" si="314"/>
        <v>Cómo cultivar cannabis a partir de semillas</v>
      </c>
    </row>
    <row r="627">
      <c r="A627" s="1" t="str">
        <f>HYPERLINK("https://docs.google.com/spreadsheets/d/1JcKYfD103FIgYUm1Z1bxmkvghD2nJMxaiXmmXPkAC3w","Cómo cultivar cannabis al aire libre")</f>
        <v>Cómo cultivar cannabis al aire libre</v>
      </c>
      <c r="B627" s="1" t="str">
        <f t="shared" si="313"/>
        <v>https://docs.google.com/spreadsheets/d/1JcKYfD103FIgYUm1Z1bxmkvghD2nJMxaiXmmXPkAC3w</v>
      </c>
      <c r="C627" s="1" t="str">
        <f t="shared" si="314"/>
        <v>Cómo cultivar cannabis a partir de semillas</v>
      </c>
    </row>
    <row r="628">
      <c r="A628" s="1" t="str">
        <f>HYPERLINK("https://docs.google.com/spreadsheets/d/1JcKYfD103FIgYUm1Z1bxmkvghD2nJMxaiXmmXPkAC3w","cuánto tiempo lleva cultivar cannabis")</f>
        <v>cuánto tiempo lleva cultivar cannabis</v>
      </c>
      <c r="B628" s="1" t="str">
        <f t="shared" si="313"/>
        <v>https://docs.google.com/spreadsheets/d/1JcKYfD103FIgYUm1Z1bxmkvghD2nJMxaiXmmXPkAC3w</v>
      </c>
      <c r="C628" s="1" t="str">
        <f t="shared" si="314"/>
        <v>Cómo cultivar cannabis a partir de semillas</v>
      </c>
    </row>
    <row r="629">
      <c r="A629" s="1" t="str">
        <f>HYPERLINK("https://drive.google.com/drive/folders/1ErFiJFHKmfJaB4RRcX2s5Zz3wd3joChI","Cómo cultivar cannabis en interiores")</f>
        <v>Cómo cultivar cannabis en interiores</v>
      </c>
      <c r="B629" s="1" t="str">
        <f t="shared" ref="B629:B632" si="315">HYPERLINK("https://drive.google.com/drive/folders/1ErFiJFHKmfJaB4RRcX2s5Zz3wd3joChI","https://drive.google.com/drive/folders/1ErFiJFHKmfJaB4RRcX2s5Zz3wd3joChI")</f>
        <v>https://drive.google.com/drive/folders/1ErFiJFHKmfJaB4RRcX2s5Zz3wd3joChI</v>
      </c>
      <c r="C629" s="1" t="str">
        <f t="shared" ref="C629:C632" si="316">HYPERLINK("https://drive.google.com/drive/folders/1ErFiJFHKmfJaB4RRcX2s5Zz3wd3joChI","Cómo cultivar cannabis a partir de semillas")</f>
        <v>Cómo cultivar cannabis a partir de semillas</v>
      </c>
    </row>
    <row r="630">
      <c r="A630" s="1" t="str">
        <f>HYPERLINK("https://drive.google.com/drive/folders/1ErFiJFHKmfJaB4RRcX2s5Zz3wd3joChI","como cultivar cannabis")</f>
        <v>como cultivar cannabis</v>
      </c>
      <c r="B630" s="1" t="str">
        <f t="shared" si="315"/>
        <v>https://drive.google.com/drive/folders/1ErFiJFHKmfJaB4RRcX2s5Zz3wd3joChI</v>
      </c>
      <c r="C630" s="1" t="str">
        <f t="shared" si="316"/>
        <v>Cómo cultivar cannabis a partir de semillas</v>
      </c>
    </row>
    <row r="631">
      <c r="A631" s="1" t="str">
        <f>HYPERLINK("https://drive.google.com/drive/folders/1ErFiJFHKmfJaB4RRcX2s5Zz3wd3joChI","Cómo cultivar cannabis al aire libre")</f>
        <v>Cómo cultivar cannabis al aire libre</v>
      </c>
      <c r="B631" s="1" t="str">
        <f t="shared" si="315"/>
        <v>https://drive.google.com/drive/folders/1ErFiJFHKmfJaB4RRcX2s5Zz3wd3joChI</v>
      </c>
      <c r="C631" s="1" t="str">
        <f t="shared" si="316"/>
        <v>Cómo cultivar cannabis a partir de semillas</v>
      </c>
    </row>
    <row r="632">
      <c r="A632" s="1" t="str">
        <f>HYPERLINK("https://drive.google.com/drive/folders/1ErFiJFHKmfJaB4RRcX2s5Zz3wd3joChI","cuánto tiempo lleva cultivar cannabis")</f>
        <v>cuánto tiempo lleva cultivar cannabis</v>
      </c>
      <c r="B632" s="1" t="str">
        <f t="shared" si="315"/>
        <v>https://drive.google.com/drive/folders/1ErFiJFHKmfJaB4RRcX2s5Zz3wd3joChI</v>
      </c>
      <c r="C632" s="1" t="str">
        <f t="shared" si="316"/>
        <v>Cómo cultivar cannabis a partir de semillas</v>
      </c>
    </row>
    <row r="633">
      <c r="A633" s="1" t="str">
        <f>HYPERLINK("https://drive.google.com/drive/folders/1E2-8FVe5RAFBnqc_EiZwgFVoR19P41tE","Cómo cultivar cannabis en interiores")</f>
        <v>Cómo cultivar cannabis en interiores</v>
      </c>
      <c r="B633" s="1" t="str">
        <f t="shared" ref="B633:B636" si="317">HYPERLINK("https://drive.google.com/drive/folders/1E2-8FVe5RAFBnqc_EiZwgFVoR19P41tE","https://drive.google.com/drive/folders/1E2-8FVe5RAFBnqc_EiZwgFVoR19P41tE")</f>
        <v>https://drive.google.com/drive/folders/1E2-8FVe5RAFBnqc_EiZwgFVoR19P41tE</v>
      </c>
      <c r="C633" s="1" t="str">
        <f t="shared" ref="C633:C636" si="318">HYPERLINK("https://drive.google.com/drive/folders/1E2-8FVe5RAFBnqc_EiZwgFVoR19P41tE","Cómo cultivar cannabis a partir de semillas")</f>
        <v>Cómo cultivar cannabis a partir de semillas</v>
      </c>
    </row>
    <row r="634">
      <c r="A634" s="1" t="str">
        <f>HYPERLINK("https://drive.google.com/drive/folders/1E2-8FVe5RAFBnqc_EiZwgFVoR19P41tE","como cultivar cannabis")</f>
        <v>como cultivar cannabis</v>
      </c>
      <c r="B634" s="1" t="str">
        <f t="shared" si="317"/>
        <v>https://drive.google.com/drive/folders/1E2-8FVe5RAFBnqc_EiZwgFVoR19P41tE</v>
      </c>
      <c r="C634" s="1" t="str">
        <f t="shared" si="318"/>
        <v>Cómo cultivar cannabis a partir de semillas</v>
      </c>
    </row>
    <row r="635">
      <c r="A635" s="1" t="str">
        <f>HYPERLINK("https://drive.google.com/drive/folders/1E2-8FVe5RAFBnqc_EiZwgFVoR19P41tE","Cómo cultivar cannabis al aire libre")</f>
        <v>Cómo cultivar cannabis al aire libre</v>
      </c>
      <c r="B635" s="1" t="str">
        <f t="shared" si="317"/>
        <v>https://drive.google.com/drive/folders/1E2-8FVe5RAFBnqc_EiZwgFVoR19P41tE</v>
      </c>
      <c r="C635" s="1" t="str">
        <f t="shared" si="318"/>
        <v>Cómo cultivar cannabis a partir de semillas</v>
      </c>
    </row>
    <row r="636">
      <c r="A636" s="1" t="str">
        <f>HYPERLINK("https://drive.google.com/drive/folders/1E2-8FVe5RAFBnqc_EiZwgFVoR19P41tE","cuánto tiempo lleva cultivar cannabis")</f>
        <v>cuánto tiempo lleva cultivar cannabis</v>
      </c>
      <c r="B636" s="1" t="str">
        <f t="shared" si="317"/>
        <v>https://drive.google.com/drive/folders/1E2-8FVe5RAFBnqc_EiZwgFVoR19P41tE</v>
      </c>
      <c r="C636" s="1" t="str">
        <f t="shared" si="318"/>
        <v>Cómo cultivar cannabis a partir de semillas</v>
      </c>
    </row>
    <row r="637">
      <c r="A637" s="1" t="str">
        <f>HYPERLINK("https://drive.google.com/drive/folders/16BJPcsAKEHfbLvLkklh5VA1wmSH8wJK6","Cómo cultivar cannabis en interiores")</f>
        <v>Cómo cultivar cannabis en interiores</v>
      </c>
      <c r="B637" s="1" t="str">
        <f t="shared" ref="B637:B640" si="319">HYPERLINK("https://drive.google.com/drive/folders/16BJPcsAKEHfbLvLkklh5VA1wmSH8wJK6","https://drive.google.com/drive/folders/16BJPcsAKEHfbLvLkklh5VA1wmSH8wJK6")</f>
        <v>https://drive.google.com/drive/folders/16BJPcsAKEHfbLvLkklh5VA1wmSH8wJK6</v>
      </c>
      <c r="C637" s="1" t="str">
        <f t="shared" ref="C637:C640" si="320">HYPERLINK("https://drive.google.com/drive/folders/16BJPcsAKEHfbLvLkklh5VA1wmSH8wJK6","Cómo cultivar cannabis a partir de semillas")</f>
        <v>Cómo cultivar cannabis a partir de semillas</v>
      </c>
    </row>
    <row r="638">
      <c r="A638" s="1" t="str">
        <f>HYPERLINK("https://drive.google.com/drive/folders/16BJPcsAKEHfbLvLkklh5VA1wmSH8wJK6","como cultivar cannabis")</f>
        <v>como cultivar cannabis</v>
      </c>
      <c r="B638" s="1" t="str">
        <f t="shared" si="319"/>
        <v>https://drive.google.com/drive/folders/16BJPcsAKEHfbLvLkklh5VA1wmSH8wJK6</v>
      </c>
      <c r="C638" s="1" t="str">
        <f t="shared" si="320"/>
        <v>Cómo cultivar cannabis a partir de semillas</v>
      </c>
    </row>
    <row r="639">
      <c r="A639" s="1" t="str">
        <f>HYPERLINK("https://drive.google.com/drive/folders/16BJPcsAKEHfbLvLkklh5VA1wmSH8wJK6","Cómo cultivar cannabis al aire libre")</f>
        <v>Cómo cultivar cannabis al aire libre</v>
      </c>
      <c r="B639" s="1" t="str">
        <f t="shared" si="319"/>
        <v>https://drive.google.com/drive/folders/16BJPcsAKEHfbLvLkklh5VA1wmSH8wJK6</v>
      </c>
      <c r="C639" s="1" t="str">
        <f t="shared" si="320"/>
        <v>Cómo cultivar cannabis a partir de semillas</v>
      </c>
    </row>
    <row r="640">
      <c r="A640" s="1" t="str">
        <f>HYPERLINK("https://drive.google.com/drive/folders/16BJPcsAKEHfbLvLkklh5VA1wmSH8wJK6","cuánto tiempo lleva cultivar cannabis")</f>
        <v>cuánto tiempo lleva cultivar cannabis</v>
      </c>
      <c r="B640" s="1" t="str">
        <f t="shared" si="319"/>
        <v>https://drive.google.com/drive/folders/16BJPcsAKEHfbLvLkklh5VA1wmSH8wJK6</v>
      </c>
      <c r="C640" s="1" t="str">
        <f t="shared" si="320"/>
        <v>Cómo cultivar cannabis a partir de semillas</v>
      </c>
    </row>
    <row r="641">
      <c r="A641" s="1" t="str">
        <f>HYPERLINK("https://drive.google.com/drive/folders/1khouejmOMbbAxXGW0S-W6mb74RNNxFS7","Cómo cultivar cannabis en interiores")</f>
        <v>Cómo cultivar cannabis en interiores</v>
      </c>
      <c r="B641" s="1" t="str">
        <f t="shared" ref="B641:B644" si="321">HYPERLINK("https://drive.google.com/drive/folders/1khouejmOMbbAxXGW0S-W6mb74RNNxFS7","https://drive.google.com/drive/folders/1khouejmOMbbAxXGW0S-W6mb74RNNxFS7")</f>
        <v>https://drive.google.com/drive/folders/1khouejmOMbbAxXGW0S-W6mb74RNNxFS7</v>
      </c>
      <c r="C641" s="1" t="str">
        <f t="shared" ref="C641:C644" si="322">HYPERLINK("https://drive.google.com/drive/folders/1khouejmOMbbAxXGW0S-W6mb74RNNxFS7","Cómo cultivar cannabis a partir de semillas")</f>
        <v>Cómo cultivar cannabis a partir de semillas</v>
      </c>
    </row>
    <row r="642">
      <c r="A642" s="1" t="str">
        <f>HYPERLINK("https://drive.google.com/drive/folders/1khouejmOMbbAxXGW0S-W6mb74RNNxFS7","como cultivar cannabis")</f>
        <v>como cultivar cannabis</v>
      </c>
      <c r="B642" s="1" t="str">
        <f t="shared" si="321"/>
        <v>https://drive.google.com/drive/folders/1khouejmOMbbAxXGW0S-W6mb74RNNxFS7</v>
      </c>
      <c r="C642" s="1" t="str">
        <f t="shared" si="322"/>
        <v>Cómo cultivar cannabis a partir de semillas</v>
      </c>
    </row>
    <row r="643">
      <c r="A643" s="1" t="str">
        <f>HYPERLINK("https://drive.google.com/drive/folders/1khouejmOMbbAxXGW0S-W6mb74RNNxFS7","Cómo cultivar cannabis al aire libre")</f>
        <v>Cómo cultivar cannabis al aire libre</v>
      </c>
      <c r="B643" s="1" t="str">
        <f t="shared" si="321"/>
        <v>https://drive.google.com/drive/folders/1khouejmOMbbAxXGW0S-W6mb74RNNxFS7</v>
      </c>
      <c r="C643" s="1" t="str">
        <f t="shared" si="322"/>
        <v>Cómo cultivar cannabis a partir de semillas</v>
      </c>
    </row>
    <row r="644">
      <c r="A644" s="1" t="str">
        <f>HYPERLINK("https://drive.google.com/drive/folders/1khouejmOMbbAxXGW0S-W6mb74RNNxFS7","cuánto tiempo lleva cultivar cannabis")</f>
        <v>cuánto tiempo lleva cultivar cannabis</v>
      </c>
      <c r="B644" s="1" t="str">
        <f t="shared" si="321"/>
        <v>https://drive.google.com/drive/folders/1khouejmOMbbAxXGW0S-W6mb74RNNxFS7</v>
      </c>
      <c r="C644" s="1" t="str">
        <f t="shared" si="322"/>
        <v>Cómo cultivar cannabis a partir de semillas</v>
      </c>
    </row>
    <row r="645">
      <c r="A645" s="1" t="str">
        <f>HYPERLINK("https://drive.google.com/drive/folders/13mQdfhuVH3oQebMGg4hN13JcLh7efFIG","Cómo cultivar cannabis en interiores")</f>
        <v>Cómo cultivar cannabis en interiores</v>
      </c>
      <c r="B645" s="1" t="str">
        <f t="shared" ref="B645:B648" si="323">HYPERLINK("https://drive.google.com/drive/folders/13mQdfhuVH3oQebMGg4hN13JcLh7efFIG","https://drive.google.com/drive/folders/13mQdfhuVH3oQebMGg4hN13JcLh7efFIG")</f>
        <v>https://drive.google.com/drive/folders/13mQdfhuVH3oQebMGg4hN13JcLh7efFIG</v>
      </c>
      <c r="C645" s="1" t="str">
        <f t="shared" ref="C645:C648" si="324">HYPERLINK("https://drive.google.com/drive/folders/13mQdfhuVH3oQebMGg4hN13JcLh7efFIG","Cómo cultivar cannabis a partir de semillas")</f>
        <v>Cómo cultivar cannabis a partir de semillas</v>
      </c>
    </row>
    <row r="646">
      <c r="A646" s="1" t="str">
        <f>HYPERLINK("https://drive.google.com/drive/folders/13mQdfhuVH3oQebMGg4hN13JcLh7efFIG","como cultivar cannabis")</f>
        <v>como cultivar cannabis</v>
      </c>
      <c r="B646" s="1" t="str">
        <f t="shared" si="323"/>
        <v>https://drive.google.com/drive/folders/13mQdfhuVH3oQebMGg4hN13JcLh7efFIG</v>
      </c>
      <c r="C646" s="1" t="str">
        <f t="shared" si="324"/>
        <v>Cómo cultivar cannabis a partir de semillas</v>
      </c>
    </row>
    <row r="647">
      <c r="A647" s="1" t="str">
        <f>HYPERLINK("https://drive.google.com/drive/folders/13mQdfhuVH3oQebMGg4hN13JcLh7efFIG","Cómo cultivar cannabis al aire libre")</f>
        <v>Cómo cultivar cannabis al aire libre</v>
      </c>
      <c r="B647" s="1" t="str">
        <f t="shared" si="323"/>
        <v>https://drive.google.com/drive/folders/13mQdfhuVH3oQebMGg4hN13JcLh7efFIG</v>
      </c>
      <c r="C647" s="1" t="str">
        <f t="shared" si="324"/>
        <v>Cómo cultivar cannabis a partir de semillas</v>
      </c>
    </row>
    <row r="648">
      <c r="A648" s="1" t="str">
        <f>HYPERLINK("https://drive.google.com/drive/folders/13mQdfhuVH3oQebMGg4hN13JcLh7efFIG","cuánto tiempo lleva cultivar cannabis")</f>
        <v>cuánto tiempo lleva cultivar cannabis</v>
      </c>
      <c r="B648" s="1" t="str">
        <f t="shared" si="323"/>
        <v>https://drive.google.com/drive/folders/13mQdfhuVH3oQebMGg4hN13JcLh7efFIG</v>
      </c>
      <c r="C648" s="1" t="str">
        <f t="shared" si="324"/>
        <v>Cómo cultivar cannabis a partir de semillas</v>
      </c>
    </row>
    <row r="649">
      <c r="A649" s="1" t="str">
        <f>HYPERLINK("https://docs.google.com/spreadsheets/d/1Q4xRqIuL615-ya1falctO129F_MmZDlWr35b2G8hJQw","Cómo cultivar cannabis en interiores")</f>
        <v>Cómo cultivar cannabis en interiores</v>
      </c>
      <c r="B649" s="1" t="str">
        <f t="shared" ref="B649:B652" si="325">HYPERLINK("https://docs.google.com/spreadsheets/d/1Q4xRqIuL615-ya1falctO129F_MmZDlWr35b2G8hJQw","https://docs.google.com/spreadsheets/d/1Q4xRqIuL615-ya1falctO129F_MmZDlWr35b2G8hJQw")</f>
        <v>https://docs.google.com/spreadsheets/d/1Q4xRqIuL615-ya1falctO129F_MmZDlWr35b2G8hJQw</v>
      </c>
      <c r="C649" s="1" t="str">
        <f t="shared" ref="C649:C652" si="326">HYPERLINK("https://docs.google.com/spreadsheets/d/1Q4xRqIuL615-ya1falctO129F_MmZDlWr35b2G8hJQw","Cómo cultivar cannabis a partir de semillas")</f>
        <v>Cómo cultivar cannabis a partir de semillas</v>
      </c>
    </row>
    <row r="650">
      <c r="A650" s="1" t="str">
        <f>HYPERLINK("https://docs.google.com/spreadsheets/d/1Q4xRqIuL615-ya1falctO129F_MmZDlWr35b2G8hJQw","como cultivar cannabis")</f>
        <v>como cultivar cannabis</v>
      </c>
      <c r="B650" s="1" t="str">
        <f t="shared" si="325"/>
        <v>https://docs.google.com/spreadsheets/d/1Q4xRqIuL615-ya1falctO129F_MmZDlWr35b2G8hJQw</v>
      </c>
      <c r="C650" s="1" t="str">
        <f t="shared" si="326"/>
        <v>Cómo cultivar cannabis a partir de semillas</v>
      </c>
    </row>
    <row r="651">
      <c r="A651" s="1" t="str">
        <f>HYPERLINK("https://docs.google.com/spreadsheets/d/1Q4xRqIuL615-ya1falctO129F_MmZDlWr35b2G8hJQw","Cómo cultivar cannabis al aire libre")</f>
        <v>Cómo cultivar cannabis al aire libre</v>
      </c>
      <c r="B651" s="1" t="str">
        <f t="shared" si="325"/>
        <v>https://docs.google.com/spreadsheets/d/1Q4xRqIuL615-ya1falctO129F_MmZDlWr35b2G8hJQw</v>
      </c>
      <c r="C651" s="1" t="str">
        <f t="shared" si="326"/>
        <v>Cómo cultivar cannabis a partir de semillas</v>
      </c>
    </row>
    <row r="652">
      <c r="A652" s="1" t="str">
        <f>HYPERLINK("https://docs.google.com/spreadsheets/d/1Q4xRqIuL615-ya1falctO129F_MmZDlWr35b2G8hJQw","cuánto tiempo lleva cultivar cannabis")</f>
        <v>cuánto tiempo lleva cultivar cannabis</v>
      </c>
      <c r="B652" s="1" t="str">
        <f t="shared" si="325"/>
        <v>https://docs.google.com/spreadsheets/d/1Q4xRqIuL615-ya1falctO129F_MmZDlWr35b2G8hJQw</v>
      </c>
      <c r="C652" s="1" t="str">
        <f t="shared" si="326"/>
        <v>Cómo cultivar cannabis a partir de semillas</v>
      </c>
    </row>
    <row r="653">
      <c r="A653" s="1" t="str">
        <f>HYPERLINK("https://drive.google.com/drive/folders/1AFM9mUj6Txg78p5wyFWDqg357D0CjBJv","Cómo cultivar cannabis en interiores")</f>
        <v>Cómo cultivar cannabis en interiores</v>
      </c>
      <c r="B653" s="1" t="str">
        <f t="shared" ref="B653:B656" si="327">HYPERLINK("https://drive.google.com/drive/folders/1AFM9mUj6Txg78p5wyFWDqg357D0CjBJv","https://drive.google.com/drive/folders/1AFM9mUj6Txg78p5wyFWDqg357D0CjBJv")</f>
        <v>https://drive.google.com/drive/folders/1AFM9mUj6Txg78p5wyFWDqg357D0CjBJv</v>
      </c>
      <c r="C653" s="1" t="str">
        <f t="shared" ref="C653:C656" si="328">HYPERLINK("https://drive.google.com/drive/folders/1AFM9mUj6Txg78p5wyFWDqg357D0CjBJv","Cómo cultivar cannabis a partir de semillas")</f>
        <v>Cómo cultivar cannabis a partir de semillas</v>
      </c>
    </row>
    <row r="654">
      <c r="A654" s="1" t="str">
        <f>HYPERLINK("https://drive.google.com/drive/folders/1AFM9mUj6Txg78p5wyFWDqg357D0CjBJv","como cultivar cannabis")</f>
        <v>como cultivar cannabis</v>
      </c>
      <c r="B654" s="1" t="str">
        <f t="shared" si="327"/>
        <v>https://drive.google.com/drive/folders/1AFM9mUj6Txg78p5wyFWDqg357D0CjBJv</v>
      </c>
      <c r="C654" s="1" t="str">
        <f t="shared" si="328"/>
        <v>Cómo cultivar cannabis a partir de semillas</v>
      </c>
    </row>
    <row r="655">
      <c r="A655" s="1" t="str">
        <f>HYPERLINK("https://drive.google.com/drive/folders/1AFM9mUj6Txg78p5wyFWDqg357D0CjBJv","Cómo cultivar cannabis al aire libre")</f>
        <v>Cómo cultivar cannabis al aire libre</v>
      </c>
      <c r="B655" s="1" t="str">
        <f t="shared" si="327"/>
        <v>https://drive.google.com/drive/folders/1AFM9mUj6Txg78p5wyFWDqg357D0CjBJv</v>
      </c>
      <c r="C655" s="1" t="str">
        <f t="shared" si="328"/>
        <v>Cómo cultivar cannabis a partir de semillas</v>
      </c>
    </row>
    <row r="656">
      <c r="A656" s="1" t="str">
        <f>HYPERLINK("https://drive.google.com/drive/folders/1AFM9mUj6Txg78p5wyFWDqg357D0CjBJv","cuánto tiempo lleva cultivar cannabis")</f>
        <v>cuánto tiempo lleva cultivar cannabis</v>
      </c>
      <c r="B656" s="1" t="str">
        <f t="shared" si="327"/>
        <v>https://drive.google.com/drive/folders/1AFM9mUj6Txg78p5wyFWDqg357D0CjBJv</v>
      </c>
      <c r="C656" s="1" t="str">
        <f t="shared" si="328"/>
        <v>Cómo cultivar cannabis a partir de semillas</v>
      </c>
    </row>
    <row r="657">
      <c r="A657" s="1" t="str">
        <f>HYPERLINK("https://docs.google.com/spreadsheets/d/1TNXJbkYV8FZiLTapk-OSPPK3pTV1fEIBROlJWbyOLM0","Cómo cultivar cannabis en interiores")</f>
        <v>Cómo cultivar cannabis en interiores</v>
      </c>
      <c r="B657" s="1" t="str">
        <f t="shared" ref="B657:B660" si="329">HYPERLINK("https://docs.google.com/spreadsheets/d/1TNXJbkYV8FZiLTapk-OSPPK3pTV1fEIBROlJWbyOLM0","https://docs.google.com/spreadsheets/d/1TNXJbkYV8FZiLTapk-OSPPK3pTV1fEIBROlJWbyOLM0")</f>
        <v>https://docs.google.com/spreadsheets/d/1TNXJbkYV8FZiLTapk-OSPPK3pTV1fEIBROlJWbyOLM0</v>
      </c>
      <c r="C657" s="1" t="str">
        <f t="shared" ref="C657:C660" si="330">HYPERLINK("https://docs.google.com/spreadsheets/d/1TNXJbkYV8FZiLTapk-OSPPK3pTV1fEIBROlJWbyOLM0","Cómo cultivar cannabis a partir de semillas")</f>
        <v>Cómo cultivar cannabis a partir de semillas</v>
      </c>
    </row>
    <row r="658">
      <c r="A658" s="1" t="str">
        <f>HYPERLINK("https://docs.google.com/spreadsheets/d/1TNXJbkYV8FZiLTapk-OSPPK3pTV1fEIBROlJWbyOLM0","como cultivar cannabis")</f>
        <v>como cultivar cannabis</v>
      </c>
      <c r="B658" s="1" t="str">
        <f t="shared" si="329"/>
        <v>https://docs.google.com/spreadsheets/d/1TNXJbkYV8FZiLTapk-OSPPK3pTV1fEIBROlJWbyOLM0</v>
      </c>
      <c r="C658" s="1" t="str">
        <f t="shared" si="330"/>
        <v>Cómo cultivar cannabis a partir de semillas</v>
      </c>
    </row>
    <row r="659">
      <c r="A659" s="1" t="str">
        <f>HYPERLINK("https://docs.google.com/spreadsheets/d/1TNXJbkYV8FZiLTapk-OSPPK3pTV1fEIBROlJWbyOLM0","Cómo cultivar cannabis al aire libre")</f>
        <v>Cómo cultivar cannabis al aire libre</v>
      </c>
      <c r="B659" s="1" t="str">
        <f t="shared" si="329"/>
        <v>https://docs.google.com/spreadsheets/d/1TNXJbkYV8FZiLTapk-OSPPK3pTV1fEIBROlJWbyOLM0</v>
      </c>
      <c r="C659" s="1" t="str">
        <f t="shared" si="330"/>
        <v>Cómo cultivar cannabis a partir de semillas</v>
      </c>
    </row>
    <row r="660">
      <c r="A660" s="1" t="str">
        <f>HYPERLINK("https://docs.google.com/spreadsheets/d/1TNXJbkYV8FZiLTapk-OSPPK3pTV1fEIBROlJWbyOLM0","cuánto tiempo lleva cultivar cannabis")</f>
        <v>cuánto tiempo lleva cultivar cannabis</v>
      </c>
      <c r="B660" s="1" t="str">
        <f t="shared" si="329"/>
        <v>https://docs.google.com/spreadsheets/d/1TNXJbkYV8FZiLTapk-OSPPK3pTV1fEIBROlJWbyOLM0</v>
      </c>
      <c r="C660" s="1" t="str">
        <f t="shared" si="330"/>
        <v>Cómo cultivar cannabis a partir de semillas</v>
      </c>
    </row>
    <row r="661">
      <c r="A661" s="1" t="str">
        <f>HYPERLINK("https://drive.google.com/drive/folders/1Xqyf7Ct4OwrTQMCjKum5fuFAJvXQyBxf","Cómo cultivar cannabis en interiores")</f>
        <v>Cómo cultivar cannabis en interiores</v>
      </c>
      <c r="B661" s="1" t="str">
        <f t="shared" ref="B661:B664" si="331">HYPERLINK("https://drive.google.com/drive/folders/1Xqyf7Ct4OwrTQMCjKum5fuFAJvXQyBxf","https://drive.google.com/drive/folders/1Xqyf7Ct4OwrTQMCjKum5fuFAJvXQyBxf")</f>
        <v>https://drive.google.com/drive/folders/1Xqyf7Ct4OwrTQMCjKum5fuFAJvXQyBxf</v>
      </c>
      <c r="C661" s="1" t="str">
        <f t="shared" ref="C661:C664" si="332">HYPERLINK("https://drive.google.com/drive/folders/1Xqyf7Ct4OwrTQMCjKum5fuFAJvXQyBxf","Cómo cultivar cannabis a partir de semillas")</f>
        <v>Cómo cultivar cannabis a partir de semillas</v>
      </c>
    </row>
    <row r="662">
      <c r="A662" s="1" t="str">
        <f>HYPERLINK("https://drive.google.com/drive/folders/1Xqyf7Ct4OwrTQMCjKum5fuFAJvXQyBxf","como cultivar cannabis")</f>
        <v>como cultivar cannabis</v>
      </c>
      <c r="B662" s="1" t="str">
        <f t="shared" si="331"/>
        <v>https://drive.google.com/drive/folders/1Xqyf7Ct4OwrTQMCjKum5fuFAJvXQyBxf</v>
      </c>
      <c r="C662" s="1" t="str">
        <f t="shared" si="332"/>
        <v>Cómo cultivar cannabis a partir de semillas</v>
      </c>
    </row>
    <row r="663">
      <c r="A663" s="1" t="str">
        <f>HYPERLINK("https://drive.google.com/drive/folders/1Xqyf7Ct4OwrTQMCjKum5fuFAJvXQyBxf","Cómo cultivar cannabis al aire libre")</f>
        <v>Cómo cultivar cannabis al aire libre</v>
      </c>
      <c r="B663" s="1" t="str">
        <f t="shared" si="331"/>
        <v>https://drive.google.com/drive/folders/1Xqyf7Ct4OwrTQMCjKum5fuFAJvXQyBxf</v>
      </c>
      <c r="C663" s="1" t="str">
        <f t="shared" si="332"/>
        <v>Cómo cultivar cannabis a partir de semillas</v>
      </c>
    </row>
    <row r="664">
      <c r="A664" s="1" t="str">
        <f>HYPERLINK("https://drive.google.com/drive/folders/1Xqyf7Ct4OwrTQMCjKum5fuFAJvXQyBxf","cuánto tiempo lleva cultivar cannabis")</f>
        <v>cuánto tiempo lleva cultivar cannabis</v>
      </c>
      <c r="B664" s="1" t="str">
        <f t="shared" si="331"/>
        <v>https://drive.google.com/drive/folders/1Xqyf7Ct4OwrTQMCjKum5fuFAJvXQyBxf</v>
      </c>
      <c r="C664" s="1" t="str">
        <f t="shared" si="332"/>
        <v>Cómo cultivar cannabis a partir de semillas</v>
      </c>
    </row>
    <row r="665">
      <c r="A665" s="1" t="str">
        <f>HYPERLINK("https://drive.google.com/drive/folders/1rJLmrezeyDbVX__sVbTuNTafcJ3t4lWQ","Cómo cultivar cannabis en interiores")</f>
        <v>Cómo cultivar cannabis en interiores</v>
      </c>
      <c r="B665" s="1" t="str">
        <f t="shared" ref="B665:B668" si="333">HYPERLINK("https://drive.google.com/drive/folders/1rJLmrezeyDbVX__sVbTuNTafcJ3t4lWQ","https://drive.google.com/drive/folders/1rJLmrezeyDbVX__sVbTuNTafcJ3t4lWQ")</f>
        <v>https://drive.google.com/drive/folders/1rJLmrezeyDbVX__sVbTuNTafcJ3t4lWQ</v>
      </c>
      <c r="C665" s="1" t="str">
        <f t="shared" ref="C665:C668" si="334">HYPERLINK("https://drive.google.com/drive/folders/1rJLmrezeyDbVX__sVbTuNTafcJ3t4lWQ","Cómo cultivar cannabis a partir de semillas")</f>
        <v>Cómo cultivar cannabis a partir de semillas</v>
      </c>
    </row>
    <row r="666">
      <c r="A666" s="1" t="str">
        <f>HYPERLINK("https://drive.google.com/drive/folders/1rJLmrezeyDbVX__sVbTuNTafcJ3t4lWQ","como cultivar cannabis")</f>
        <v>como cultivar cannabis</v>
      </c>
      <c r="B666" s="1" t="str">
        <f t="shared" si="333"/>
        <v>https://drive.google.com/drive/folders/1rJLmrezeyDbVX__sVbTuNTafcJ3t4lWQ</v>
      </c>
      <c r="C666" s="1" t="str">
        <f t="shared" si="334"/>
        <v>Cómo cultivar cannabis a partir de semillas</v>
      </c>
    </row>
    <row r="667">
      <c r="A667" s="1" t="str">
        <f>HYPERLINK("https://drive.google.com/drive/folders/1rJLmrezeyDbVX__sVbTuNTafcJ3t4lWQ","Cómo cultivar cannabis al aire libre")</f>
        <v>Cómo cultivar cannabis al aire libre</v>
      </c>
      <c r="B667" s="1" t="str">
        <f t="shared" si="333"/>
        <v>https://drive.google.com/drive/folders/1rJLmrezeyDbVX__sVbTuNTafcJ3t4lWQ</v>
      </c>
      <c r="C667" s="1" t="str">
        <f t="shared" si="334"/>
        <v>Cómo cultivar cannabis a partir de semillas</v>
      </c>
    </row>
    <row r="668">
      <c r="A668" s="1" t="str">
        <f>HYPERLINK("https://drive.google.com/drive/folders/1rJLmrezeyDbVX__sVbTuNTafcJ3t4lWQ","cuánto tiempo lleva cultivar cannabis")</f>
        <v>cuánto tiempo lleva cultivar cannabis</v>
      </c>
      <c r="B668" s="1" t="str">
        <f t="shared" si="333"/>
        <v>https://drive.google.com/drive/folders/1rJLmrezeyDbVX__sVbTuNTafcJ3t4lWQ</v>
      </c>
      <c r="C668" s="1" t="str">
        <f t="shared" si="334"/>
        <v>Cómo cultivar cannabis a partir de semillas</v>
      </c>
    </row>
    <row r="669">
      <c r="A669" s="1" t="str">
        <f>HYPERLINK("https://docs.google.com/spreadsheets/d/1USL-lR6SFmPqUjJ6Us_w_5oEKTRSVeJKSLlKGXTwHpQ","Cómo cultivar cannabis en interiores")</f>
        <v>Cómo cultivar cannabis en interiores</v>
      </c>
      <c r="B669" s="1" t="str">
        <f t="shared" ref="B669:B672" si="335">HYPERLINK("https://docs.google.com/spreadsheets/d/1USL-lR6SFmPqUjJ6Us_w_5oEKTRSVeJKSLlKGXTwHpQ","https://docs.google.com/spreadsheets/d/1USL-lR6SFmPqUjJ6Us_w_5oEKTRSVeJKSLlKGXTwHpQ")</f>
        <v>https://docs.google.com/spreadsheets/d/1USL-lR6SFmPqUjJ6Us_w_5oEKTRSVeJKSLlKGXTwHpQ</v>
      </c>
      <c r="C669" s="1" t="str">
        <f t="shared" ref="C669:C672" si="336">HYPERLINK("https://docs.google.com/spreadsheets/d/1USL-lR6SFmPqUjJ6Us_w_5oEKTRSVeJKSLlKGXTwHpQ","Cómo cultivar cannabis a partir de semillas")</f>
        <v>Cómo cultivar cannabis a partir de semillas</v>
      </c>
    </row>
    <row r="670">
      <c r="A670" s="1" t="str">
        <f>HYPERLINK("https://docs.google.com/spreadsheets/d/1USL-lR6SFmPqUjJ6Us_w_5oEKTRSVeJKSLlKGXTwHpQ","como cultivar cannabis")</f>
        <v>como cultivar cannabis</v>
      </c>
      <c r="B670" s="1" t="str">
        <f t="shared" si="335"/>
        <v>https://docs.google.com/spreadsheets/d/1USL-lR6SFmPqUjJ6Us_w_5oEKTRSVeJKSLlKGXTwHpQ</v>
      </c>
      <c r="C670" s="1" t="str">
        <f t="shared" si="336"/>
        <v>Cómo cultivar cannabis a partir de semillas</v>
      </c>
    </row>
    <row r="671">
      <c r="A671" s="1" t="str">
        <f>HYPERLINK("https://docs.google.com/spreadsheets/d/1USL-lR6SFmPqUjJ6Us_w_5oEKTRSVeJKSLlKGXTwHpQ","Cómo cultivar cannabis al aire libre")</f>
        <v>Cómo cultivar cannabis al aire libre</v>
      </c>
      <c r="B671" s="1" t="str">
        <f t="shared" si="335"/>
        <v>https://docs.google.com/spreadsheets/d/1USL-lR6SFmPqUjJ6Us_w_5oEKTRSVeJKSLlKGXTwHpQ</v>
      </c>
      <c r="C671" s="1" t="str">
        <f t="shared" si="336"/>
        <v>Cómo cultivar cannabis a partir de semillas</v>
      </c>
    </row>
    <row r="672">
      <c r="A672" s="1" t="str">
        <f>HYPERLINK("https://docs.google.com/spreadsheets/d/1USL-lR6SFmPqUjJ6Us_w_5oEKTRSVeJKSLlKGXTwHpQ","cuánto tiempo lleva cultivar cannabis")</f>
        <v>cuánto tiempo lleva cultivar cannabis</v>
      </c>
      <c r="B672" s="1" t="str">
        <f t="shared" si="335"/>
        <v>https://docs.google.com/spreadsheets/d/1USL-lR6SFmPqUjJ6Us_w_5oEKTRSVeJKSLlKGXTwHpQ</v>
      </c>
      <c r="C672" s="1" t="str">
        <f t="shared" si="336"/>
        <v>Cómo cultivar cannabis a partir de semillas</v>
      </c>
    </row>
    <row r="673">
      <c r="A673" s="1" t="str">
        <f>HYPERLINK("https://docs.google.com/spreadsheets/d/1x_n80Spl-IQLI-1YZJ4HhPTA-MdRM2A9sxnNtZ-T2_s","Cómo cultivar cannabis en interiores")</f>
        <v>Cómo cultivar cannabis en interiores</v>
      </c>
      <c r="B673" s="1" t="str">
        <f t="shared" ref="B673:B676" si="337">HYPERLINK("https://docs.google.com/spreadsheets/d/1x_n80Spl-IQLI-1YZJ4HhPTA-MdRM2A9sxnNtZ-T2_s","https://docs.google.com/spreadsheets/d/1x_n80Spl-IQLI-1YZJ4HhPTA-MdRM2A9sxnNtZ-T2_s")</f>
        <v>https://docs.google.com/spreadsheets/d/1x_n80Spl-IQLI-1YZJ4HhPTA-MdRM2A9sxnNtZ-T2_s</v>
      </c>
      <c r="C673" s="1" t="str">
        <f t="shared" ref="C673:C676" si="338">HYPERLINK("https://docs.google.com/spreadsheets/d/1x_n80Spl-IQLI-1YZJ4HhPTA-MdRM2A9sxnNtZ-T2_s","Cómo cultivar cannabis a partir de semillas")</f>
        <v>Cómo cultivar cannabis a partir de semillas</v>
      </c>
    </row>
    <row r="674">
      <c r="A674" s="1" t="str">
        <f>HYPERLINK("https://docs.google.com/spreadsheets/d/1x_n80Spl-IQLI-1YZJ4HhPTA-MdRM2A9sxnNtZ-T2_s","como cultivar cannabis")</f>
        <v>como cultivar cannabis</v>
      </c>
      <c r="B674" s="1" t="str">
        <f t="shared" si="337"/>
        <v>https://docs.google.com/spreadsheets/d/1x_n80Spl-IQLI-1YZJ4HhPTA-MdRM2A9sxnNtZ-T2_s</v>
      </c>
      <c r="C674" s="1" t="str">
        <f t="shared" si="338"/>
        <v>Cómo cultivar cannabis a partir de semillas</v>
      </c>
    </row>
    <row r="675">
      <c r="A675" s="1" t="str">
        <f>HYPERLINK("https://docs.google.com/spreadsheets/d/1x_n80Spl-IQLI-1YZJ4HhPTA-MdRM2A9sxnNtZ-T2_s","Cómo cultivar cannabis al aire libre")</f>
        <v>Cómo cultivar cannabis al aire libre</v>
      </c>
      <c r="B675" s="1" t="str">
        <f t="shared" si="337"/>
        <v>https://docs.google.com/spreadsheets/d/1x_n80Spl-IQLI-1YZJ4HhPTA-MdRM2A9sxnNtZ-T2_s</v>
      </c>
      <c r="C675" s="1" t="str">
        <f t="shared" si="338"/>
        <v>Cómo cultivar cannabis a partir de semillas</v>
      </c>
    </row>
    <row r="676">
      <c r="A676" s="1" t="str">
        <f>HYPERLINK("https://docs.google.com/spreadsheets/d/1x_n80Spl-IQLI-1YZJ4HhPTA-MdRM2A9sxnNtZ-T2_s","cuánto tiempo lleva cultivar cannabis")</f>
        <v>cuánto tiempo lleva cultivar cannabis</v>
      </c>
      <c r="B676" s="1" t="str">
        <f t="shared" si="337"/>
        <v>https://docs.google.com/spreadsheets/d/1x_n80Spl-IQLI-1YZJ4HhPTA-MdRM2A9sxnNtZ-T2_s</v>
      </c>
      <c r="C676" s="1" t="str">
        <f t="shared" si="338"/>
        <v>Cómo cultivar cannabis a partir de semillas</v>
      </c>
    </row>
    <row r="677">
      <c r="A677" s="1" t="str">
        <f>HYPERLINK("https://docs.google.com/spreadsheets/d/1nigS-UQEZha2WZULQwm75MQFp_TAK-HAWKPhb7iUWO0","Cómo cultivar cannabis en interiores")</f>
        <v>Cómo cultivar cannabis en interiores</v>
      </c>
      <c r="B677" s="1" t="str">
        <f t="shared" ref="B677:B680" si="339">HYPERLINK("https://docs.google.com/spreadsheets/d/1nigS-UQEZha2WZULQwm75MQFp_TAK-HAWKPhb7iUWO0","https://docs.google.com/spreadsheets/d/1nigS-UQEZha2WZULQwm75MQFp_TAK-HAWKPhb7iUWO0")</f>
        <v>https://docs.google.com/spreadsheets/d/1nigS-UQEZha2WZULQwm75MQFp_TAK-HAWKPhb7iUWO0</v>
      </c>
      <c r="C677" s="1" t="str">
        <f t="shared" ref="C677:C680" si="340">HYPERLINK("https://docs.google.com/spreadsheets/d/1nigS-UQEZha2WZULQwm75MQFp_TAK-HAWKPhb7iUWO0","Cómo cultivar cannabis a partir de semillas")</f>
        <v>Cómo cultivar cannabis a partir de semillas</v>
      </c>
    </row>
    <row r="678">
      <c r="A678" s="1" t="str">
        <f>HYPERLINK("https://docs.google.com/spreadsheets/d/1nigS-UQEZha2WZULQwm75MQFp_TAK-HAWKPhb7iUWO0","como cultivar cannabis")</f>
        <v>como cultivar cannabis</v>
      </c>
      <c r="B678" s="1" t="str">
        <f t="shared" si="339"/>
        <v>https://docs.google.com/spreadsheets/d/1nigS-UQEZha2WZULQwm75MQFp_TAK-HAWKPhb7iUWO0</v>
      </c>
      <c r="C678" s="1" t="str">
        <f t="shared" si="340"/>
        <v>Cómo cultivar cannabis a partir de semillas</v>
      </c>
    </row>
    <row r="679">
      <c r="A679" s="1" t="str">
        <f>HYPERLINK("https://docs.google.com/spreadsheets/d/1nigS-UQEZha2WZULQwm75MQFp_TAK-HAWKPhb7iUWO0","Cómo cultivar cannabis al aire libre")</f>
        <v>Cómo cultivar cannabis al aire libre</v>
      </c>
      <c r="B679" s="1" t="str">
        <f t="shared" si="339"/>
        <v>https://docs.google.com/spreadsheets/d/1nigS-UQEZha2WZULQwm75MQFp_TAK-HAWKPhb7iUWO0</v>
      </c>
      <c r="C679" s="1" t="str">
        <f t="shared" si="340"/>
        <v>Cómo cultivar cannabis a partir de semillas</v>
      </c>
    </row>
    <row r="680">
      <c r="A680" s="1" t="str">
        <f>HYPERLINK("https://docs.google.com/spreadsheets/d/1nigS-UQEZha2WZULQwm75MQFp_TAK-HAWKPhb7iUWO0","cuánto tiempo lleva cultivar cannabis")</f>
        <v>cuánto tiempo lleva cultivar cannabis</v>
      </c>
      <c r="B680" s="1" t="str">
        <f t="shared" si="339"/>
        <v>https://docs.google.com/spreadsheets/d/1nigS-UQEZha2WZULQwm75MQFp_TAK-HAWKPhb7iUWO0</v>
      </c>
      <c r="C680" s="1" t="str">
        <f t="shared" si="340"/>
        <v>Cómo cultivar cannabis a partir de semillas</v>
      </c>
    </row>
    <row r="681">
      <c r="A681" s="1" t="str">
        <f>HYPERLINK("https://docs.google.com/spreadsheets/d/1-9POD7FCXAO_e4s3Hb1F_yHjSjea-ipctVypPpcEz4A","Cómo cultivar cannabis en interiores")</f>
        <v>Cómo cultivar cannabis en interiores</v>
      </c>
      <c r="B681" s="1" t="str">
        <f t="shared" ref="B681:B684" si="341">HYPERLINK("https://docs.google.com/spreadsheets/d/1-9POD7FCXAO_e4s3Hb1F_yHjSjea-ipctVypPpcEz4A","https://docs.google.com/spreadsheets/d/1-9POD7FCXAO_e4s3Hb1F_yHjSjea-ipctVypPpcEz4A")</f>
        <v>https://docs.google.com/spreadsheets/d/1-9POD7FCXAO_e4s3Hb1F_yHjSjea-ipctVypPpcEz4A</v>
      </c>
      <c r="C681" s="1" t="str">
        <f t="shared" ref="C681:C684" si="342">HYPERLINK("https://docs.google.com/spreadsheets/d/1-9POD7FCXAO_e4s3Hb1F_yHjSjea-ipctVypPpcEz4A","Cómo cultivar cannabis a partir de semillas")</f>
        <v>Cómo cultivar cannabis a partir de semillas</v>
      </c>
    </row>
    <row r="682">
      <c r="A682" s="1" t="str">
        <f>HYPERLINK("https://docs.google.com/spreadsheets/d/1-9POD7FCXAO_e4s3Hb1F_yHjSjea-ipctVypPpcEz4A","como cultivar cannabis")</f>
        <v>como cultivar cannabis</v>
      </c>
      <c r="B682" s="1" t="str">
        <f t="shared" si="341"/>
        <v>https://docs.google.com/spreadsheets/d/1-9POD7FCXAO_e4s3Hb1F_yHjSjea-ipctVypPpcEz4A</v>
      </c>
      <c r="C682" s="1" t="str">
        <f t="shared" si="342"/>
        <v>Cómo cultivar cannabis a partir de semillas</v>
      </c>
    </row>
    <row r="683">
      <c r="A683" s="1" t="str">
        <f>HYPERLINK("https://docs.google.com/spreadsheets/d/1-9POD7FCXAO_e4s3Hb1F_yHjSjea-ipctVypPpcEz4A","Cómo cultivar cannabis al aire libre")</f>
        <v>Cómo cultivar cannabis al aire libre</v>
      </c>
      <c r="B683" s="1" t="str">
        <f t="shared" si="341"/>
        <v>https://docs.google.com/spreadsheets/d/1-9POD7FCXAO_e4s3Hb1F_yHjSjea-ipctVypPpcEz4A</v>
      </c>
      <c r="C683" s="1" t="str">
        <f t="shared" si="342"/>
        <v>Cómo cultivar cannabis a partir de semillas</v>
      </c>
    </row>
    <row r="684">
      <c r="A684" s="1" t="str">
        <f>HYPERLINK("https://docs.google.com/spreadsheets/d/1-9POD7FCXAO_e4s3Hb1F_yHjSjea-ipctVypPpcEz4A","cuánto tiempo lleva cultivar cannabis")</f>
        <v>cuánto tiempo lleva cultivar cannabis</v>
      </c>
      <c r="B684" s="1" t="str">
        <f t="shared" si="341"/>
        <v>https://docs.google.com/spreadsheets/d/1-9POD7FCXAO_e4s3Hb1F_yHjSjea-ipctVypPpcEz4A</v>
      </c>
      <c r="C684" s="1" t="str">
        <f t="shared" si="342"/>
        <v>Cómo cultivar cannabis a partir de semillas</v>
      </c>
    </row>
    <row r="685">
      <c r="A685" s="1" t="str">
        <f>HYPERLINK("https://drive.google.com/drive/folders/1IT-UZuTmDxEm55PkT7IrOyAmMGEfQm2M","Cómo cultivar cannabis en interiores")</f>
        <v>Cómo cultivar cannabis en interiores</v>
      </c>
      <c r="B685" s="1" t="str">
        <f t="shared" ref="B685:B688" si="343">HYPERLINK("https://drive.google.com/drive/folders/1IT-UZuTmDxEm55PkT7IrOyAmMGEfQm2M","https://drive.google.com/drive/folders/1IT-UZuTmDxEm55PkT7IrOyAmMGEfQm2M")</f>
        <v>https://drive.google.com/drive/folders/1IT-UZuTmDxEm55PkT7IrOyAmMGEfQm2M</v>
      </c>
      <c r="C685" s="1" t="str">
        <f t="shared" ref="C685:C688" si="344">HYPERLINK("https://drive.google.com/drive/folders/1IT-UZuTmDxEm55PkT7IrOyAmMGEfQm2M","Cómo cultivar cannabis a partir de semillas")</f>
        <v>Cómo cultivar cannabis a partir de semillas</v>
      </c>
    </row>
    <row r="686">
      <c r="A686" s="1" t="str">
        <f>HYPERLINK("https://drive.google.com/drive/folders/1IT-UZuTmDxEm55PkT7IrOyAmMGEfQm2M","como cultivar cannabis")</f>
        <v>como cultivar cannabis</v>
      </c>
      <c r="B686" s="1" t="str">
        <f t="shared" si="343"/>
        <v>https://drive.google.com/drive/folders/1IT-UZuTmDxEm55PkT7IrOyAmMGEfQm2M</v>
      </c>
      <c r="C686" s="1" t="str">
        <f t="shared" si="344"/>
        <v>Cómo cultivar cannabis a partir de semillas</v>
      </c>
    </row>
    <row r="687">
      <c r="A687" s="1" t="str">
        <f>HYPERLINK("https://drive.google.com/drive/folders/1IT-UZuTmDxEm55PkT7IrOyAmMGEfQm2M","Cómo cultivar cannabis al aire libre")</f>
        <v>Cómo cultivar cannabis al aire libre</v>
      </c>
      <c r="B687" s="1" t="str">
        <f t="shared" si="343"/>
        <v>https://drive.google.com/drive/folders/1IT-UZuTmDxEm55PkT7IrOyAmMGEfQm2M</v>
      </c>
      <c r="C687" s="1" t="str">
        <f t="shared" si="344"/>
        <v>Cómo cultivar cannabis a partir de semillas</v>
      </c>
    </row>
    <row r="688">
      <c r="A688" s="1" t="str">
        <f>HYPERLINK("https://drive.google.com/drive/folders/1IT-UZuTmDxEm55PkT7IrOyAmMGEfQm2M","cuánto tiempo lleva cultivar cannabis")</f>
        <v>cuánto tiempo lleva cultivar cannabis</v>
      </c>
      <c r="B688" s="1" t="str">
        <f t="shared" si="343"/>
        <v>https://drive.google.com/drive/folders/1IT-UZuTmDxEm55PkT7IrOyAmMGEfQm2M</v>
      </c>
      <c r="C688" s="1" t="str">
        <f t="shared" si="344"/>
        <v>Cómo cultivar cannabis a partir de semillas</v>
      </c>
    </row>
    <row r="689">
      <c r="A689" s="1" t="str">
        <f>HYPERLINK("https://docs.google.com/spreadsheets/d/1XYJ7m7FGUCR3xOMjQHBI9911pOU5CENEIw9xO1JTbk8","Cómo cultivar cannabis en interiores")</f>
        <v>Cómo cultivar cannabis en interiores</v>
      </c>
      <c r="B689" s="1" t="str">
        <f t="shared" ref="B689:B692" si="345">HYPERLINK("https://docs.google.com/spreadsheets/d/1XYJ7m7FGUCR3xOMjQHBI9911pOU5CENEIw9xO1JTbk8","https://docs.google.com/spreadsheets/d/1XYJ7m7FGUCR3xOMjQHBI9911pOU5CENEIw9xO1JTbk8")</f>
        <v>https://docs.google.com/spreadsheets/d/1XYJ7m7FGUCR3xOMjQHBI9911pOU5CENEIw9xO1JTbk8</v>
      </c>
      <c r="C689" s="1" t="str">
        <f t="shared" ref="C689:C692" si="346">HYPERLINK("https://docs.google.com/spreadsheets/d/1XYJ7m7FGUCR3xOMjQHBI9911pOU5CENEIw9xO1JTbk8","Cómo cultivar cannabis a partir de semillas")</f>
        <v>Cómo cultivar cannabis a partir de semillas</v>
      </c>
    </row>
    <row r="690">
      <c r="A690" s="1" t="str">
        <f>HYPERLINK("https://docs.google.com/spreadsheets/d/1XYJ7m7FGUCR3xOMjQHBI9911pOU5CENEIw9xO1JTbk8","como cultivar cannabis")</f>
        <v>como cultivar cannabis</v>
      </c>
      <c r="B690" s="1" t="str">
        <f t="shared" si="345"/>
        <v>https://docs.google.com/spreadsheets/d/1XYJ7m7FGUCR3xOMjQHBI9911pOU5CENEIw9xO1JTbk8</v>
      </c>
      <c r="C690" s="1" t="str">
        <f t="shared" si="346"/>
        <v>Cómo cultivar cannabis a partir de semillas</v>
      </c>
    </row>
    <row r="691">
      <c r="A691" s="1" t="str">
        <f>HYPERLINK("https://docs.google.com/spreadsheets/d/1XYJ7m7FGUCR3xOMjQHBI9911pOU5CENEIw9xO1JTbk8","Cómo cultivar cannabis al aire libre")</f>
        <v>Cómo cultivar cannabis al aire libre</v>
      </c>
      <c r="B691" s="1" t="str">
        <f t="shared" si="345"/>
        <v>https://docs.google.com/spreadsheets/d/1XYJ7m7FGUCR3xOMjQHBI9911pOU5CENEIw9xO1JTbk8</v>
      </c>
      <c r="C691" s="1" t="str">
        <f t="shared" si="346"/>
        <v>Cómo cultivar cannabis a partir de semillas</v>
      </c>
    </row>
    <row r="692">
      <c r="A692" s="1" t="str">
        <f>HYPERLINK("https://docs.google.com/spreadsheets/d/1XYJ7m7FGUCR3xOMjQHBI9911pOU5CENEIw9xO1JTbk8","cuánto tiempo lleva cultivar cannabis")</f>
        <v>cuánto tiempo lleva cultivar cannabis</v>
      </c>
      <c r="B692" s="1" t="str">
        <f t="shared" si="345"/>
        <v>https://docs.google.com/spreadsheets/d/1XYJ7m7FGUCR3xOMjQHBI9911pOU5CENEIw9xO1JTbk8</v>
      </c>
      <c r="C692" s="1" t="str">
        <f t="shared" si="346"/>
        <v>Cómo cultivar cannabis a partir de semillas</v>
      </c>
    </row>
    <row r="693">
      <c r="A693" s="1" t="str">
        <f>HYPERLINK("https://drive.google.com/drive/folders/1c0sWTNTzrsBffAZyuoRbXxidmBx29VJj","Cómo cultivar cannabis en interiores")</f>
        <v>Cómo cultivar cannabis en interiores</v>
      </c>
      <c r="B693" s="1" t="str">
        <f t="shared" ref="B693:B696" si="347">HYPERLINK("https://drive.google.com/drive/folders/1c0sWTNTzrsBffAZyuoRbXxidmBx29VJj","https://drive.google.com/drive/folders/1c0sWTNTzrsBffAZyuoRbXxidmBx29VJj")</f>
        <v>https://drive.google.com/drive/folders/1c0sWTNTzrsBffAZyuoRbXxidmBx29VJj</v>
      </c>
      <c r="C693" s="1" t="str">
        <f t="shared" ref="C693:C696" si="348">HYPERLINK("https://drive.google.com/drive/folders/1c0sWTNTzrsBffAZyuoRbXxidmBx29VJj","Cómo cultivar cannabis a partir de semillas")</f>
        <v>Cómo cultivar cannabis a partir de semillas</v>
      </c>
    </row>
    <row r="694">
      <c r="A694" s="1" t="str">
        <f>HYPERLINK("https://drive.google.com/drive/folders/1c0sWTNTzrsBffAZyuoRbXxidmBx29VJj","como cultivar cannabis")</f>
        <v>como cultivar cannabis</v>
      </c>
      <c r="B694" s="1" t="str">
        <f t="shared" si="347"/>
        <v>https://drive.google.com/drive/folders/1c0sWTNTzrsBffAZyuoRbXxidmBx29VJj</v>
      </c>
      <c r="C694" s="1" t="str">
        <f t="shared" si="348"/>
        <v>Cómo cultivar cannabis a partir de semillas</v>
      </c>
    </row>
    <row r="695">
      <c r="A695" s="1" t="str">
        <f>HYPERLINK("https://drive.google.com/drive/folders/1c0sWTNTzrsBffAZyuoRbXxidmBx29VJj","Cómo cultivar cannabis al aire libre")</f>
        <v>Cómo cultivar cannabis al aire libre</v>
      </c>
      <c r="B695" s="1" t="str">
        <f t="shared" si="347"/>
        <v>https://drive.google.com/drive/folders/1c0sWTNTzrsBffAZyuoRbXxidmBx29VJj</v>
      </c>
      <c r="C695" s="1" t="str">
        <f t="shared" si="348"/>
        <v>Cómo cultivar cannabis a partir de semillas</v>
      </c>
    </row>
    <row r="696">
      <c r="A696" s="1" t="str">
        <f>HYPERLINK("https://drive.google.com/drive/folders/1c0sWTNTzrsBffAZyuoRbXxidmBx29VJj","cuánto tiempo lleva cultivar cannabis")</f>
        <v>cuánto tiempo lleva cultivar cannabis</v>
      </c>
      <c r="B696" s="1" t="str">
        <f t="shared" si="347"/>
        <v>https://drive.google.com/drive/folders/1c0sWTNTzrsBffAZyuoRbXxidmBx29VJj</v>
      </c>
      <c r="C696" s="1" t="str">
        <f t="shared" si="348"/>
        <v>Cómo cultivar cannabis a partir de semillas</v>
      </c>
    </row>
    <row r="697">
      <c r="A697" s="1" t="str">
        <f>HYPERLINK("https://drive.google.com/drive/folders/1cSjk2cAAFMbguWpGDktbpnbCKqZFjNYG","Cómo cultivar cannabis en interiores")</f>
        <v>Cómo cultivar cannabis en interiores</v>
      </c>
      <c r="B697" s="1" t="str">
        <f t="shared" ref="B697:B700" si="349">HYPERLINK("https://drive.google.com/drive/folders/1cSjk2cAAFMbguWpGDktbpnbCKqZFjNYG","https://drive.google.com/drive/folders/1cSjk2cAAFMbguWpGDktbpnbCKqZFjNYG")</f>
        <v>https://drive.google.com/drive/folders/1cSjk2cAAFMbguWpGDktbpnbCKqZFjNYG</v>
      </c>
      <c r="C697" s="1" t="str">
        <f t="shared" ref="C697:C700" si="350">HYPERLINK("https://drive.google.com/drive/folders/1cSjk2cAAFMbguWpGDktbpnbCKqZFjNYG","Cómo cultivar cannabis a partir de semillas")</f>
        <v>Cómo cultivar cannabis a partir de semillas</v>
      </c>
    </row>
    <row r="698">
      <c r="A698" s="1" t="str">
        <f>HYPERLINK("https://drive.google.com/drive/folders/1cSjk2cAAFMbguWpGDktbpnbCKqZFjNYG","como cultivar cannabis")</f>
        <v>como cultivar cannabis</v>
      </c>
      <c r="B698" s="1" t="str">
        <f t="shared" si="349"/>
        <v>https://drive.google.com/drive/folders/1cSjk2cAAFMbguWpGDktbpnbCKqZFjNYG</v>
      </c>
      <c r="C698" s="1" t="str">
        <f t="shared" si="350"/>
        <v>Cómo cultivar cannabis a partir de semillas</v>
      </c>
    </row>
    <row r="699">
      <c r="A699" s="1" t="str">
        <f>HYPERLINK("https://drive.google.com/drive/folders/1cSjk2cAAFMbguWpGDktbpnbCKqZFjNYG","Cómo cultivar cannabis al aire libre")</f>
        <v>Cómo cultivar cannabis al aire libre</v>
      </c>
      <c r="B699" s="1" t="str">
        <f t="shared" si="349"/>
        <v>https://drive.google.com/drive/folders/1cSjk2cAAFMbguWpGDktbpnbCKqZFjNYG</v>
      </c>
      <c r="C699" s="1" t="str">
        <f t="shared" si="350"/>
        <v>Cómo cultivar cannabis a partir de semillas</v>
      </c>
    </row>
    <row r="700">
      <c r="A700" s="1" t="str">
        <f>HYPERLINK("https://drive.google.com/drive/folders/1cSjk2cAAFMbguWpGDktbpnbCKqZFjNYG","cuánto tiempo lleva cultivar cannabis")</f>
        <v>cuánto tiempo lleva cultivar cannabis</v>
      </c>
      <c r="B700" s="1" t="str">
        <f t="shared" si="349"/>
        <v>https://drive.google.com/drive/folders/1cSjk2cAAFMbguWpGDktbpnbCKqZFjNYG</v>
      </c>
      <c r="C700" s="1" t="str">
        <f t="shared" si="350"/>
        <v>Cómo cultivar cannabis a partir de semillas</v>
      </c>
    </row>
    <row r="701">
      <c r="A701" s="1" t="str">
        <f>HYPERLINK("https://drive.google.com/drive/folders/1osvUGZMC4iPmPvvnf5GA7futggDOZgzY","Cómo cultivar cannabis en interiores")</f>
        <v>Cómo cultivar cannabis en interiores</v>
      </c>
      <c r="B701" s="1" t="str">
        <f t="shared" ref="B701:B704" si="351">HYPERLINK("https://drive.google.com/drive/folders/1osvUGZMC4iPmPvvnf5GA7futggDOZgzY","https://drive.google.com/drive/folders/1osvUGZMC4iPmPvvnf5GA7futggDOZgzY")</f>
        <v>https://drive.google.com/drive/folders/1osvUGZMC4iPmPvvnf5GA7futggDOZgzY</v>
      </c>
      <c r="C701" s="1" t="str">
        <f t="shared" ref="C701:C704" si="352">HYPERLINK("https://drive.google.com/drive/folders/1osvUGZMC4iPmPvvnf5GA7futggDOZgzY","Cómo cultivar cannabis a partir de semillas")</f>
        <v>Cómo cultivar cannabis a partir de semillas</v>
      </c>
    </row>
    <row r="702">
      <c r="A702" s="1" t="str">
        <f>HYPERLINK("https://drive.google.com/drive/folders/1osvUGZMC4iPmPvvnf5GA7futggDOZgzY","como cultivar cannabis")</f>
        <v>como cultivar cannabis</v>
      </c>
      <c r="B702" s="1" t="str">
        <f t="shared" si="351"/>
        <v>https://drive.google.com/drive/folders/1osvUGZMC4iPmPvvnf5GA7futggDOZgzY</v>
      </c>
      <c r="C702" s="1" t="str">
        <f t="shared" si="352"/>
        <v>Cómo cultivar cannabis a partir de semillas</v>
      </c>
    </row>
    <row r="703">
      <c r="A703" s="1" t="str">
        <f>HYPERLINK("https://drive.google.com/drive/folders/1osvUGZMC4iPmPvvnf5GA7futggDOZgzY","Cómo cultivar cannabis al aire libre")</f>
        <v>Cómo cultivar cannabis al aire libre</v>
      </c>
      <c r="B703" s="1" t="str">
        <f t="shared" si="351"/>
        <v>https://drive.google.com/drive/folders/1osvUGZMC4iPmPvvnf5GA7futggDOZgzY</v>
      </c>
      <c r="C703" s="1" t="str">
        <f t="shared" si="352"/>
        <v>Cómo cultivar cannabis a partir de semillas</v>
      </c>
    </row>
    <row r="704">
      <c r="A704" s="1" t="str">
        <f>HYPERLINK("https://drive.google.com/drive/folders/1osvUGZMC4iPmPvvnf5GA7futggDOZgzY","cuánto tiempo lleva cultivar cannabis")</f>
        <v>cuánto tiempo lleva cultivar cannabis</v>
      </c>
      <c r="B704" s="1" t="str">
        <f t="shared" si="351"/>
        <v>https://drive.google.com/drive/folders/1osvUGZMC4iPmPvvnf5GA7futggDOZgzY</v>
      </c>
      <c r="C704" s="1" t="str">
        <f t="shared" si="352"/>
        <v>Cómo cultivar cannabis a partir de semillas</v>
      </c>
    </row>
    <row r="705">
      <c r="A705" s="1" t="str">
        <f>HYPERLINK("https://drive.google.com/drive/folders/1Z57PMVazImjS3vbcIOxP3NyLk0KIl00O","Cómo cultivar cannabis en interiores")</f>
        <v>Cómo cultivar cannabis en interiores</v>
      </c>
      <c r="B705" s="1" t="str">
        <f t="shared" ref="B705:B708" si="353">HYPERLINK("https://drive.google.com/drive/folders/1Z57PMVazImjS3vbcIOxP3NyLk0KIl00O","https://drive.google.com/drive/folders/1Z57PMVazImjS3vbcIOxP3NyLk0KIl00O")</f>
        <v>https://drive.google.com/drive/folders/1Z57PMVazImjS3vbcIOxP3NyLk0KIl00O</v>
      </c>
      <c r="C705" s="1" t="str">
        <f t="shared" ref="C705:C708" si="354">HYPERLINK("https://drive.google.com/drive/folders/1Z57PMVazImjS3vbcIOxP3NyLk0KIl00O","Cómo cultivar cannabis a partir de semillas")</f>
        <v>Cómo cultivar cannabis a partir de semillas</v>
      </c>
    </row>
    <row r="706">
      <c r="A706" s="1" t="str">
        <f>HYPERLINK("https://drive.google.com/drive/folders/1Z57PMVazImjS3vbcIOxP3NyLk0KIl00O","como cultivar cannabis")</f>
        <v>como cultivar cannabis</v>
      </c>
      <c r="B706" s="1" t="str">
        <f t="shared" si="353"/>
        <v>https://drive.google.com/drive/folders/1Z57PMVazImjS3vbcIOxP3NyLk0KIl00O</v>
      </c>
      <c r="C706" s="1" t="str">
        <f t="shared" si="354"/>
        <v>Cómo cultivar cannabis a partir de semillas</v>
      </c>
    </row>
    <row r="707">
      <c r="A707" s="1" t="str">
        <f>HYPERLINK("https://drive.google.com/drive/folders/1Z57PMVazImjS3vbcIOxP3NyLk0KIl00O","Cómo cultivar cannabis al aire libre")</f>
        <v>Cómo cultivar cannabis al aire libre</v>
      </c>
      <c r="B707" s="1" t="str">
        <f t="shared" si="353"/>
        <v>https://drive.google.com/drive/folders/1Z57PMVazImjS3vbcIOxP3NyLk0KIl00O</v>
      </c>
      <c r="C707" s="1" t="str">
        <f t="shared" si="354"/>
        <v>Cómo cultivar cannabis a partir de semillas</v>
      </c>
    </row>
    <row r="708">
      <c r="A708" s="1" t="str">
        <f>HYPERLINK("https://drive.google.com/drive/folders/1Z57PMVazImjS3vbcIOxP3NyLk0KIl00O","cuánto tiempo lleva cultivar cannabis")</f>
        <v>cuánto tiempo lleva cultivar cannabis</v>
      </c>
      <c r="B708" s="1" t="str">
        <f t="shared" si="353"/>
        <v>https://drive.google.com/drive/folders/1Z57PMVazImjS3vbcIOxP3NyLk0KIl00O</v>
      </c>
      <c r="C708" s="1" t="str">
        <f t="shared" si="354"/>
        <v>Cómo cultivar cannabis a partir de semillas</v>
      </c>
    </row>
    <row r="709">
      <c r="A709" s="1" t="str">
        <f>HYPERLINK("https://drive.google.com/drive/folders/124J9LRDqurtNrZhgjvzeRBmjR2KpE_id","Cómo cultivar cannabis en interiores")</f>
        <v>Cómo cultivar cannabis en interiores</v>
      </c>
      <c r="B709" s="1" t="str">
        <f t="shared" ref="B709:B712" si="355">HYPERLINK("https://drive.google.com/drive/folders/124J9LRDqurtNrZhgjvzeRBmjR2KpE_id","https://drive.google.com/drive/folders/124J9LRDqurtNrZhgjvzeRBmjR2KpE_id")</f>
        <v>https://drive.google.com/drive/folders/124J9LRDqurtNrZhgjvzeRBmjR2KpE_id</v>
      </c>
      <c r="C709" s="1" t="str">
        <f t="shared" ref="C709:C712" si="356">HYPERLINK("https://drive.google.com/drive/folders/124J9LRDqurtNrZhgjvzeRBmjR2KpE_id","Cómo cultivar cannabis a partir de semillas")</f>
        <v>Cómo cultivar cannabis a partir de semillas</v>
      </c>
    </row>
    <row r="710">
      <c r="A710" s="1" t="str">
        <f>HYPERLINK("https://drive.google.com/drive/folders/124J9LRDqurtNrZhgjvzeRBmjR2KpE_id","como cultivar cannabis")</f>
        <v>como cultivar cannabis</v>
      </c>
      <c r="B710" s="1" t="str">
        <f t="shared" si="355"/>
        <v>https://drive.google.com/drive/folders/124J9LRDqurtNrZhgjvzeRBmjR2KpE_id</v>
      </c>
      <c r="C710" s="1" t="str">
        <f t="shared" si="356"/>
        <v>Cómo cultivar cannabis a partir de semillas</v>
      </c>
    </row>
    <row r="711">
      <c r="A711" s="1" t="str">
        <f>HYPERLINK("https://drive.google.com/drive/folders/124J9LRDqurtNrZhgjvzeRBmjR2KpE_id","Cómo cultivar cannabis al aire libre")</f>
        <v>Cómo cultivar cannabis al aire libre</v>
      </c>
      <c r="B711" s="1" t="str">
        <f t="shared" si="355"/>
        <v>https://drive.google.com/drive/folders/124J9LRDqurtNrZhgjvzeRBmjR2KpE_id</v>
      </c>
      <c r="C711" s="1" t="str">
        <f t="shared" si="356"/>
        <v>Cómo cultivar cannabis a partir de semillas</v>
      </c>
    </row>
    <row r="712">
      <c r="A712" s="1" t="str">
        <f>HYPERLINK("https://drive.google.com/drive/folders/124J9LRDqurtNrZhgjvzeRBmjR2KpE_id","cuánto tiempo lleva cultivar cannabis")</f>
        <v>cuánto tiempo lleva cultivar cannabis</v>
      </c>
      <c r="B712" s="1" t="str">
        <f t="shared" si="355"/>
        <v>https://drive.google.com/drive/folders/124J9LRDqurtNrZhgjvzeRBmjR2KpE_id</v>
      </c>
      <c r="C712" s="1" t="str">
        <f t="shared" si="356"/>
        <v>Cómo cultivar cannabis a partir de semillas</v>
      </c>
    </row>
    <row r="713">
      <c r="A713" s="1" t="str">
        <f>HYPERLINK("https://drive.google.com/drive/folders/1VCXVu08Bku2P5r2vk4Znl4vN7RYl3jbv","Cómo cultivar cannabis en interiores")</f>
        <v>Cómo cultivar cannabis en interiores</v>
      </c>
      <c r="B713" s="1" t="str">
        <f t="shared" ref="B713:B716" si="357">HYPERLINK("https://drive.google.com/drive/folders/1VCXVu08Bku2P5r2vk4Znl4vN7RYl3jbv","https://drive.google.com/drive/folders/1VCXVu08Bku2P5r2vk4Znl4vN7RYl3jbv")</f>
        <v>https://drive.google.com/drive/folders/1VCXVu08Bku2P5r2vk4Znl4vN7RYl3jbv</v>
      </c>
      <c r="C713" s="1" t="str">
        <f t="shared" ref="C713:C716" si="358">HYPERLINK("https://drive.google.com/drive/folders/1VCXVu08Bku2P5r2vk4Znl4vN7RYl3jbv","Cómo cultivar cannabis a partir de semillas")</f>
        <v>Cómo cultivar cannabis a partir de semillas</v>
      </c>
    </row>
    <row r="714">
      <c r="A714" s="1" t="str">
        <f>HYPERLINK("https://drive.google.com/drive/folders/1VCXVu08Bku2P5r2vk4Znl4vN7RYl3jbv","como cultivar cannabis")</f>
        <v>como cultivar cannabis</v>
      </c>
      <c r="B714" s="1" t="str">
        <f t="shared" si="357"/>
        <v>https://drive.google.com/drive/folders/1VCXVu08Bku2P5r2vk4Znl4vN7RYl3jbv</v>
      </c>
      <c r="C714" s="1" t="str">
        <f t="shared" si="358"/>
        <v>Cómo cultivar cannabis a partir de semillas</v>
      </c>
    </row>
    <row r="715">
      <c r="A715" s="1" t="str">
        <f>HYPERLINK("https://drive.google.com/drive/folders/1VCXVu08Bku2P5r2vk4Znl4vN7RYl3jbv","Cómo cultivar cannabis al aire libre")</f>
        <v>Cómo cultivar cannabis al aire libre</v>
      </c>
      <c r="B715" s="1" t="str">
        <f t="shared" si="357"/>
        <v>https://drive.google.com/drive/folders/1VCXVu08Bku2P5r2vk4Znl4vN7RYl3jbv</v>
      </c>
      <c r="C715" s="1" t="str">
        <f t="shared" si="358"/>
        <v>Cómo cultivar cannabis a partir de semillas</v>
      </c>
    </row>
    <row r="716">
      <c r="A716" s="1" t="str">
        <f>HYPERLINK("https://drive.google.com/drive/folders/1VCXVu08Bku2P5r2vk4Znl4vN7RYl3jbv","cuánto tiempo lleva cultivar cannabis")</f>
        <v>cuánto tiempo lleva cultivar cannabis</v>
      </c>
      <c r="B716" s="1" t="str">
        <f t="shared" si="357"/>
        <v>https://drive.google.com/drive/folders/1VCXVu08Bku2P5r2vk4Znl4vN7RYl3jbv</v>
      </c>
      <c r="C716" s="1" t="str">
        <f t="shared" si="358"/>
        <v>Cómo cultivar cannabis a partir de semillas</v>
      </c>
    </row>
    <row r="717">
      <c r="A717" s="1" t="str">
        <f>HYPERLINK("https://drive.google.com/drive/folders/1mqDY-eo83ySEGZ-FjEa0smHqPjhOgmGD","Cómo cultivar cannabis en interiores")</f>
        <v>Cómo cultivar cannabis en interiores</v>
      </c>
      <c r="B717" s="1" t="str">
        <f t="shared" ref="B717:B720" si="359">HYPERLINK("https://drive.google.com/drive/folders/1mqDY-eo83ySEGZ-FjEa0smHqPjhOgmGD","https://drive.google.com/drive/folders/1mqDY-eo83ySEGZ-FjEa0smHqPjhOgmGD")</f>
        <v>https://drive.google.com/drive/folders/1mqDY-eo83ySEGZ-FjEa0smHqPjhOgmGD</v>
      </c>
      <c r="C717" s="1" t="str">
        <f t="shared" ref="C717:C720" si="360">HYPERLINK("https://drive.google.com/drive/folders/1mqDY-eo83ySEGZ-FjEa0smHqPjhOgmGD","Cómo cultivar cannabis a partir de semillas")</f>
        <v>Cómo cultivar cannabis a partir de semillas</v>
      </c>
    </row>
    <row r="718">
      <c r="A718" s="1" t="str">
        <f>HYPERLINK("https://drive.google.com/drive/folders/1mqDY-eo83ySEGZ-FjEa0smHqPjhOgmGD","como cultivar cannabis")</f>
        <v>como cultivar cannabis</v>
      </c>
      <c r="B718" s="1" t="str">
        <f t="shared" si="359"/>
        <v>https://drive.google.com/drive/folders/1mqDY-eo83ySEGZ-FjEa0smHqPjhOgmGD</v>
      </c>
      <c r="C718" s="1" t="str">
        <f t="shared" si="360"/>
        <v>Cómo cultivar cannabis a partir de semillas</v>
      </c>
    </row>
    <row r="719">
      <c r="A719" s="1" t="str">
        <f>HYPERLINK("https://drive.google.com/drive/folders/1mqDY-eo83ySEGZ-FjEa0smHqPjhOgmGD","Cómo cultivar cannabis al aire libre")</f>
        <v>Cómo cultivar cannabis al aire libre</v>
      </c>
      <c r="B719" s="1" t="str">
        <f t="shared" si="359"/>
        <v>https://drive.google.com/drive/folders/1mqDY-eo83ySEGZ-FjEa0smHqPjhOgmGD</v>
      </c>
      <c r="C719" s="1" t="str">
        <f t="shared" si="360"/>
        <v>Cómo cultivar cannabis a partir de semillas</v>
      </c>
    </row>
    <row r="720">
      <c r="A720" s="1" t="str">
        <f>HYPERLINK("https://drive.google.com/drive/folders/1mqDY-eo83ySEGZ-FjEa0smHqPjhOgmGD","cuánto tiempo lleva cultivar cannabis")</f>
        <v>cuánto tiempo lleva cultivar cannabis</v>
      </c>
      <c r="B720" s="1" t="str">
        <f t="shared" si="359"/>
        <v>https://drive.google.com/drive/folders/1mqDY-eo83ySEGZ-FjEa0smHqPjhOgmGD</v>
      </c>
      <c r="C720" s="1" t="str">
        <f t="shared" si="360"/>
        <v>Cómo cultivar cannabis a partir de semillas</v>
      </c>
    </row>
    <row r="721">
      <c r="A721" s="1" t="str">
        <f>HYPERLINK("https://drive.google.com/drive/folders/183hvfG3caDdiaQznwR_KC9BqUQITpjPi","Cómo cultivar cannabis en interiores")</f>
        <v>Cómo cultivar cannabis en interiores</v>
      </c>
      <c r="B721" s="1" t="str">
        <f t="shared" ref="B721:B724" si="361">HYPERLINK("https://drive.google.com/drive/folders/183hvfG3caDdiaQznwR_KC9BqUQITpjPi","https://drive.google.com/drive/folders/183hvfG3caDdiaQznwR_KC9BqUQITpjPi")</f>
        <v>https://drive.google.com/drive/folders/183hvfG3caDdiaQznwR_KC9BqUQITpjPi</v>
      </c>
      <c r="C721" s="1" t="str">
        <f t="shared" ref="C721:C724" si="362">HYPERLINK("https://drive.google.com/drive/folders/183hvfG3caDdiaQznwR_KC9BqUQITpjPi","Cómo cultivar cannabis a partir de semillas")</f>
        <v>Cómo cultivar cannabis a partir de semillas</v>
      </c>
    </row>
    <row r="722">
      <c r="A722" s="1" t="str">
        <f>HYPERLINK("https://drive.google.com/drive/folders/183hvfG3caDdiaQznwR_KC9BqUQITpjPi","como cultivar cannabis")</f>
        <v>como cultivar cannabis</v>
      </c>
      <c r="B722" s="1" t="str">
        <f t="shared" si="361"/>
        <v>https://drive.google.com/drive/folders/183hvfG3caDdiaQznwR_KC9BqUQITpjPi</v>
      </c>
      <c r="C722" s="1" t="str">
        <f t="shared" si="362"/>
        <v>Cómo cultivar cannabis a partir de semillas</v>
      </c>
    </row>
    <row r="723">
      <c r="A723" s="1" t="str">
        <f>HYPERLINK("https://drive.google.com/drive/folders/183hvfG3caDdiaQznwR_KC9BqUQITpjPi","Cómo cultivar cannabis al aire libre")</f>
        <v>Cómo cultivar cannabis al aire libre</v>
      </c>
      <c r="B723" s="1" t="str">
        <f t="shared" si="361"/>
        <v>https://drive.google.com/drive/folders/183hvfG3caDdiaQznwR_KC9BqUQITpjPi</v>
      </c>
      <c r="C723" s="1" t="str">
        <f t="shared" si="362"/>
        <v>Cómo cultivar cannabis a partir de semillas</v>
      </c>
    </row>
    <row r="724">
      <c r="A724" s="1" t="str">
        <f>HYPERLINK("https://drive.google.com/drive/folders/183hvfG3caDdiaQznwR_KC9BqUQITpjPi","cuánto tiempo lleva cultivar cannabis")</f>
        <v>cuánto tiempo lleva cultivar cannabis</v>
      </c>
      <c r="B724" s="1" t="str">
        <f t="shared" si="361"/>
        <v>https://drive.google.com/drive/folders/183hvfG3caDdiaQznwR_KC9BqUQITpjPi</v>
      </c>
      <c r="C724" s="1" t="str">
        <f t="shared" si="362"/>
        <v>Cómo cultivar cannabis a partir de semillas</v>
      </c>
    </row>
    <row r="725">
      <c r="A725" s="1" t="str">
        <f>HYPERLINK("https://docs.google.com/spreadsheets/d/1mC3NqyskZnJbuP68Z_zSyJxZaN_2XfO_8eRh0INdh7A","Cómo cultivar cannabis en interiores")</f>
        <v>Cómo cultivar cannabis en interiores</v>
      </c>
      <c r="B725" s="1" t="str">
        <f t="shared" ref="B725:B728" si="363">HYPERLINK("https://docs.google.com/spreadsheets/d/1mC3NqyskZnJbuP68Z_zSyJxZaN_2XfO_8eRh0INdh7A","https://docs.google.com/spreadsheets/d/1mC3NqyskZnJbuP68Z_zSyJxZaN_2XfO_8eRh0INdh7A")</f>
        <v>https://docs.google.com/spreadsheets/d/1mC3NqyskZnJbuP68Z_zSyJxZaN_2XfO_8eRh0INdh7A</v>
      </c>
      <c r="C725" s="1" t="str">
        <f t="shared" ref="C725:C728" si="364">HYPERLINK("https://docs.google.com/spreadsheets/d/1mC3NqyskZnJbuP68Z_zSyJxZaN_2XfO_8eRh0INdh7A","Cómo cultivar cannabis a partir de semillas")</f>
        <v>Cómo cultivar cannabis a partir de semillas</v>
      </c>
    </row>
    <row r="726">
      <c r="A726" s="1" t="str">
        <f>HYPERLINK("https://docs.google.com/spreadsheets/d/1mC3NqyskZnJbuP68Z_zSyJxZaN_2XfO_8eRh0INdh7A","como cultivar cannabis")</f>
        <v>como cultivar cannabis</v>
      </c>
      <c r="B726" s="1" t="str">
        <f t="shared" si="363"/>
        <v>https://docs.google.com/spreadsheets/d/1mC3NqyskZnJbuP68Z_zSyJxZaN_2XfO_8eRh0INdh7A</v>
      </c>
      <c r="C726" s="1" t="str">
        <f t="shared" si="364"/>
        <v>Cómo cultivar cannabis a partir de semillas</v>
      </c>
    </row>
    <row r="727">
      <c r="A727" s="1" t="str">
        <f>HYPERLINK("https://docs.google.com/spreadsheets/d/1mC3NqyskZnJbuP68Z_zSyJxZaN_2XfO_8eRh0INdh7A","Cómo cultivar cannabis al aire libre")</f>
        <v>Cómo cultivar cannabis al aire libre</v>
      </c>
      <c r="B727" s="1" t="str">
        <f t="shared" si="363"/>
        <v>https://docs.google.com/spreadsheets/d/1mC3NqyskZnJbuP68Z_zSyJxZaN_2XfO_8eRh0INdh7A</v>
      </c>
      <c r="C727" s="1" t="str">
        <f t="shared" si="364"/>
        <v>Cómo cultivar cannabis a partir de semillas</v>
      </c>
    </row>
    <row r="728">
      <c r="A728" s="1" t="str">
        <f>HYPERLINK("https://docs.google.com/spreadsheets/d/1mC3NqyskZnJbuP68Z_zSyJxZaN_2XfO_8eRh0INdh7A","cuánto tiempo lleva cultivar cannabis")</f>
        <v>cuánto tiempo lleva cultivar cannabis</v>
      </c>
      <c r="B728" s="1" t="str">
        <f t="shared" si="363"/>
        <v>https://docs.google.com/spreadsheets/d/1mC3NqyskZnJbuP68Z_zSyJxZaN_2XfO_8eRh0INdh7A</v>
      </c>
      <c r="C728" s="1" t="str">
        <f t="shared" si="364"/>
        <v>Cómo cultivar cannabis a partir de semillas</v>
      </c>
    </row>
    <row r="729">
      <c r="A729" s="1" t="str">
        <f>HYPERLINK("https://docs.google.com/spreadsheets/d/1fUtV1kDwfxA5S5tNP9BsEZHcmaVkUl4plvA4cD1vgtw","Cómo cultivar cannabis en interiores")</f>
        <v>Cómo cultivar cannabis en interiores</v>
      </c>
      <c r="B729" s="1" t="str">
        <f t="shared" ref="B729:B732" si="365">HYPERLINK("https://docs.google.com/spreadsheets/d/1fUtV1kDwfxA5S5tNP9BsEZHcmaVkUl4plvA4cD1vgtw","https://docs.google.com/spreadsheets/d/1fUtV1kDwfxA5S5tNP9BsEZHcmaVkUl4plvA4cD1vgtw")</f>
        <v>https://docs.google.com/spreadsheets/d/1fUtV1kDwfxA5S5tNP9BsEZHcmaVkUl4plvA4cD1vgtw</v>
      </c>
      <c r="C729" s="1" t="str">
        <f t="shared" ref="C729:C732" si="366">HYPERLINK("https://docs.google.com/spreadsheets/d/1fUtV1kDwfxA5S5tNP9BsEZHcmaVkUl4plvA4cD1vgtw","Cómo cultivar cannabis a partir de semillas")</f>
        <v>Cómo cultivar cannabis a partir de semillas</v>
      </c>
    </row>
    <row r="730">
      <c r="A730" s="1" t="str">
        <f>HYPERLINK("https://docs.google.com/spreadsheets/d/1fUtV1kDwfxA5S5tNP9BsEZHcmaVkUl4plvA4cD1vgtw","como cultivar cannabis")</f>
        <v>como cultivar cannabis</v>
      </c>
      <c r="B730" s="1" t="str">
        <f t="shared" si="365"/>
        <v>https://docs.google.com/spreadsheets/d/1fUtV1kDwfxA5S5tNP9BsEZHcmaVkUl4plvA4cD1vgtw</v>
      </c>
      <c r="C730" s="1" t="str">
        <f t="shared" si="366"/>
        <v>Cómo cultivar cannabis a partir de semillas</v>
      </c>
    </row>
    <row r="731">
      <c r="A731" s="1" t="str">
        <f>HYPERLINK("https://docs.google.com/spreadsheets/d/1fUtV1kDwfxA5S5tNP9BsEZHcmaVkUl4plvA4cD1vgtw","Cómo cultivar cannabis al aire libre")</f>
        <v>Cómo cultivar cannabis al aire libre</v>
      </c>
      <c r="B731" s="1" t="str">
        <f t="shared" si="365"/>
        <v>https://docs.google.com/spreadsheets/d/1fUtV1kDwfxA5S5tNP9BsEZHcmaVkUl4plvA4cD1vgtw</v>
      </c>
      <c r="C731" s="1" t="str">
        <f t="shared" si="366"/>
        <v>Cómo cultivar cannabis a partir de semillas</v>
      </c>
    </row>
    <row r="732">
      <c r="A732" s="1" t="str">
        <f>HYPERLINK("https://docs.google.com/spreadsheets/d/1fUtV1kDwfxA5S5tNP9BsEZHcmaVkUl4plvA4cD1vgtw","cuánto tiempo lleva cultivar cannabis")</f>
        <v>cuánto tiempo lleva cultivar cannabis</v>
      </c>
      <c r="B732" s="1" t="str">
        <f t="shared" si="365"/>
        <v>https://docs.google.com/spreadsheets/d/1fUtV1kDwfxA5S5tNP9BsEZHcmaVkUl4plvA4cD1vgtw</v>
      </c>
      <c r="C732" s="1" t="str">
        <f t="shared" si="366"/>
        <v>Cómo cultivar cannabis a partir de semillas</v>
      </c>
    </row>
    <row r="733">
      <c r="A733" s="1" t="str">
        <f>HYPERLINK("https://docs.google.com/spreadsheets/d/1fx3Ylp6vHzDVqBmS7OBmK2Xz4SMMDcq3FowOh4QT7ak","Cómo cultivar cannabis en interiores")</f>
        <v>Cómo cultivar cannabis en interiores</v>
      </c>
      <c r="B733" s="1" t="str">
        <f t="shared" ref="B733:B736" si="367">HYPERLINK("https://docs.google.com/spreadsheets/d/1fx3Ylp6vHzDVqBmS7OBmK2Xz4SMMDcq3FowOh4QT7ak","https://docs.google.com/spreadsheets/d/1fx3Ylp6vHzDVqBmS7OBmK2Xz4SMMDcq3FowOh4QT7ak")</f>
        <v>https://docs.google.com/spreadsheets/d/1fx3Ylp6vHzDVqBmS7OBmK2Xz4SMMDcq3FowOh4QT7ak</v>
      </c>
      <c r="C733" s="1" t="str">
        <f t="shared" ref="C733:C736" si="368">HYPERLINK("https://docs.google.com/spreadsheets/d/1fx3Ylp6vHzDVqBmS7OBmK2Xz4SMMDcq3FowOh4QT7ak","Cómo cultivar cannabis a partir de semillas")</f>
        <v>Cómo cultivar cannabis a partir de semillas</v>
      </c>
    </row>
    <row r="734">
      <c r="A734" s="1" t="str">
        <f>HYPERLINK("https://docs.google.com/spreadsheets/d/1fx3Ylp6vHzDVqBmS7OBmK2Xz4SMMDcq3FowOh4QT7ak","como cultivar cannabis")</f>
        <v>como cultivar cannabis</v>
      </c>
      <c r="B734" s="1" t="str">
        <f t="shared" si="367"/>
        <v>https://docs.google.com/spreadsheets/d/1fx3Ylp6vHzDVqBmS7OBmK2Xz4SMMDcq3FowOh4QT7ak</v>
      </c>
      <c r="C734" s="1" t="str">
        <f t="shared" si="368"/>
        <v>Cómo cultivar cannabis a partir de semillas</v>
      </c>
    </row>
    <row r="735">
      <c r="A735" s="1" t="str">
        <f>HYPERLINK("https://docs.google.com/spreadsheets/d/1fx3Ylp6vHzDVqBmS7OBmK2Xz4SMMDcq3FowOh4QT7ak","Cómo cultivar cannabis al aire libre")</f>
        <v>Cómo cultivar cannabis al aire libre</v>
      </c>
      <c r="B735" s="1" t="str">
        <f t="shared" si="367"/>
        <v>https://docs.google.com/spreadsheets/d/1fx3Ylp6vHzDVqBmS7OBmK2Xz4SMMDcq3FowOh4QT7ak</v>
      </c>
      <c r="C735" s="1" t="str">
        <f t="shared" si="368"/>
        <v>Cómo cultivar cannabis a partir de semillas</v>
      </c>
    </row>
    <row r="736">
      <c r="A736" s="1" t="str">
        <f>HYPERLINK("https://docs.google.com/spreadsheets/d/1fx3Ylp6vHzDVqBmS7OBmK2Xz4SMMDcq3FowOh4QT7ak","cuánto tiempo lleva cultivar cannabis")</f>
        <v>cuánto tiempo lleva cultivar cannabis</v>
      </c>
      <c r="B736" s="1" t="str">
        <f t="shared" si="367"/>
        <v>https://docs.google.com/spreadsheets/d/1fx3Ylp6vHzDVqBmS7OBmK2Xz4SMMDcq3FowOh4QT7ak</v>
      </c>
      <c r="C736" s="1" t="str">
        <f t="shared" si="368"/>
        <v>Cómo cultivar cannabis a partir de semillas</v>
      </c>
    </row>
    <row r="737">
      <c r="A737" s="1" t="str">
        <f>HYPERLINK("https://docs.google.com/spreadsheets/d/1QbtvcIQK-e3lrpuOXcUk_gWCptbjHH9QbgwgmWxpU3o","Cómo cultivar cannabis en interiores")</f>
        <v>Cómo cultivar cannabis en interiores</v>
      </c>
      <c r="B737" s="1" t="str">
        <f t="shared" ref="B737:B740" si="369">HYPERLINK("https://docs.google.com/spreadsheets/d/1QbtvcIQK-e3lrpuOXcUk_gWCptbjHH9QbgwgmWxpU3o","https://docs.google.com/spreadsheets/d/1QbtvcIQK-e3lrpuOXcUk_gWCptbjHH9QbgwgmWxpU3o")</f>
        <v>https://docs.google.com/spreadsheets/d/1QbtvcIQK-e3lrpuOXcUk_gWCptbjHH9QbgwgmWxpU3o</v>
      </c>
      <c r="C737" s="1" t="str">
        <f t="shared" ref="C737:C740" si="370">HYPERLINK("https://docs.google.com/spreadsheets/d/1QbtvcIQK-e3lrpuOXcUk_gWCptbjHH9QbgwgmWxpU3o","Cómo cultivar cannabis a partir de semillas")</f>
        <v>Cómo cultivar cannabis a partir de semillas</v>
      </c>
    </row>
    <row r="738">
      <c r="A738" s="1" t="str">
        <f>HYPERLINK("https://docs.google.com/spreadsheets/d/1QbtvcIQK-e3lrpuOXcUk_gWCptbjHH9QbgwgmWxpU3o","como cultivar cannabis")</f>
        <v>como cultivar cannabis</v>
      </c>
      <c r="B738" s="1" t="str">
        <f t="shared" si="369"/>
        <v>https://docs.google.com/spreadsheets/d/1QbtvcIQK-e3lrpuOXcUk_gWCptbjHH9QbgwgmWxpU3o</v>
      </c>
      <c r="C738" s="1" t="str">
        <f t="shared" si="370"/>
        <v>Cómo cultivar cannabis a partir de semillas</v>
      </c>
    </row>
    <row r="739">
      <c r="A739" s="1" t="str">
        <f>HYPERLINK("https://docs.google.com/spreadsheets/d/1QbtvcIQK-e3lrpuOXcUk_gWCptbjHH9QbgwgmWxpU3o","Cómo cultivar cannabis al aire libre")</f>
        <v>Cómo cultivar cannabis al aire libre</v>
      </c>
      <c r="B739" s="1" t="str">
        <f t="shared" si="369"/>
        <v>https://docs.google.com/spreadsheets/d/1QbtvcIQK-e3lrpuOXcUk_gWCptbjHH9QbgwgmWxpU3o</v>
      </c>
      <c r="C739" s="1" t="str">
        <f t="shared" si="370"/>
        <v>Cómo cultivar cannabis a partir de semillas</v>
      </c>
    </row>
    <row r="740">
      <c r="A740" s="1" t="str">
        <f>HYPERLINK("https://docs.google.com/spreadsheets/d/1QbtvcIQK-e3lrpuOXcUk_gWCptbjHH9QbgwgmWxpU3o","cuánto tiempo lleva cultivar cannabis")</f>
        <v>cuánto tiempo lleva cultivar cannabis</v>
      </c>
      <c r="B740" s="1" t="str">
        <f t="shared" si="369"/>
        <v>https://docs.google.com/spreadsheets/d/1QbtvcIQK-e3lrpuOXcUk_gWCptbjHH9QbgwgmWxpU3o</v>
      </c>
      <c r="C740" s="1" t="str">
        <f t="shared" si="370"/>
        <v>Cómo cultivar cannabis a partir de semillas</v>
      </c>
    </row>
    <row r="741">
      <c r="A741" s="1" t="str">
        <f>HYPERLINK("https://drive.google.com/drive/folders/1duAoHwUd2w474O64utae6HIb5l8_Pxfn","Cómo cultivar cannabis en interiores")</f>
        <v>Cómo cultivar cannabis en interiores</v>
      </c>
      <c r="B741" s="1" t="str">
        <f t="shared" ref="B741:B744" si="371">HYPERLINK("https://drive.google.com/drive/folders/1duAoHwUd2w474O64utae6HIb5l8_Pxfn","https://drive.google.com/drive/folders/1duAoHwUd2w474O64utae6HIb5l8_Pxfn")</f>
        <v>https://drive.google.com/drive/folders/1duAoHwUd2w474O64utae6HIb5l8_Pxfn</v>
      </c>
      <c r="C741" s="1" t="str">
        <f t="shared" ref="C741:C744" si="372">HYPERLINK("https://drive.google.com/drive/folders/1duAoHwUd2w474O64utae6HIb5l8_Pxfn","Cómo cultivar cannabis a partir de semillas")</f>
        <v>Cómo cultivar cannabis a partir de semillas</v>
      </c>
    </row>
    <row r="742">
      <c r="A742" s="1" t="str">
        <f>HYPERLINK("https://drive.google.com/drive/folders/1duAoHwUd2w474O64utae6HIb5l8_Pxfn","como cultivar cannabis")</f>
        <v>como cultivar cannabis</v>
      </c>
      <c r="B742" s="1" t="str">
        <f t="shared" si="371"/>
        <v>https://drive.google.com/drive/folders/1duAoHwUd2w474O64utae6HIb5l8_Pxfn</v>
      </c>
      <c r="C742" s="1" t="str">
        <f t="shared" si="372"/>
        <v>Cómo cultivar cannabis a partir de semillas</v>
      </c>
    </row>
    <row r="743">
      <c r="A743" s="1" t="str">
        <f>HYPERLINK("https://drive.google.com/drive/folders/1duAoHwUd2w474O64utae6HIb5l8_Pxfn","Cómo cultivar cannabis al aire libre")</f>
        <v>Cómo cultivar cannabis al aire libre</v>
      </c>
      <c r="B743" s="1" t="str">
        <f t="shared" si="371"/>
        <v>https://drive.google.com/drive/folders/1duAoHwUd2w474O64utae6HIb5l8_Pxfn</v>
      </c>
      <c r="C743" s="1" t="str">
        <f t="shared" si="372"/>
        <v>Cómo cultivar cannabis a partir de semillas</v>
      </c>
    </row>
    <row r="744">
      <c r="A744" s="1" t="str">
        <f>HYPERLINK("https://drive.google.com/drive/folders/1duAoHwUd2w474O64utae6HIb5l8_Pxfn","cuánto tiempo lleva cultivar cannabis")</f>
        <v>cuánto tiempo lleva cultivar cannabis</v>
      </c>
      <c r="B744" s="1" t="str">
        <f t="shared" si="371"/>
        <v>https://drive.google.com/drive/folders/1duAoHwUd2w474O64utae6HIb5l8_Pxfn</v>
      </c>
      <c r="C744" s="1" t="str">
        <f t="shared" si="372"/>
        <v>Cómo cultivar cannabis a partir de semillas</v>
      </c>
    </row>
    <row r="745">
      <c r="A745" s="1" t="str">
        <f>HYPERLINK("https://drive.google.com/drive/folders/1q655vMo5b9bXgBhRkXPIL7OuNJWb9o9Q","Cómo cultivar cannabis en interiores")</f>
        <v>Cómo cultivar cannabis en interiores</v>
      </c>
      <c r="B745" s="1" t="str">
        <f t="shared" ref="B745:B748" si="373">HYPERLINK("https://drive.google.com/drive/folders/1q655vMo5b9bXgBhRkXPIL7OuNJWb9o9Q","https://drive.google.com/drive/folders/1q655vMo5b9bXgBhRkXPIL7OuNJWb9o9Q")</f>
        <v>https://drive.google.com/drive/folders/1q655vMo5b9bXgBhRkXPIL7OuNJWb9o9Q</v>
      </c>
      <c r="C745" s="1" t="str">
        <f t="shared" ref="C745:C748" si="374">HYPERLINK("https://drive.google.com/drive/folders/1q655vMo5b9bXgBhRkXPIL7OuNJWb9o9Q","Cómo cultivar cannabis a partir de semillas")</f>
        <v>Cómo cultivar cannabis a partir de semillas</v>
      </c>
    </row>
    <row r="746">
      <c r="A746" s="1" t="str">
        <f>HYPERLINK("https://drive.google.com/drive/folders/1q655vMo5b9bXgBhRkXPIL7OuNJWb9o9Q","como cultivar cannabis")</f>
        <v>como cultivar cannabis</v>
      </c>
      <c r="B746" s="1" t="str">
        <f t="shared" si="373"/>
        <v>https://drive.google.com/drive/folders/1q655vMo5b9bXgBhRkXPIL7OuNJWb9o9Q</v>
      </c>
      <c r="C746" s="1" t="str">
        <f t="shared" si="374"/>
        <v>Cómo cultivar cannabis a partir de semillas</v>
      </c>
    </row>
    <row r="747">
      <c r="A747" s="1" t="str">
        <f>HYPERLINK("https://drive.google.com/drive/folders/1q655vMo5b9bXgBhRkXPIL7OuNJWb9o9Q","Cómo cultivar cannabis al aire libre")</f>
        <v>Cómo cultivar cannabis al aire libre</v>
      </c>
      <c r="B747" s="1" t="str">
        <f t="shared" si="373"/>
        <v>https://drive.google.com/drive/folders/1q655vMo5b9bXgBhRkXPIL7OuNJWb9o9Q</v>
      </c>
      <c r="C747" s="1" t="str">
        <f t="shared" si="374"/>
        <v>Cómo cultivar cannabis a partir de semillas</v>
      </c>
    </row>
    <row r="748">
      <c r="A748" s="1" t="str">
        <f>HYPERLINK("https://drive.google.com/drive/folders/1q655vMo5b9bXgBhRkXPIL7OuNJWb9o9Q","cuánto tiempo lleva cultivar cannabis")</f>
        <v>cuánto tiempo lleva cultivar cannabis</v>
      </c>
      <c r="B748" s="1" t="str">
        <f t="shared" si="373"/>
        <v>https://drive.google.com/drive/folders/1q655vMo5b9bXgBhRkXPIL7OuNJWb9o9Q</v>
      </c>
      <c r="C748" s="1" t="str">
        <f t="shared" si="374"/>
        <v>Cómo cultivar cannabis a partir de semillas</v>
      </c>
    </row>
  </sheetData>
  <drawing r:id="rId1"/>
</worksheet>
</file>